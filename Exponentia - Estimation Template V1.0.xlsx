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ed.verma\Downloads\qw\"/>
    </mc:Choice>
  </mc:AlternateContent>
  <xr:revisionPtr revIDLastSave="0" documentId="13_ncr:1_{043EF265-11A2-49E3-AE11-4E52AED72771}" xr6:coauthVersionLast="47" xr6:coauthVersionMax="47" xr10:uidLastSave="{00000000-0000-0000-0000-000000000000}"/>
  <bookViews>
    <workbookView xWindow="-108" yWindow="-108" windowWidth="23256" windowHeight="12576" tabRatio="900" activeTab="8" xr2:uid="{00000000-000D-0000-FFFF-FFFF00000000}"/>
  </bookViews>
  <sheets>
    <sheet name="Read-Me" sheetId="7" r:id="rId1"/>
    <sheet name="Estimation Details" sheetId="3" r:id="rId2"/>
    <sheet name="Pre-estimate checklist" sheetId="10" r:id="rId3"/>
    <sheet name="Efforts Summary" sheetId="4" r:id="rId4"/>
    <sheet name="Estimation-WBS" sheetId="6" r:id="rId5"/>
    <sheet name="Complexity &amp; Effort" sheetId="1" r:id="rId6"/>
    <sheet name="Key RAID" sheetId="9" r:id="rId7"/>
    <sheet name="Config" sheetId="5" r:id="rId8"/>
    <sheet name="Template Change History" sheetId="8" r:id="rId9"/>
  </sheets>
  <definedNames>
    <definedName name="_xlnm._FilterDatabase" localSheetId="5" hidden="1">'Complexity &amp; Effort'!$B$2:$I$141</definedName>
    <definedName name="_xlnm.Print_Area" localSheetId="2">'Pre-estimate checklist'!$B$2:$E$40</definedName>
    <definedName name="WorkType">Config!#REF!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6" i="1" l="1"/>
  <c r="F105" i="1"/>
  <c r="F104" i="1"/>
  <c r="F103" i="1"/>
  <c r="D16" i="4"/>
  <c r="H15" i="4"/>
  <c r="F83" i="1"/>
  <c r="F84" i="1"/>
  <c r="F85" i="1"/>
  <c r="F86" i="1"/>
  <c r="F87" i="1"/>
  <c r="F88" i="1"/>
  <c r="F89" i="1"/>
  <c r="F90" i="1"/>
  <c r="F91" i="1"/>
  <c r="F92" i="1"/>
  <c r="F93" i="1"/>
  <c r="F94" i="1"/>
  <c r="F95" i="1"/>
  <c r="F96" i="1"/>
  <c r="F97" i="1"/>
  <c r="F98" i="1"/>
  <c r="F99" i="1"/>
  <c r="F100" i="1"/>
  <c r="F101" i="1"/>
  <c r="F102"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B2" i="4"/>
  <c r="F71" i="1"/>
  <c r="F72" i="1"/>
  <c r="F73" i="1"/>
  <c r="F74" i="1"/>
  <c r="F75" i="1"/>
  <c r="F76" i="1"/>
  <c r="F77" i="1"/>
  <c r="F78" i="1"/>
  <c r="F79" i="1"/>
  <c r="F80" i="1"/>
  <c r="F81" i="1"/>
  <c r="F82" i="1"/>
  <c r="F70" i="1"/>
  <c r="F69" i="1"/>
  <c r="F68" i="1"/>
  <c r="F67" i="1"/>
  <c r="F63" i="1"/>
  <c r="F64" i="1"/>
  <c r="F65" i="1"/>
  <c r="F66" i="1"/>
  <c r="G5" i="6"/>
  <c r="F5" i="6"/>
  <c r="E5" i="6"/>
  <c r="I15" i="4" l="1"/>
  <c r="F42" i="1"/>
  <c r="F62" i="1"/>
  <c r="F61" i="1"/>
  <c r="F60" i="1"/>
  <c r="F59" i="1"/>
  <c r="H10" i="6"/>
  <c r="F50" i="1"/>
  <c r="F49" i="1"/>
  <c r="F48" i="1"/>
  <c r="F47" i="1"/>
  <c r="F52" i="1"/>
  <c r="F53" i="1"/>
  <c r="F54" i="1"/>
  <c r="F51" i="1"/>
  <c r="F56" i="1"/>
  <c r="F57" i="1"/>
  <c r="F58" i="1"/>
  <c r="F55" i="1"/>
  <c r="F44" i="1"/>
  <c r="F45" i="1"/>
  <c r="F46" i="1"/>
  <c r="F43" i="1"/>
  <c r="F40" i="1"/>
  <c r="F41" i="1"/>
  <c r="F39" i="1"/>
  <c r="F36" i="1"/>
  <c r="F37" i="1"/>
  <c r="F38" i="1"/>
  <c r="F35" i="1"/>
  <c r="F31" i="1"/>
  <c r="F28" i="1"/>
  <c r="F29" i="1"/>
  <c r="F30" i="1"/>
  <c r="F27" i="1"/>
  <c r="F24" i="1"/>
  <c r="F25" i="1"/>
  <c r="F26" i="1"/>
  <c r="F23" i="1"/>
  <c r="F20" i="1"/>
  <c r="F21" i="1"/>
  <c r="F22" i="1"/>
  <c r="F19" i="1"/>
  <c r="F32" i="1"/>
  <c r="F33" i="1"/>
  <c r="F34" i="1"/>
  <c r="H7" i="6"/>
  <c r="H8" i="6"/>
  <c r="H9" i="6"/>
  <c r="H11" i="6"/>
  <c r="H12" i="6"/>
  <c r="H13" i="6"/>
  <c r="H14" i="6"/>
  <c r="H15" i="6"/>
  <c r="H16" i="6"/>
  <c r="H17" i="6"/>
  <c r="H18" i="6"/>
  <c r="H19" i="6"/>
  <c r="H20" i="6"/>
  <c r="H21" i="6"/>
  <c r="H22" i="6"/>
  <c r="H23" i="6"/>
  <c r="H24" i="6"/>
  <c r="H25" i="6"/>
  <c r="H26" i="6"/>
  <c r="H27" i="6"/>
  <c r="H28" i="6"/>
  <c r="H29" i="6"/>
  <c r="H6" i="6"/>
  <c r="F15" i="1"/>
  <c r="F16" i="1"/>
  <c r="F17" i="1"/>
  <c r="F18" i="1"/>
  <c r="F12" i="1"/>
  <c r="F13" i="1"/>
  <c r="F14" i="1"/>
  <c r="F11" i="1"/>
  <c r="F8" i="1"/>
  <c r="F9" i="1"/>
  <c r="F10" i="1"/>
  <c r="F7" i="1"/>
  <c r="F4" i="1"/>
  <c r="F5" i="1"/>
  <c r="F6" i="1"/>
  <c r="F3" i="1"/>
  <c r="J15" i="4" l="1"/>
  <c r="I11" i="6" a="1"/>
  <c r="I11" i="6" s="1"/>
  <c r="I6" i="6" a="1"/>
  <c r="I6" i="6" s="1"/>
  <c r="I10" i="6" a="1"/>
  <c r="I10" i="6" s="1"/>
  <c r="L10" i="6" s="1"/>
  <c r="I13" i="6" a="1"/>
  <c r="I24" i="6" a="1"/>
  <c r="I23" i="6" a="1"/>
  <c r="I22" i="6" a="1"/>
  <c r="I21" i="6" a="1"/>
  <c r="I25" i="6" a="1"/>
  <c r="I17" i="6" a="1"/>
  <c r="I19" i="6" a="1"/>
  <c r="I18" i="6" a="1"/>
  <c r="I26" i="6" a="1"/>
  <c r="I14" i="6" a="1"/>
  <c r="I20" i="6" a="1"/>
  <c r="I29" i="6" a="1"/>
  <c r="I28" i="6" a="1"/>
  <c r="I16" i="6" a="1"/>
  <c r="I27" i="6" a="1"/>
  <c r="I15" i="6" a="1"/>
  <c r="I12" i="6" a="1"/>
  <c r="I9" i="6" a="1"/>
  <c r="I7" i="6" a="1"/>
  <c r="I8" i="6" a="1"/>
  <c r="N11" i="6" l="1"/>
  <c r="M11" i="6"/>
  <c r="I27" i="6"/>
  <c r="L27" i="6" s="1"/>
  <c r="N27" i="6"/>
  <c r="M27" i="6"/>
  <c r="I17" i="6"/>
  <c r="L17" i="6" s="1"/>
  <c r="N17" i="6"/>
  <c r="M17" i="6"/>
  <c r="I19" i="6"/>
  <c r="L19" i="6" s="1"/>
  <c r="M19" i="6"/>
  <c r="N19" i="6"/>
  <c r="I25" i="6"/>
  <c r="L25" i="6" s="1"/>
  <c r="M25" i="6"/>
  <c r="N25" i="6"/>
  <c r="I16" i="6"/>
  <c r="L16" i="6" s="1"/>
  <c r="N16" i="6"/>
  <c r="M16" i="6"/>
  <c r="I15" i="6"/>
  <c r="L15" i="6" s="1"/>
  <c r="N15" i="6"/>
  <c r="M15" i="6"/>
  <c r="I18" i="6"/>
  <c r="L18" i="6" s="1"/>
  <c r="M18" i="6"/>
  <c r="N18" i="6"/>
  <c r="I29" i="6"/>
  <c r="L29" i="6" s="1"/>
  <c r="N29" i="6"/>
  <c r="M29" i="6"/>
  <c r="I24" i="6"/>
  <c r="L24" i="6" s="1"/>
  <c r="N24" i="6"/>
  <c r="M24" i="6"/>
  <c r="I28" i="6"/>
  <c r="L28" i="6" s="1"/>
  <c r="N28" i="6"/>
  <c r="M28" i="6"/>
  <c r="I13" i="6"/>
  <c r="L13" i="6" s="1"/>
  <c r="M13" i="6"/>
  <c r="N13" i="6"/>
  <c r="I22" i="6"/>
  <c r="L22" i="6" s="1"/>
  <c r="M22" i="6"/>
  <c r="N22" i="6"/>
  <c r="I20" i="6"/>
  <c r="L20" i="6" s="1"/>
  <c r="M20" i="6"/>
  <c r="N20" i="6"/>
  <c r="I21" i="6"/>
  <c r="L21" i="6" s="1"/>
  <c r="M21" i="6"/>
  <c r="N21" i="6"/>
  <c r="I23" i="6"/>
  <c r="L23" i="6" s="1"/>
  <c r="M23" i="6"/>
  <c r="N23" i="6"/>
  <c r="I14" i="6"/>
  <c r="L14" i="6" s="1"/>
  <c r="N14" i="6"/>
  <c r="M14" i="6"/>
  <c r="I12" i="6"/>
  <c r="L12" i="6" s="1"/>
  <c r="M12" i="6"/>
  <c r="N12" i="6"/>
  <c r="I26" i="6"/>
  <c r="L26" i="6" s="1"/>
  <c r="M26" i="6"/>
  <c r="N26" i="6"/>
  <c r="I9" i="6"/>
  <c r="L9" i="6" s="1"/>
  <c r="N9" i="6"/>
  <c r="M9" i="6"/>
  <c r="L11" i="6"/>
  <c r="N10" i="6"/>
  <c r="M10" i="6"/>
  <c r="K5" i="6"/>
  <c r="J5" i="6"/>
  <c r="I8" i="6"/>
  <c r="L8" i="6" s="1"/>
  <c r="M8" i="6"/>
  <c r="N8" i="6"/>
  <c r="I7" i="6"/>
  <c r="L7" i="6" s="1"/>
  <c r="M7" i="6"/>
  <c r="N7" i="6"/>
  <c r="L6" i="6"/>
  <c r="N6" i="6"/>
  <c r="M6" i="6"/>
  <c r="O11" i="6" l="1"/>
  <c r="O25" i="6"/>
  <c r="O14" i="6"/>
  <c r="O20" i="6"/>
  <c r="O27" i="6"/>
  <c r="O23" i="6"/>
  <c r="O18" i="6"/>
  <c r="O26" i="6"/>
  <c r="O24" i="6"/>
  <c r="O21" i="6"/>
  <c r="O17" i="6"/>
  <c r="O15" i="6"/>
  <c r="O12" i="6"/>
  <c r="O29" i="6"/>
  <c r="O28" i="6"/>
  <c r="O19" i="6"/>
  <c r="O16" i="6"/>
  <c r="O22" i="6"/>
  <c r="O13" i="6"/>
  <c r="L5" i="6"/>
  <c r="O9" i="6"/>
  <c r="I5" i="6"/>
  <c r="M5" i="6"/>
  <c r="N5" i="6"/>
  <c r="O10" i="6"/>
  <c r="O6" i="6"/>
  <c r="O7" i="6"/>
  <c r="O8" i="6"/>
  <c r="O5" i="6" l="1"/>
  <c r="F8" i="4" s="1"/>
  <c r="F5" i="4" l="1"/>
  <c r="F10" i="4"/>
  <c r="F7" i="4"/>
  <c r="F4" i="4"/>
  <c r="F12" i="4"/>
  <c r="H8" i="4"/>
  <c r="I8" i="4" s="1"/>
  <c r="J8" i="4" s="1"/>
  <c r="F6" i="4"/>
  <c r="F13" i="4"/>
  <c r="F11" i="4"/>
  <c r="F9" i="4"/>
  <c r="F14" i="4"/>
  <c r="H6" i="4" l="1"/>
  <c r="I6" i="4" s="1"/>
  <c r="J6" i="4" s="1"/>
  <c r="H14" i="4"/>
  <c r="I14" i="4" s="1"/>
  <c r="J14" i="4" s="1"/>
  <c r="H9" i="4"/>
  <c r="I9" i="4" s="1"/>
  <c r="J9" i="4" s="1"/>
  <c r="H11" i="4"/>
  <c r="I11" i="4" s="1"/>
  <c r="J11" i="4" s="1"/>
  <c r="H13" i="4"/>
  <c r="I13" i="4" s="1"/>
  <c r="J13" i="4" s="1"/>
  <c r="H10" i="4"/>
  <c r="I10" i="4" s="1"/>
  <c r="J10" i="4" s="1"/>
  <c r="H12" i="4"/>
  <c r="I12" i="4" s="1"/>
  <c r="J12" i="4" s="1"/>
  <c r="H7" i="4"/>
  <c r="I7" i="4" s="1"/>
  <c r="J7" i="4" s="1"/>
  <c r="H5" i="4"/>
  <c r="I5" i="4" s="1"/>
  <c r="J5" i="4" s="1"/>
  <c r="H4" i="4"/>
  <c r="F16" i="4"/>
  <c r="F17" i="4" s="1"/>
  <c r="F18" i="4" s="1"/>
  <c r="F19" i="4" s="1"/>
  <c r="F20" i="4" s="1"/>
  <c r="E19" i="4" l="1"/>
  <c r="E18" i="4"/>
  <c r="E17" i="4"/>
  <c r="E15" i="4"/>
  <c r="E6" i="4"/>
  <c r="E9" i="4"/>
  <c r="E11" i="4"/>
  <c r="E14" i="4"/>
  <c r="E7" i="4"/>
  <c r="E8" i="4"/>
  <c r="E10" i="4"/>
  <c r="E12" i="4"/>
  <c r="E13" i="4"/>
  <c r="E4" i="4"/>
  <c r="E5" i="4"/>
  <c r="H16" i="4"/>
  <c r="H17" i="4" s="1"/>
  <c r="H18" i="4" s="1"/>
  <c r="H19" i="4" s="1"/>
  <c r="H20" i="4" s="1"/>
  <c r="I4" i="4"/>
  <c r="J4" i="4" s="1"/>
  <c r="J16" i="4" s="1"/>
  <c r="J17" i="4" s="1"/>
  <c r="J18" i="4" s="1"/>
  <c r="J19" i="4" s="1"/>
  <c r="J20" i="4" s="1"/>
  <c r="I16" i="4" l="1"/>
  <c r="I17" i="4" s="1"/>
  <c r="I18" i="4" s="1"/>
  <c r="I19" i="4" s="1"/>
  <c r="I2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Laique Shaikh</author>
  </authors>
  <commentList>
    <comment ref="C15" authorId="0" shapeId="0" xr:uid="{942F09CE-AA1A-4736-BEE0-25CC9DCB4855}">
      <text>
        <r>
          <rPr>
            <sz val="9"/>
            <color indexed="81"/>
            <rFont val="Tahoma"/>
            <family val="2"/>
          </rPr>
          <t>Fully defined and detailed functional requirements which clearly outline the features, functionalities, and expected behavior of the software, allowing for a thorough breakdown of tasks and accurate estimation of effort needed for each component</t>
        </r>
      </text>
    </comment>
    <comment ref="C16" authorId="0" shapeId="0" xr:uid="{E82DE30A-8B72-45DB-9250-C322AC5B82DB}">
      <text>
        <r>
          <rPr>
            <sz val="9"/>
            <color indexed="81"/>
            <rFont val="Tahoma"/>
            <family val="2"/>
          </rPr>
          <t xml:space="preserve">Requirements stability in software estimation refers to the degree to which the project's functional and non-functional requirements are finalized and unlikely to change significantly, which is crucial for accurate project estimations as frequent changes can drastically impact development time and effort. </t>
        </r>
      </text>
    </comment>
    <comment ref="C17" authorId="0" shapeId="0" xr:uid="{63A16A3E-1D2A-4D04-B06B-682EA8E1CBFA}">
      <text>
        <r>
          <rPr>
            <sz val="9"/>
            <color indexed="81"/>
            <rFont val="Tahoma"/>
            <family val="2"/>
          </rPr>
          <t xml:space="preserve">Stringent Quality in software development refers to a highly rigorous and thorough approach to ensuring the quality of a software product, emphasizing meticulous attention to detail, extensive testing, and strict adherence to defined quality standards throughout the development lifecycle, aiming to minimize defects and deliver a highly reliable and functional application. </t>
        </r>
      </text>
    </comment>
    <comment ref="C18" authorId="0" shapeId="0" xr:uid="{74153FF7-775E-4FE6-8EF3-8AEC2E4B4863}">
      <text>
        <r>
          <rPr>
            <sz val="9"/>
            <color indexed="81"/>
            <rFont val="Tahoma"/>
            <family val="2"/>
          </rPr>
          <t>stringent process in software development refers to a highly structured and rigorous development methodology, often following a strict set of rules and procedures, with a strong emphasis on thorough documentation, extensive testing, and limited flexibility to deviate from the planned steps, typically associated with a "waterfall" model where each phase must be completed before moving to the next, preventing backtracking or significant changes.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<sst xmlns="http://schemas.openxmlformats.org/spreadsheetml/2006/main" count="616" uniqueCount="385">
  <si>
    <t>Instruction Manual for WBS Template</t>
  </si>
  <si>
    <t>This template is designed to assist project managers in estimating and tracking efforts for various project tasks. It organizes tasks by complexity and work types, providing a structured way to manage and update project efforts. The workflow covers five main sheets:</t>
  </si>
  <si>
    <t>1. Estimation Details</t>
  </si>
  <si>
    <t>2. Pre-Estimate Checklist</t>
  </si>
  <si>
    <t>3. Effort Summary</t>
  </si>
  <si>
    <t>4. Estimation WBS</t>
  </si>
  <si>
    <t>5. Complexity &amp; Effort</t>
  </si>
  <si>
    <t xml:space="preserve">6. Key RAID </t>
  </si>
  <si>
    <t>7.Config</t>
  </si>
  <si>
    <t>1. Estimation Details Sheet</t>
  </si>
  <si>
    <r>
      <t>Purpose:</t>
    </r>
    <r>
      <rPr>
        <sz val="10"/>
        <color rgb="FF000000"/>
        <rFont val="Arial"/>
        <family val="2"/>
        <scheme val="minor"/>
      </rPr>
      <t xml:space="preserve"> Capture all relevant project and client information to set the context for estimation and track changes.</t>
    </r>
  </si>
  <si>
    <t>Columns to Update:</t>
  </si>
  <si>
    <t>Column C:</t>
  </si>
  <si>
    <r>
      <t>Project ID &amp; Name</t>
    </r>
    <r>
      <rPr>
        <sz val="10"/>
        <color rgb="FF000000"/>
        <rFont val="Arial"/>
        <family val="2"/>
        <scheme val="minor"/>
      </rPr>
      <t>: From FreshSales.</t>
    </r>
  </si>
  <si>
    <r>
      <t>Client ID &amp; Name</t>
    </r>
    <r>
      <rPr>
        <sz val="10"/>
        <color rgb="FF000000"/>
        <rFont val="Arial"/>
        <family val="2"/>
        <scheme val="minor"/>
      </rPr>
      <t>: From FreshSales.</t>
    </r>
  </si>
  <si>
    <r>
      <t>Date of Estimate &amp; Engagement Start Date</t>
    </r>
    <r>
      <rPr>
        <sz val="10"/>
        <color rgb="FF000000"/>
        <rFont val="Arial"/>
        <family val="2"/>
        <scheme val="minor"/>
      </rPr>
      <t>: Use DD-MM-YYYY format.</t>
    </r>
  </si>
  <si>
    <r>
      <t>Engagement Type, Duration, Domain, Practice</t>
    </r>
    <r>
      <rPr>
        <sz val="10"/>
        <color rgb="FF000000"/>
        <rFont val="Arial"/>
        <family val="2"/>
        <scheme val="minor"/>
      </rPr>
      <t>: Fill as applicable.</t>
    </r>
  </si>
  <si>
    <r>
      <t>Project Description</t>
    </r>
    <r>
      <rPr>
        <sz val="10"/>
        <color rgb="FF000000"/>
        <rFont val="Arial"/>
        <family val="2"/>
        <scheme val="minor"/>
      </rPr>
      <t>: Add a brief summary of the project objectives and scope.</t>
    </r>
  </si>
  <si>
    <r>
      <t>Requirements Availability &amp; Stability</t>
    </r>
    <r>
      <rPr>
        <sz val="10"/>
        <color rgb="FF000000"/>
        <rFont val="Arial"/>
        <family val="2"/>
        <scheme val="minor"/>
      </rPr>
      <t>: Describe the clarity of project requirements.</t>
    </r>
  </si>
  <si>
    <r>
      <t>Stringent Quality &amp; Process Requirements</t>
    </r>
    <r>
      <rPr>
        <sz val="10"/>
        <color rgb="FF000000"/>
        <rFont val="Arial"/>
        <family val="2"/>
        <scheme val="minor"/>
      </rPr>
      <t>: Note any specific requirements.</t>
    </r>
  </si>
  <si>
    <t>Columns E to I:</t>
  </si>
  <si>
    <r>
      <t xml:space="preserve">Use the </t>
    </r>
    <r>
      <rPr>
        <b/>
        <sz val="10"/>
        <color rgb="FF000000"/>
        <rFont val="Arial"/>
        <family val="2"/>
        <scheme val="minor"/>
      </rPr>
      <t>Estimates Change History</t>
    </r>
    <r>
      <rPr>
        <sz val="10"/>
        <color rgb="FF000000"/>
        <rFont val="Arial"/>
        <family val="2"/>
        <scheme val="minor"/>
      </rPr>
      <t xml:space="preserve"> section to log revisions, including the date, version, and approvers.</t>
    </r>
  </si>
  <si>
    <t>Guidance:</t>
  </si>
  <si>
    <t>Ensure all mandatory fields are filled</t>
  </si>
  <si>
    <r>
      <t>Purpose:</t>
    </r>
    <r>
      <rPr>
        <sz val="10"/>
        <color rgb="FF000000"/>
        <rFont val="Arial"/>
        <family val="2"/>
        <scheme val="minor"/>
      </rPr>
      <t xml:space="preserve"> Ensure that project processes such as scoping, risk assessment, and resource allocation are reviewed before estimation.</t>
    </r>
  </si>
  <si>
    <r>
      <t>Column C:</t>
    </r>
    <r>
      <rPr>
        <sz val="10"/>
        <color rgb="FF000000"/>
        <rFont val="Arial"/>
        <family val="2"/>
        <scheme val="minor"/>
      </rPr>
      <t xml:space="preserve"> Mark checklist items as </t>
    </r>
    <r>
      <rPr>
        <b/>
        <sz val="10"/>
        <color rgb="FF000000"/>
        <rFont val="Arial"/>
        <family val="2"/>
        <scheme val="minor"/>
      </rPr>
      <t>Yes</t>
    </r>
    <r>
      <rPr>
        <sz val="10"/>
        <color rgb="FF000000"/>
        <rFont val="Arial"/>
        <family val="2"/>
        <scheme val="minor"/>
      </rPr>
      <t xml:space="preserve">, </t>
    </r>
    <r>
      <rPr>
        <b/>
        <sz val="10"/>
        <color rgb="FF000000"/>
        <rFont val="Arial"/>
        <family val="2"/>
        <scheme val="minor"/>
      </rPr>
      <t>No</t>
    </r>
    <r>
      <rPr>
        <sz val="10"/>
        <color rgb="FF000000"/>
        <rFont val="Arial"/>
        <family val="2"/>
        <scheme val="minor"/>
      </rPr>
      <t xml:space="preserve">, or </t>
    </r>
    <r>
      <rPr>
        <b/>
        <sz val="10"/>
        <color rgb="FF000000"/>
        <rFont val="Arial"/>
        <family val="2"/>
        <scheme val="minor"/>
      </rPr>
      <t>Not Necessary</t>
    </r>
    <r>
      <rPr>
        <sz val="10"/>
        <color rgb="FF000000"/>
        <rFont val="Arial"/>
        <family val="2"/>
        <scheme val="minor"/>
      </rPr>
      <t xml:space="preserve"> based on the status.</t>
    </r>
  </si>
  <si>
    <r>
      <t>Column D:</t>
    </r>
    <r>
      <rPr>
        <sz val="10"/>
        <color rgb="FF000000"/>
        <rFont val="Arial"/>
        <family val="2"/>
        <scheme val="minor"/>
      </rPr>
      <t xml:space="preserve"> Add remarks for incomplete or unnecessary items.</t>
    </r>
  </si>
  <si>
    <t>Use this sheet as a quality checkpoint before moving forward.</t>
  </si>
  <si>
    <t xml:space="preserve">3. Effort Summary Sheet </t>
  </si>
  <si>
    <r>
      <t>Purpose:</t>
    </r>
    <r>
      <rPr>
        <sz val="10"/>
        <color rgb="FF000000"/>
        <rFont val="Arial"/>
        <family val="2"/>
        <scheme val="minor"/>
      </rPr>
      <t xml:space="preserve"> Provides a phase-wise breakdown of efforts (L1–L10). L5 represents coding and unit testing. Efforts are allocated based on predefined percentages, and the effort summary is automatically calculated using preset logic from the Estimation WBS Sheet.</t>
    </r>
  </si>
  <si>
    <t>Columns to Update in case of Adjustments:</t>
  </si>
  <si>
    <r>
      <t>Column F:</t>
    </r>
    <r>
      <rPr>
        <sz val="10"/>
        <color rgb="FF000000"/>
        <rFont val="Arial"/>
        <family val="2"/>
        <scheme val="minor"/>
      </rPr>
      <t xml:space="preserve"> Adjust </t>
    </r>
    <r>
      <rPr>
        <b/>
        <sz val="10"/>
        <color rgb="FF000000"/>
        <rFont val="Arial"/>
        <family val="2"/>
        <scheme val="minor"/>
      </rPr>
      <t>Adjusted Efforts (Hrs)</t>
    </r>
    <r>
      <rPr>
        <sz val="10"/>
        <color rgb="FF000000"/>
        <rFont val="Arial"/>
        <family val="2"/>
        <scheme val="minor"/>
      </rPr>
      <t xml:space="preserve"> as needed.</t>
    </r>
  </si>
  <si>
    <r>
      <t>Column J:</t>
    </r>
    <r>
      <rPr>
        <sz val="10"/>
        <color rgb="FF000000"/>
        <rFont val="Arial"/>
        <family val="2"/>
        <scheme val="minor"/>
      </rPr>
      <t xml:space="preserve"> Provide mandatory justifications for any adjustments made in Column F.</t>
    </r>
  </si>
  <si>
    <t>Auto-Calculated Columns (Non-Editable):</t>
  </si>
  <si>
    <r>
      <t>Estimated Effort (Hrs)</t>
    </r>
    <r>
      <rPr>
        <sz val="10"/>
        <color rgb="FF000000"/>
        <rFont val="Arial"/>
        <family val="2"/>
        <scheme val="minor"/>
      </rPr>
      <t xml:space="preserve"> (Column E): Calculated based on L5 and percentages.</t>
    </r>
  </si>
  <si>
    <r>
      <t>Final Effort (Hrs/MD/MW)</t>
    </r>
    <r>
      <rPr>
        <sz val="10"/>
        <color rgb="FF000000"/>
        <rFont val="Arial"/>
        <family val="2"/>
        <scheme val="minor"/>
      </rPr>
      <t xml:space="preserve"> (Columns G–I): Summarize calculated efforts.</t>
    </r>
  </si>
  <si>
    <t>Adjust only where required and justify changes to maintain transparency. Locked cells (B1–E19) ensure data integrity. Contact the template administrator for edits to locked cells.</t>
  </si>
  <si>
    <t>4. Estimation WBS Sheet</t>
  </si>
  <si>
    <r>
      <t>Purpose:</t>
    </r>
    <r>
      <rPr>
        <sz val="10"/>
        <color rgb="FF000000"/>
        <rFont val="Arial"/>
        <family val="2"/>
        <scheme val="minor"/>
      </rPr>
      <t xml:space="preserve"> Break tasks into a detailed WBS and auto-calculate effort hours.</t>
    </r>
  </si>
  <si>
    <r>
      <t>Column B:</t>
    </r>
    <r>
      <rPr>
        <sz val="10"/>
        <color rgb="FF000000"/>
        <rFont val="Arial"/>
        <family val="2"/>
        <scheme val="minor"/>
      </rPr>
      <t xml:space="preserve"> Assign </t>
    </r>
    <r>
      <rPr>
        <b/>
        <sz val="10"/>
        <color rgb="FF000000"/>
        <rFont val="Arial"/>
        <family val="2"/>
        <scheme val="minor"/>
      </rPr>
      <t>SEQ Numbers</t>
    </r>
    <r>
      <rPr>
        <sz val="10"/>
        <color rgb="FF000000"/>
        <rFont val="Arial"/>
        <family val="2"/>
        <scheme val="minor"/>
      </rPr>
      <t xml:space="preserve"> for tasks.</t>
    </r>
  </si>
  <si>
    <r>
      <t>Column C:</t>
    </r>
    <r>
      <rPr>
        <sz val="10"/>
        <color rgb="FF000000"/>
        <rFont val="Arial"/>
        <family val="2"/>
        <scheme val="minor"/>
      </rPr>
      <t xml:space="preserve"> Select the </t>
    </r>
    <r>
      <rPr>
        <b/>
        <sz val="10"/>
        <color rgb="FF000000"/>
        <rFont val="Arial"/>
        <family val="2"/>
        <scheme val="minor"/>
      </rPr>
      <t>Work/Package Type</t>
    </r>
    <r>
      <rPr>
        <sz val="10"/>
        <color rgb="FF000000"/>
        <rFont val="Arial"/>
        <family val="2"/>
        <scheme val="minor"/>
      </rPr>
      <t xml:space="preserve"> (e.g., development, testing) from the drop-down list.</t>
    </r>
  </si>
  <si>
    <r>
      <t>Column D:</t>
    </r>
    <r>
      <rPr>
        <sz val="10"/>
        <color rgb="FF000000"/>
        <rFont val="Arial"/>
        <family val="2"/>
        <scheme val="minor"/>
      </rPr>
      <t xml:space="preserve"> Choose the </t>
    </r>
    <r>
      <rPr>
        <b/>
        <sz val="10"/>
        <color rgb="FF000000"/>
        <rFont val="Arial"/>
        <family val="2"/>
        <scheme val="minor"/>
      </rPr>
      <t>Category</t>
    </r>
    <r>
      <rPr>
        <sz val="10"/>
        <color rgb="FF000000"/>
        <rFont val="Arial"/>
        <family val="2"/>
        <scheme val="minor"/>
      </rPr>
      <t xml:space="preserve"> (Simple, Medium, Complex, Very Complex) from the drop-down.</t>
    </r>
  </si>
  <si>
    <r>
      <t>Columns E–G:</t>
    </r>
    <r>
      <rPr>
        <sz val="10"/>
        <color rgb="FF000000"/>
        <rFont val="Arial"/>
        <family val="2"/>
        <scheme val="minor"/>
      </rPr>
      <t xml:space="preserve"> Enter the number of objects to be </t>
    </r>
    <r>
      <rPr>
        <b/>
        <sz val="10"/>
        <color rgb="FF000000"/>
        <rFont val="Arial"/>
        <family val="2"/>
        <scheme val="minor"/>
      </rPr>
      <t>Created</t>
    </r>
    <r>
      <rPr>
        <sz val="10"/>
        <color rgb="FF000000"/>
        <rFont val="Arial"/>
        <family val="2"/>
        <scheme val="minor"/>
      </rPr>
      <t xml:space="preserve">, </t>
    </r>
    <r>
      <rPr>
        <b/>
        <sz val="10"/>
        <color rgb="FF000000"/>
        <rFont val="Arial"/>
        <family val="2"/>
        <scheme val="minor"/>
      </rPr>
      <t>Modified</t>
    </r>
    <r>
      <rPr>
        <sz val="10"/>
        <color rgb="FF000000"/>
        <rFont val="Arial"/>
        <family val="2"/>
        <scheme val="minor"/>
      </rPr>
      <t xml:space="preserve">, or </t>
    </r>
    <r>
      <rPr>
        <b/>
        <sz val="10"/>
        <color rgb="FF000000"/>
        <rFont val="Arial"/>
        <family val="2"/>
        <scheme val="minor"/>
      </rPr>
      <t>Deleted</t>
    </r>
    <r>
      <rPr>
        <sz val="10"/>
        <color rgb="FF000000"/>
        <rFont val="Arial"/>
        <family val="2"/>
        <scheme val="minor"/>
      </rPr>
      <t>.</t>
    </r>
  </si>
  <si>
    <r>
      <t>Effort in Hours</t>
    </r>
    <r>
      <rPr>
        <sz val="10"/>
        <color rgb="FF000000"/>
        <rFont val="Arial"/>
        <family val="2"/>
        <scheme val="minor"/>
      </rPr>
      <t xml:space="preserve"> (Column H): Automatically calculated based on inputs.</t>
    </r>
  </si>
  <si>
    <r>
      <t>Base Effort (Hrs)</t>
    </r>
    <r>
      <rPr>
        <sz val="10"/>
        <color rgb="FF000000"/>
        <rFont val="Arial"/>
        <family val="2"/>
        <scheme val="minor"/>
      </rPr>
      <t xml:space="preserve"> and </t>
    </r>
    <r>
      <rPr>
        <b/>
        <sz val="10"/>
        <color rgb="FF000000"/>
        <rFont val="Arial"/>
        <family val="2"/>
        <scheme val="minor"/>
      </rPr>
      <t>Estimated Effort (Hrs)</t>
    </r>
    <r>
      <rPr>
        <sz val="10"/>
        <color rgb="FF000000"/>
        <rFont val="Arial"/>
        <family val="2"/>
        <scheme val="minor"/>
      </rPr>
      <t xml:space="preserve"> (Columns I–J): Auto-calculated using pre-set logic.</t>
    </r>
  </si>
  <si>
    <t>Review effort hours and adjust task details if needed to reflect changes in scope in Effort Summary Sheet with justifaction for Adjustments</t>
  </si>
  <si>
    <t>5. Complexity &amp; Effort Sheet</t>
  </si>
  <si>
    <r>
      <t>Purpose:</t>
    </r>
    <r>
      <rPr>
        <sz val="10"/>
        <color rgb="FF000000"/>
        <rFont val="Arial"/>
        <family val="2"/>
        <scheme val="minor"/>
      </rPr>
      <t xml:space="preserve"> Define the effort matrix for work types and complexity levels.</t>
    </r>
  </si>
  <si>
    <t>Non-Editable Fields:</t>
  </si>
  <si>
    <t>Columns A–I:</t>
  </si>
  <si>
    <r>
      <t>Work Type:</t>
    </r>
    <r>
      <rPr>
        <sz val="10"/>
        <color rgb="FF000000"/>
        <rFont val="Arial"/>
        <family val="2"/>
        <scheme val="minor"/>
      </rPr>
      <t xml:space="preserve"> Task categories (e.g., development, testing).</t>
    </r>
  </si>
  <si>
    <r>
      <t>Complexity Levels:</t>
    </r>
    <r>
      <rPr>
        <sz val="10"/>
        <color rgb="FF000000"/>
        <rFont val="Arial"/>
        <family val="2"/>
        <scheme val="minor"/>
      </rPr>
      <t xml:space="preserve"> Simple, Medium, Complex, Very Complex.</t>
    </r>
  </si>
  <si>
    <r>
      <t>Effort Hours:</t>
    </r>
    <r>
      <rPr>
        <sz val="10"/>
        <color rgb="FF000000"/>
        <rFont val="Arial"/>
        <family val="2"/>
        <scheme val="minor"/>
      </rPr>
      <t xml:space="preserve"> Pre-defined values for Create, Modify, and Delete actions.</t>
    </r>
  </si>
  <si>
    <r>
      <t xml:space="preserve">This sheet is </t>
    </r>
    <r>
      <rPr>
        <b/>
        <sz val="10"/>
        <color theme="5"/>
        <rFont val="Arial"/>
        <family val="2"/>
        <scheme val="minor"/>
      </rPr>
      <t>locked for general users.</t>
    </r>
    <r>
      <rPr>
        <b/>
        <sz val="10"/>
        <color theme="4" tint="-0.249977111117893"/>
        <rFont val="Arial"/>
        <family val="2"/>
        <scheme val="minor"/>
      </rPr>
      <t xml:space="preserve"> Values feed directly into the Estimation WBS Sheet for automatic calculations. Contact the template administrator for updates.</t>
    </r>
  </si>
  <si>
    <t>6. Key RAID Sheet</t>
  </si>
  <si>
    <r>
      <t>Purpose:</t>
    </r>
    <r>
      <rPr>
        <sz val="10"/>
        <color rgb="FF000000"/>
        <rFont val="Arial"/>
        <family val="2"/>
        <scheme val="minor"/>
      </rPr>
      <t xml:space="preserve"> Tracks the RAID for the project</t>
    </r>
  </si>
  <si>
    <r>
      <t>Column A :</t>
    </r>
    <r>
      <rPr>
        <sz val="10"/>
        <color rgb="FF000000"/>
        <rFont val="Arial"/>
        <family val="2"/>
        <scheme val="minor"/>
      </rPr>
      <t xml:space="preserve"> Assign </t>
    </r>
    <r>
      <rPr>
        <b/>
        <sz val="10"/>
        <color rgb="FF000000"/>
        <rFont val="Arial"/>
        <family val="2"/>
        <scheme val="minor"/>
      </rPr>
      <t>#ID</t>
    </r>
    <r>
      <rPr>
        <sz val="10"/>
        <color rgb="FF000000"/>
        <rFont val="Arial"/>
        <family val="2"/>
        <scheme val="minor"/>
      </rPr>
      <t xml:space="preserve"> unique identifier to each item (e.g., R1 for Risk 1, A1 for Assumption 1).</t>
    </r>
  </si>
  <si>
    <r>
      <t>Column B:</t>
    </r>
    <r>
      <rPr>
        <sz val="10"/>
        <color rgb="FF000000"/>
        <rFont val="Arial"/>
        <family val="2"/>
        <scheme val="minor"/>
      </rPr>
      <t xml:space="preserve"> Select the appropriate category (Risk, Assumption, Issue, or Dependency) from the </t>
    </r>
    <r>
      <rPr>
        <b/>
        <sz val="10"/>
        <color rgb="FF000000"/>
        <rFont val="Arial"/>
        <family val="2"/>
        <scheme val="minor"/>
      </rPr>
      <t>RAID</t>
    </r>
    <r>
      <rPr>
        <sz val="10"/>
        <color rgb="FF000000"/>
        <rFont val="Arial"/>
        <family val="2"/>
        <scheme val="minor"/>
      </rPr>
      <t xml:space="preserve"> drop-down list in the RAID column.</t>
    </r>
  </si>
  <si>
    <r>
      <t>Column C:</t>
    </r>
    <r>
      <rPr>
        <sz val="10"/>
        <color rgb="FF000000"/>
        <rFont val="Arial"/>
        <family val="2"/>
        <scheme val="minor"/>
      </rPr>
      <t xml:space="preserve"> Enter a brief yet descriptive explanation of the selected item in the </t>
    </r>
    <r>
      <rPr>
        <b/>
        <sz val="10"/>
        <color rgb="FF000000"/>
        <rFont val="Arial"/>
        <family val="2"/>
        <scheme val="minor"/>
      </rPr>
      <t>Description</t>
    </r>
    <r>
      <rPr>
        <sz val="10"/>
        <color rgb="FF000000"/>
        <rFont val="Arial"/>
        <family val="2"/>
        <scheme val="minor"/>
      </rPr>
      <t xml:space="preserve"> column.</t>
    </r>
  </si>
  <si>
    <r>
      <t>Column D:</t>
    </r>
    <r>
      <rPr>
        <sz val="10"/>
        <color rgb="FF000000"/>
        <rFont val="Arial"/>
        <family val="2"/>
        <scheme val="minor"/>
      </rPr>
      <t xml:space="preserve"> Choose the impact level (Low, Medium, or High) from the </t>
    </r>
    <r>
      <rPr>
        <b/>
        <sz val="10"/>
        <color rgb="FF000000"/>
        <rFont val="Arial"/>
        <family val="2"/>
        <scheme val="minor"/>
      </rPr>
      <t>Impact</t>
    </r>
    <r>
      <rPr>
        <sz val="10"/>
        <color rgb="FF000000"/>
        <rFont val="Arial"/>
        <family val="2"/>
        <scheme val="minor"/>
      </rPr>
      <t xml:space="preserve"> drop-down list based on the item's potential effect on the estimation.</t>
    </r>
  </si>
  <si>
    <r>
      <t>Column F:</t>
    </r>
    <r>
      <rPr>
        <sz val="10"/>
        <color rgb="FF000000"/>
        <rFont val="Arial"/>
        <family val="2"/>
        <scheme val="minor"/>
      </rPr>
      <t xml:space="preserve"> Provide additional context or clarifications in the </t>
    </r>
    <r>
      <rPr>
        <b/>
        <sz val="10"/>
        <color rgb="FF000000"/>
        <rFont val="Arial"/>
        <family val="2"/>
        <scheme val="minor"/>
      </rPr>
      <t>Remarks</t>
    </r>
    <r>
      <rPr>
        <sz val="10"/>
        <color rgb="FF000000"/>
        <rFont val="Arial"/>
        <family val="2"/>
        <scheme val="minor"/>
      </rPr>
      <t xml:space="preserve"> column as needed to ensure clear understanding and traceability.</t>
    </r>
  </si>
  <si>
    <t>7. Config Sheet</t>
  </si>
  <si>
    <r>
      <t xml:space="preserve">The Config sheet contains predefined fields for Domain, Practice, measurement units, Engagement Type, RAID details, Contingency %, and Productivity Adjustment factors, which are </t>
    </r>
    <r>
      <rPr>
        <b/>
        <sz val="10"/>
        <color theme="5"/>
        <rFont val="Arial"/>
        <family val="2"/>
        <scheme val="minor"/>
      </rPr>
      <t>locked for general users.</t>
    </r>
    <r>
      <rPr>
        <b/>
        <sz val="10"/>
        <color theme="4" tint="-0.249977111117893"/>
        <rFont val="Arial"/>
        <family val="2"/>
        <scheme val="minor"/>
      </rPr>
      <t xml:space="preserve"> Users must contact the Template Administrator for any updates or changes to this non-editable sheet.</t>
    </r>
  </si>
  <si>
    <t>Estimation Details</t>
  </si>
  <si>
    <t>Estimation change History</t>
  </si>
  <si>
    <t>Project ID &amp; Project Name (FreshSales)</t>
  </si>
  <si>
    <t>Estimation Date</t>
  </si>
  <si>
    <t>Estimation Version</t>
  </si>
  <si>
    <t>Document Revision History</t>
  </si>
  <si>
    <t>Estimated /Revised By</t>
  </si>
  <si>
    <t>Approved By</t>
  </si>
  <si>
    <t>Client ID &amp; Name (FreshSales)</t>
  </si>
  <si>
    <t>Initial Estimate</t>
  </si>
  <si>
    <t>Date of Estimate (DD-MM-YYYY)</t>
  </si>
  <si>
    <t>Engagement Start Date (DD-MM-YYYY)</t>
  </si>
  <si>
    <t>Engagement Type</t>
  </si>
  <si>
    <t>Fixed Price</t>
  </si>
  <si>
    <t>Expected Duration (Months)</t>
  </si>
  <si>
    <t>Domain</t>
  </si>
  <si>
    <t>PS&amp;D - Public Sector &amp; Defense</t>
  </si>
  <si>
    <t>Practice</t>
  </si>
  <si>
    <t>Databricks</t>
  </si>
  <si>
    <t>Project Description(Brief)</t>
  </si>
  <si>
    <t>Requirements Availability</t>
  </si>
  <si>
    <t>Requirements stability</t>
  </si>
  <si>
    <t>Stringent Quality Requirements</t>
  </si>
  <si>
    <t>Stringent Process Requirements</t>
  </si>
  <si>
    <t>Pre-estimate checklist:</t>
  </si>
  <si>
    <t>Project Process</t>
  </si>
  <si>
    <t>Yes</t>
  </si>
  <si>
    <t>No</t>
  </si>
  <si>
    <t>Not necessary</t>
  </si>
  <si>
    <t>Remarks</t>
  </si>
  <si>
    <t>Requirements</t>
  </si>
  <si>
    <r>
      <t xml:space="preserve">Are the Project Requirements clearly documented and Understood? </t>
    </r>
    <r>
      <rPr>
        <i/>
        <sz val="10"/>
        <rFont val="Calibri"/>
        <family val="2"/>
      </rPr>
      <t>(by both Exponentia and the Client?)</t>
    </r>
  </si>
  <si>
    <t>X</t>
  </si>
  <si>
    <t>Is the criteria for meeting each requirement defined?</t>
  </si>
  <si>
    <t>Are the Project Requirements Baselined (Under change control)?</t>
  </si>
  <si>
    <t>Is there a "Client approved" plan for Requirements changes?</t>
  </si>
  <si>
    <t>Has a Requirements Traceability Matrix been developed?</t>
  </si>
  <si>
    <t>Have the requirements been validated against the business objectives?</t>
  </si>
  <si>
    <t>Have you considered all of the processes that must be followed during the project life cycle</t>
  </si>
  <si>
    <t>Have you considered all of the interfaces that must be adhered to?</t>
  </si>
  <si>
    <t>Scoping</t>
  </si>
  <si>
    <t>Has a Statement of Work (SOW) been reviewed/approved by the Client</t>
  </si>
  <si>
    <t>Has the Statement of Work been reviewed by delivery team</t>
  </si>
  <si>
    <t>Has a Work Breakdown Structure (WBS) been reviewed by the Client</t>
  </si>
  <si>
    <t>Has the WBS been reviewed by delivery team</t>
  </si>
  <si>
    <t>Risk</t>
  </si>
  <si>
    <r>
      <t xml:space="preserve">Has a formal Risk Assessment been done? </t>
    </r>
    <r>
      <rPr>
        <i/>
        <sz val="10"/>
        <rFont val="Calibri"/>
        <family val="2"/>
      </rPr>
      <t>(including probability, impacts, avoidance &amp; recovery)</t>
    </r>
  </si>
  <si>
    <t>Is there an approved Risk Management Plan?</t>
  </si>
  <si>
    <t>Was a Client representative involved with the Risk Management Plan?</t>
  </si>
  <si>
    <t>Were appropriate delivery team resources involved in the Risk Management Plan?</t>
  </si>
  <si>
    <t>Environments</t>
  </si>
  <si>
    <t>Is the process for identifying, acquiring, establishing, and verifying the environment understood and included in the plans for the project?</t>
  </si>
  <si>
    <t>Is the Development environment adequate to support the project?</t>
  </si>
  <si>
    <t>Is the Operational environment adequate to support the project?</t>
  </si>
  <si>
    <t>Resources</t>
  </si>
  <si>
    <t>Are appropriate resources available for the project?</t>
  </si>
  <si>
    <t>Are the resources committed to participate in the required activities?</t>
  </si>
  <si>
    <t>Is there a training plan to cover deficiencies?</t>
  </si>
  <si>
    <t>Activities</t>
  </si>
  <si>
    <t>Phase</t>
  </si>
  <si>
    <t>Effort Distribution %  wrt CUT</t>
  </si>
  <si>
    <t>Effort Distribution %  wrt Total Effort</t>
  </si>
  <si>
    <t>Estimated Effort (Hrs)</t>
  </si>
  <si>
    <t>Adjusted Efforts (Hrs) Distribution</t>
  </si>
  <si>
    <t>Final Effort (Hrs)</t>
  </si>
  <si>
    <t>Final Effort (MD)</t>
  </si>
  <si>
    <t>Final Effort (MW)</t>
  </si>
  <si>
    <r>
      <t xml:space="preserve">Justification / Remark for Adjustment
</t>
    </r>
    <r>
      <rPr>
        <b/>
        <i/>
        <sz val="10"/>
        <color theme="0"/>
        <rFont val="Calibri"/>
        <family val="2"/>
      </rPr>
      <t>(It is mandatory to update this, if effort is adjusted in the column F)</t>
    </r>
  </si>
  <si>
    <t>Business Architecture &amp; Environment Setup</t>
  </si>
  <si>
    <t>L1</t>
  </si>
  <si>
    <t>Requirement Development</t>
  </si>
  <si>
    <t>L2</t>
  </si>
  <si>
    <t>Software Architecture and Functional Design</t>
  </si>
  <si>
    <t>L3</t>
  </si>
  <si>
    <t>Requirement Assessment and Detailed Design</t>
  </si>
  <si>
    <t>L4</t>
  </si>
  <si>
    <t>Coding and Unit Test</t>
  </si>
  <si>
    <t>L5</t>
  </si>
  <si>
    <t>Integration Testing</t>
  </si>
  <si>
    <t>L6</t>
  </si>
  <si>
    <t>System Testing</t>
  </si>
  <si>
    <t>L7</t>
  </si>
  <si>
    <t>Document Preperations</t>
  </si>
  <si>
    <t>L8</t>
  </si>
  <si>
    <t>User Acceptance Test - UAT (Support)</t>
  </si>
  <si>
    <t>L9</t>
  </si>
  <si>
    <t>Prepare Production and Deployment</t>
  </si>
  <si>
    <t>L10</t>
  </si>
  <si>
    <t>Production Support - Hyper Care</t>
  </si>
  <si>
    <t>L11</t>
  </si>
  <si>
    <t>Any other Task/Activity</t>
  </si>
  <si>
    <t>L12</t>
  </si>
  <si>
    <t>Total Efforts</t>
  </si>
  <si>
    <t>Project Mgmt + Quality Mgmt</t>
  </si>
  <si>
    <t>Total Efforts (Inc Project Mgmt + Quality Mgmt)</t>
  </si>
  <si>
    <t>Contingency%</t>
  </si>
  <si>
    <t>Grand Total Efforts
(Including Contingency)</t>
  </si>
  <si>
    <t>Productivity Adjustment Factor</t>
  </si>
  <si>
    <t>Work Breakdown Structure (WBS)</t>
  </si>
  <si>
    <t># SEQ No</t>
  </si>
  <si>
    <t>Work/Package Type</t>
  </si>
  <si>
    <t>Category</t>
  </si>
  <si>
    <t>#Objects to be</t>
  </si>
  <si>
    <t>Category Code</t>
  </si>
  <si>
    <t>Base Effort (Hrs) /Object/Complexity &amp; Category</t>
  </si>
  <si>
    <t>Estimated Effort (Hrs) /Object/Category</t>
  </si>
  <si>
    <t>Total Effort</t>
  </si>
  <si>
    <t>Created</t>
  </si>
  <si>
    <t>Modified</t>
  </si>
  <si>
    <t>Deleted</t>
  </si>
  <si>
    <t>Create</t>
  </si>
  <si>
    <t>Modify</t>
  </si>
  <si>
    <t>Delete</t>
  </si>
  <si>
    <t>#</t>
  </si>
  <si>
    <t>Total</t>
  </si>
  <si>
    <t>Work Type</t>
  </si>
  <si>
    <t>Definition</t>
  </si>
  <si>
    <t>Complexity / Criterion</t>
  </si>
  <si>
    <t>Database</t>
  </si>
  <si>
    <t>A database is container that hold relational tables and other database structures that store and process data/metadata. Each database has its own properties such as Permanent Space, Spool  Space, Temp Space, Access rights, Security details</t>
  </si>
  <si>
    <t>Database creation with simple configurations</t>
  </si>
  <si>
    <t>Simple</t>
  </si>
  <si>
    <t>a database with a moderate size and data volume with basic transactional application support</t>
  </si>
  <si>
    <t>Medium</t>
  </si>
  <si>
    <t>Database creation with advanced data types, intricate partitioning options, complex performance tuning mechanisms, robust security configurations</t>
  </si>
  <si>
    <t>Complex</t>
  </si>
  <si>
    <t>Database creation with advanced data types, intricate partitioning options, complex performance tuning mechanisms, robust security configurations, Multitenant architecture, Replication etc</t>
  </si>
  <si>
    <t>Very Complex</t>
  </si>
  <si>
    <t>Database Stored Procedures</t>
  </si>
  <si>
    <t>A stored procedure is a set of structured query language statement with an assigned name that is stored in the database in compiled form so that it can be shared by a number of programs</t>
  </si>
  <si>
    <t>Procedure involving single target / source
Simple Calculation / aggregation</t>
  </si>
  <si>
    <t>Procedure involving 2-5 target / source
medium Calculation / aggregation</t>
  </si>
  <si>
    <t>Procedure involving &gt;5 target / source
Complex Calculation / aggregation and KPI</t>
  </si>
  <si>
    <t>High-performance stored procedures with complex logic, recursive queries, and integration with other services.</t>
  </si>
  <si>
    <t>Database Tables</t>
  </si>
  <si>
    <t>A Table is set of data element (values) using a model of vertical columns (identifiable by name)  and horizontal rows, the cell being the Unit where a Row and Col intersect. A table has specified number of COL but can have any number of ROWS</t>
  </si>
  <si>
    <t>&lt;= 15 columns
- No constraints
- No triggers
- Standard data types (e.g., INT, VARCHAR)</t>
  </si>
  <si>
    <t>&lt;= 30 columns
- Basic constraints (e.g., PRIMARY KEY, UNIQUE)
- &lt;= 2 triggers
- Foreign keys (&lt;= 5)</t>
  </si>
  <si>
    <t>&gt; 35 columns
- Multiple constraints (PRIMARY KEY, UNIQUE, CHECK)
- Multiple triggers (&lt;= 5)
- Foreign keys (&gt; 5)</t>
  </si>
  <si>
    <t>&gt; 50 columns
- Advanced constraints and indexing
- Multiple triggers (&gt;= 5)
- Partitioning
- Complex foreign key relationships</t>
  </si>
  <si>
    <t>Data mart</t>
  </si>
  <si>
    <t>Data mart is a subset of the data warehouse that is usually oriented to a specific business line or team. Data mart are small slices of the data warehouse. whereas Data warehouse have a enterprise wide depth, the information in data data mart pertain to single departments</t>
  </si>
  <si>
    <t>&lt;=3 Fact Tables   
&lt;= 10 unique KPI Measures
No extensive physical design expected ( e.g. Partitioning / Indexing)</t>
  </si>
  <si>
    <t>&lt;=10 Fact Tables   
&lt;=  40 Unique KPI Measures
No extensive physical design expected ( e.g. Partitioning / Indexing)</t>
  </si>
  <si>
    <t>&gt;10  Fact Tables   
&gt; 40  unique KPI Measures
Extensive physical design expected ( e.g. Partitioning / Indexing)
Advanced data marts with complex transformations, data quality checks, and multiple source integrations.</t>
  </si>
  <si>
    <t>&gt;10  Fact Tables   
&gt; 40  unique KPI Measures
Extensive physical design expected ( e.g. Partitioning / Indexing)
Large-scale, enterprise-level data marts with real-time data integration, dynamic updates, and heavy data transformations.</t>
  </si>
  <si>
    <t>Extract Transform Load-ETL</t>
  </si>
  <si>
    <t>ETL ( Extract, Transform, Load) is a process in data warehousing responsible for pulling data out of the source system and placing into target</t>
  </si>
  <si>
    <t>Includes components for data upload or retrieval, with minimum data processing logic
- Simple SQL (source / target)
- 0 to 2 lookups / easy validation
- 0 to 3 transformation / calculations
- minimal control flow logics ( if-the, case, decision tree etc)</t>
  </si>
  <si>
    <t>Includes components for moderate data processing logic
- A few SQL of Moderate complexity ( e.g. simple join/union (source / target)
- Up to 2 lookups /  validation
- 4 to 6 transformation / calculations of moderate complexity
- come control flow logic and / or (configurations) parameters involved</t>
  </si>
  <si>
    <t>Includes extensive data processing logic with Numerous complex transformations
- Multiple SQL with  join/union / filtering / aggregations (source / target)
- 2 to 5 lookups /  validation
- 6 to 10  transformation / calculations, use of external subroutines
- parallel / segmented processing of the data stream</t>
  </si>
  <si>
    <t>Real-time integration
Complex transformations (e.g., aggregations, multi-step filters)
Extensive error handling and logging
High-volume dataset (&gt; 10M rows)</t>
  </si>
  <si>
    <t>Power Exchange (CDC)</t>
  </si>
  <si>
    <t>Change Data Capture (CDC) records for insert. update and delete activity that is applied to a database table. This makes the details of the  the  changes available in an easily consumed relational format.</t>
  </si>
  <si>
    <t>Change Data Capture (CDC) for tables &lt; 35 COL</t>
  </si>
  <si>
    <t>Change Data Capture (CDC) for tables &gt; 35 COL and &lt; 100 COLs</t>
  </si>
  <si>
    <t>Change Data Capture (CDC) for tables &gt; 100 COL and &lt; 150 COLs</t>
  </si>
  <si>
    <t>Change Data Capture (CDC) for tables &gt; 150 COL</t>
  </si>
  <si>
    <t>Unix Shell Scripts</t>
  </si>
  <si>
    <t>A Unix shell script is a text file containing a group of commands that could be manually executed one by one at the Unix operating system command prompt</t>
  </si>
  <si>
    <t>Scripts having &lt;=2 commands for file/directory/folder management</t>
  </si>
  <si>
    <t>FTP Scripts, File Movements</t>
  </si>
  <si>
    <t>FTP Scripts, File Movements and manipulation</t>
  </si>
  <si>
    <t>Shell scripts with file processing</t>
  </si>
  <si>
    <t>Configuration Objects</t>
  </si>
  <si>
    <t>Configuration objects refer to the customizable components or settings within a system that define how it behaves or interacts with other systems. These include business rules, workflows, user roles, access control, parameter values, system settings, and other objects that allow for customization without altering the core code of the system.</t>
  </si>
  <si>
    <t>Basic configuration objects with minimal logic, such as simple business rules or user roles. Typically involves static values or simple validation logic.</t>
  </si>
  <si>
    <t>Configuration objects with moderate complexity, involving multiple parameters, conditional logic, and basic error handling. May include some integration with other systems or datasets.</t>
  </si>
  <si>
    <t>Advanced configuration objects that include complex business rules, workflows, multi-step processes, and integration with external systems. Involves thorough testing and optimization for efficiency.</t>
  </si>
  <si>
    <t>Highly sophisticated configuration objects, often involving real-time integrations, dynamic business rules, and extensive parameterization. Can include highly customizable workflows, API integrations, and extensive testing.</t>
  </si>
  <si>
    <t>Database Views</t>
  </si>
  <si>
    <t>Database view is a virtual table that shows a subset of a database's data in a user-friendly format. Database views are created from queries that run on one or more tables in the database.</t>
  </si>
  <si>
    <t>Simple views that aggregate data from one or two tables without complex transformations or filtering. Basic queries with basic joins.</t>
  </si>
  <si>
    <t>Views that involve multiple joins or more complex filters. May include aggregate functions or subqueries, but not requiring significant optimization.</t>
  </si>
  <si>
    <t>Multiple data sources, advanced filtering, joins, aggregation, and transformations. Performance optimization for large datasets or complex queries.</t>
  </si>
  <si>
    <t>Multiple data sources, real-time data aggregation, complex logic, advanced error handling, and high-performance optimization. Often requires indexing and fine-tuning for large datasets.</t>
  </si>
  <si>
    <t>Database Functions</t>
  </si>
  <si>
    <t>Database function is a specialized procedure within a database that performs a specific task, like a calculation or data manipulation, by accepting input parameters and returning a result as a single value or a set of data</t>
  </si>
  <si>
    <t>Simple functions with basic calculations, such as summing or counting values. Minimal or no error handling, designed for specific, straightforward tasks.</t>
  </si>
  <si>
    <t>Functions that include intermediate-level logic, such as conditional statements, data transformations, and aggregations. Some error handling and performance considerations.</t>
  </si>
  <si>
    <t>Complex functions that perform intricate calculations, nested logic, or multiple levels of transformations. Often involves performance optimization, scalability, and error handling for large data volumes.</t>
  </si>
  <si>
    <t>Advanced functions with nested queries, dynamic logic, performance optimization, and integration with other systems or processes. Designed for high scalability and efficiency in real-time or large-scale applications.</t>
  </si>
  <si>
    <t>Power BI-Dashboards</t>
  </si>
  <si>
    <t xml:space="preserve">Power BI dashboards involve gathering, analysing, designing and creating interactive data visualizations by pulling data from various sources to deliver actionable insights through interactive dashboards. These dashboards enable decision-makers to track key performance indicators (KPIs) and make data-driven decisions in real-time. </t>
  </si>
  <si>
    <t>1-3 sheets, single source, 4-6 metrics, 1-3 filters, simple table/visuals, simple data model, no/simple transformations</t>
  </si>
  <si>
    <t>3-5 sheets, single source, up to 15 metrics, 3+ filters, data model, Moderate interactivity (e.g., slicers, filters)
- Some DAX calculations</t>
  </si>
  <si>
    <t>More than 3 sources, up to 10 sheets, overall 20+ metrics, 4+ filters, complex data model, complex transformations using DAX, complex visualizations with customization</t>
  </si>
  <si>
    <t>More than 3 sources, 10 +sheets, overall 20+ metrics, 4+ filters, complex data model, complex transformations using DAX, complex visualizations with customization, RLS, incremental data loading, Automation</t>
  </si>
  <si>
    <t>Power BI-Paginated</t>
  </si>
  <si>
    <t>Power BI - Paginated reports is the process of designing and building detailed, print-ready reports within the Power BI platform, using a dedicated tool called Power BI Report Builder</t>
  </si>
  <si>
    <t>Basic report with a single dataset, minimal formatting, and no interactivity. Limited use of parameters or filters. Simple pagination.</t>
  </si>
  <si>
    <t>Intermediate report with 2 datasets, dynamic parameters, and basic filtering. Formatting includes multiple pages and headers/footers.</t>
  </si>
  <si>
    <t>Complex reports with advanced data models, multiple data sources, calculated columns, and custom visuals. Involves optimization for performance and responsiveness.</t>
  </si>
  <si>
    <t>Very complex reports with multiple pages, real-time data integration, advanced dynamic filters, custom visuals, and dynamic interactions. Includes integration with external systems or APIs.</t>
  </si>
  <si>
    <t>Qlik-Dashboards</t>
  </si>
  <si>
    <t>Qlik Sense Dashboard is the process of designing and building interactive data visualizations, using the Qlik Sense platform, to present key insights and metrics from various data sources in a user-friendly dashboard format, and powerful associative data modelling capabilities</t>
  </si>
  <si>
    <t>Simple dashboard featuring basic visualizations like bar charts, line graphs, and tables using a single data source. No advanced interactivity or drilldowns.</t>
  </si>
  <si>
    <t>More sophisticated dashboards using multiple visualizations and data sources. Includes basic interactivity like drop-downs or dynamic filtering.</t>
  </si>
  <si>
    <t>Highly interactive dashboard with advanced visualizations, drill-down capabilities, and real-time data feeds. Involves performance optimization and the use of custom expressions.</t>
  </si>
  <si>
    <t>Extremely complex dashboards featuring high interactivity (e.g., drill-downs, dynamic visualizations, real-time data streaming), advanced scripting, and multi-dimensional analytics.</t>
  </si>
  <si>
    <t>Qlik-Nprinting</t>
  </si>
  <si>
    <t>Qlik Sense NPrinting refers to the process of designing and building reports using the Qlik NPrinting tool, which allows users to generate polished, distributable reports based on data from their Qlik Sense applications, essentially taking visualizations and insights from Qlik Sense and transforming them into formatted documents like PDFs, Excel files, or Word documents for wider distribution within an organization</t>
  </si>
  <si>
    <t>Basic report design with standard layout, few filters, and no dynamic elements. Reports are simple PDF or Excel files.</t>
  </si>
  <si>
    <t>Moderate complexity in report generation with conditional formatting, basic user input handling, and filtering. Moderate automation with scheduled distribution.</t>
  </si>
  <si>
    <t>Complex reports that pull from multiple data sources, with advanced calculations, scripting for report generation, and complex distribution schedules.</t>
  </si>
  <si>
    <t>High-end reporting with full automation, custom templates, multi-source data integration, advanced scripting for dynamic reporting, and custom user interaction features. Typically involves multiple complex workflows and extensive testing.</t>
  </si>
  <si>
    <t>Tableau-Dashboards</t>
  </si>
  <si>
    <t>Tableau dashboard is a collection of charts and graphs that provide a single view of a business's data. It's a tool that helps users analyse, monitor, and measure data from multiple sources</t>
  </si>
  <si>
    <t>Basic dashboards with pre-defined datasets and minimal visual elements (e.g., bar charts, line graphs).</t>
  </si>
  <si>
    <t xml:space="preserve">	Dashboards with moderate data transformation, calculated fields, and 3-5 interactive filters/actions, parameterized inputs, some calculated fields</t>
  </si>
  <si>
    <t>Advanced dashboards integrating multiple data sources, complex calculations, and dynamic parameters.</t>
  </si>
  <si>
    <t>Enterprise-grade dashboards with real-time data integration, predictive analytics, and extensive UX/UI.</t>
  </si>
  <si>
    <t>UI-UX-Figma Design</t>
  </si>
  <si>
    <t xml:space="preserve">UI stands for user interface, and UX stands for user experience. UI is the visual elements of a product, while UX is the user's overall experience with the product. </t>
  </si>
  <si>
    <t>Basic UI design, such as 1-2 static pages/screens with minimal interactions (e.g., login screens, landing pages).</t>
  </si>
  <si>
    <t>Design involving multiple pages/screens with some interactive elements(e.g. Hover, buttons), forms, and moderate user flow.</t>
  </si>
  <si>
    <t>Designs with advanced user flows, multiple components, animations, and interactive states for each screen</t>
  </si>
  <si>
    <t>High-fidelity designs with complex interactions, dynamic UI elements, custom components, and animations.</t>
  </si>
  <si>
    <t>Data Science</t>
  </si>
  <si>
    <t xml:space="preserve">Data science is the scientific study of data to gain knowledge and make predictions. It's a multidisciplinary field that combines computer science, mathematics, statistics, and business expertise. Data scientists use tools like algorithms, machine learning, and artificial intelligence to analyse data and create insights. </t>
  </si>
  <si>
    <t>Basic data analysis and descriptive statistics
Linear regression, basic data visualization</t>
  </si>
  <si>
    <t>Intermediate models (e.g., decision trees, k-means clustering)
Feature engineering
Moderate data cleaning and wrangling</t>
  </si>
  <si>
    <t>Advanced models (e.g., neural networks, SVM)
Deep learning and model tuning
Large-scale data processing and validation</t>
  </si>
  <si>
    <t>High-performance models for large datasets (e.g., big data solutions)
Multi-step workflows with custom algorithms and APIs</t>
  </si>
  <si>
    <t>MS Power Apps</t>
  </si>
  <si>
    <t>MS Power Apps, or Microsoft Power Apps, is a low-code application development platform within Microsoft 365 that allows users to visually create custom business applications without extensive coding knowledge, by utilizing pre-built templates and connectors to integrate with various data sources within an organization; essentially enabling users to build apps for specific business needs with minimal technical expertise</t>
  </si>
  <si>
    <t>App with 1-2 screens
- Basic functionality (e.g., data entry, simple forms)
- Single data source, no advanced logic</t>
  </si>
  <si>
    <t>App with 3-5 screens
- Moderate functionality (e.g., validations, CRUD operations)
- Integration with multiple data sources</t>
  </si>
  <si>
    <t>App with 6+ screens
- Advanced functionality (e.g., conditional logic, Power BI integration)
- Custom components and workflows</t>
  </si>
  <si>
    <t>Highly dynamic app with real-time updates
- Integration with multiple external systems
- Custom connectors, complex workflows, and responsive design</t>
  </si>
  <si>
    <t>MS Power Automate</t>
  </si>
  <si>
    <t xml:space="preserve">Microsoft Power Automate is a cloud-based service that automates repetitive tasks and processes across applications and services. It was previously known as Microsoft Flow. </t>
  </si>
  <si>
    <t>Basic workflows with a few steps
Single trigger and action (e.g., sending email on form submission)</t>
  </si>
  <si>
    <t>Moderate workflows with multiple steps and conditions
- Integration with 2-3 applications
- Basic error handling</t>
  </si>
  <si>
    <t>Advanced workflows with complex logic, loops, and multiple conditions
- Integration with multiple applications, including custom APIs</t>
  </si>
  <si>
    <t>End-to-end workflows with dynamic content, real-time triggers, and approval processes
- Integration with external systems, custom connectors, and advanced error handling</t>
  </si>
  <si>
    <t>MS CoPilot</t>
  </si>
  <si>
    <t xml:space="preserve">Microsoft Copilot is an AI-powered chatbot that helps users be more productive and creative. It's designed to work with Microsoft 365 apps and services, including Word, Excel, PowerPoint, Outlook, and Teams. </t>
  </si>
  <si>
    <t>Basic CoPilot implementation
- Simple guidance and responses
- Minimal configuration for single task assistance</t>
  </si>
  <si>
    <t>Moderately configured CoPilot
- Integration with 2-3 data sources
- Tailored guidance for specific processes/tasks</t>
  </si>
  <si>
    <t>Advanced CoPilot configuration
- Multiple integrations (e.g., CRM, ERP)
- Customized and dynamic responses with in-depth logic</t>
  </si>
  <si>
    <t>Highly complex CoPilot setup
- Enterprise-grade integration with real-time data flow
- Advanced customizations for industry-specific workflows</t>
  </si>
  <si>
    <t>Gen-AI Knowledge Base</t>
  </si>
  <si>
    <t>Developing and integrating a comprehensive knowledge base that includes both structured data (e.g., databases) and unstructured data (e.g., documents, PDFs) to facilitate efficient information retrieval and management.</t>
  </si>
  <si>
    <t>Integrating structured data from a single source.</t>
  </si>
  <si>
    <t>Integrating unstructured data from multiple sources.</t>
  </si>
  <si>
    <t>Integrating large volumes of unstructured data requiring extensive preprocessing.</t>
  </si>
  <si>
    <t>Integrating structured data from diverse sources with complex relationships and dependencies.</t>
  </si>
  <si>
    <t>Gen-AI API Development</t>
  </si>
  <si>
    <t>Designing, developing, and integrating APIs, including Large Language Model (LLM) APIs and other necessary APIs, to enhance application functionality and enable seamless communication between different system components.</t>
  </si>
  <si>
    <t>Creating basic APIs with limited endpoints and straightforward functionality.</t>
  </si>
  <si>
    <t>Developing APIs with moderate complexity, including multiple endpoints and some custom features.</t>
  </si>
  <si>
    <t>Designing and implementing complex APIs with numerous endpoints, custom features, and intricate business logic.</t>
  </si>
  <si>
    <t>Developing highly complex APIs involving advanced features, extensive customization, and integration with multiple external systems.</t>
  </si>
  <si>
    <t>Gen-AI Prompt Engineering</t>
  </si>
  <si>
    <t>Crafting and refining prompts to optimize the performance of Large Language Models (LLMs), ensuring accurate and contextually relevant responses in various application scenarios.</t>
  </si>
  <si>
    <t>Designing basic prompts for straightforward tasks.</t>
  </si>
  <si>
    <t>Creating prompts for tasks requiring moderate complexity and contextual understanding.</t>
  </si>
  <si>
    <t>Developing prompts for complex tasks that require deep contextual understanding and nuanced responses.</t>
  </si>
  <si>
    <t>Crafting prompts for highly complex tasks involving multiple layers of context and requiring sophisticated LLM responses.</t>
  </si>
  <si>
    <t>Gen-AI Security &amp; Access Control</t>
  </si>
  <si>
    <t>Implementing robust security measures and access control mechanisms to protect application data and ensure that only authorized users have access to specific functionalities and information. This includes authentication, authorization, encryption, and compliance with relevant security standards and regulations.</t>
  </si>
  <si>
    <t>Implementing basic user authentication mechanisms.</t>
  </si>
  <si>
    <t>Setting up role-based access controls and data encryption.</t>
  </si>
  <si>
    <t>Developing comprehensive security protocols and compliance measures.</t>
  </si>
  <si>
    <t>Conducting security audits and implementing advanced threat detection systems.</t>
  </si>
  <si>
    <t>Gen-AI Performance &amp; Opt</t>
  </si>
  <si>
    <t>Establishing systems to monitor the application’s performance and optimize as needed.</t>
  </si>
  <si>
    <t xml:space="preserve">Setting up basic performance metrics monitoring. </t>
  </si>
  <si>
    <t xml:space="preserve">Implementing dashboards and alerts. </t>
  </si>
  <si>
    <t xml:space="preserve">Analysing performance data to identify bottlenecks and optimize processes. </t>
  </si>
  <si>
    <t>Designing automated tuning systems for proactive optimization.</t>
  </si>
  <si>
    <t>Gen-AI Chat Interface Development</t>
  </si>
  <si>
    <t>Creating a chat interface for natural language conversations to retrieve information.</t>
  </si>
  <si>
    <t xml:space="preserve">Developing a basic chat interface with predefined responses. </t>
  </si>
  <si>
    <t xml:space="preserve">Implementing dynamic responses based on user input. </t>
  </si>
  <si>
    <t xml:space="preserve">Integrating advanced features like context retention and multi-turn conversations. </t>
  </si>
  <si>
    <t>Designing a personalized, adaptive chat interface.</t>
  </si>
  <si>
    <t>High Level Risk, Assumptions, Issues, Dependencies - Having Impact on the Estimation</t>
  </si>
  <si>
    <t>#ID</t>
  </si>
  <si>
    <t>RAID</t>
  </si>
  <si>
    <t>Description</t>
  </si>
  <si>
    <t>Impact</t>
  </si>
  <si>
    <t>Day/Week/Month</t>
  </si>
  <si>
    <t>Measurement Unit</t>
  </si>
  <si>
    <t>Contingency %</t>
  </si>
  <si>
    <t>FS&amp;I - Financial Services &amp; Insurance</t>
  </si>
  <si>
    <t>MD</t>
  </si>
  <si>
    <t>Hours</t>
  </si>
  <si>
    <t>Low</t>
  </si>
  <si>
    <t>H&amp;LS - Healthcare &amp; Life Sciences</t>
  </si>
  <si>
    <t>MS Fabric/Power BI</t>
  </si>
  <si>
    <t>MW</t>
  </si>
  <si>
    <t>Days</t>
  </si>
  <si>
    <t>Time &amp; Material</t>
  </si>
  <si>
    <t>Assumption</t>
  </si>
  <si>
    <t>MAN - Manufacturing</t>
  </si>
  <si>
    <t>Qlik&amp;Talend</t>
  </si>
  <si>
    <t>MM</t>
  </si>
  <si>
    <t>Weeks</t>
  </si>
  <si>
    <t>Issue</t>
  </si>
  <si>
    <t>High</t>
  </si>
  <si>
    <t>Gen-AI</t>
  </si>
  <si>
    <t>Dependency</t>
  </si>
  <si>
    <t>TMT - Telecom Media &amp; Technology</t>
  </si>
  <si>
    <t>R&amp;S - Resources &amp; Services</t>
  </si>
  <si>
    <t>AWS - Amazon Web Services</t>
  </si>
  <si>
    <t>R&amp;E - Retail &amp; E-Commerce</t>
  </si>
  <si>
    <t>Azure -  Microsoft Azure</t>
  </si>
  <si>
    <t>GCP - Google Cloud Platform</t>
  </si>
  <si>
    <t>Snowflake</t>
  </si>
  <si>
    <t>Date</t>
  </si>
  <si>
    <t>Template Version</t>
  </si>
  <si>
    <t>Template Revision History</t>
  </si>
  <si>
    <t>Template Author/Reviser</t>
  </si>
  <si>
    <t>Template Approver</t>
  </si>
  <si>
    <t>Initial Version created</t>
  </si>
  <si>
    <t>Laique Ahmad Shaikh / Prathibha Das</t>
  </si>
  <si>
    <t>Ramendra &amp; Sudhakar</t>
  </si>
  <si>
    <t>90000 - DIOOOJ</t>
  </si>
  <si>
    <t>900000 - Project name</t>
  </si>
  <si>
    <t>Delivery manager /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</si>
</sst>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0.0"/>
    <numFmt numFmtId="166" formatCode="dd\-mm\-yyyy"/>
    <numFmt numFmtId="167" formatCode="[$-14009]dd\-mm\-yyyy;@"/>
  </numFmts>
  <fonts count="38" x14ac:knownFonts="1">
    <font>
      <sz val="10"/>
      <color rgb="FF000000"/>
      <name val="Arial"/>
      <scheme val="minor"/>
    </font>
    <font>
      <sz val="10"/>
      <color rgb="FF000000"/>
      <name val="Arial"/>
      <family val="2"/>
      <scheme val="minor"/>
    </font>
    <font>
      <sz val="10"/>
      <name val="Arial"/>
      <family val="2"/>
    </font>
    <font>
      <sz val="9"/>
      <color indexed="81"/>
      <name val="Tahoma"/>
      <family val="2"/>
    </font>
    <font>
      <sz val="11"/>
      <color theme="1"/>
      <name val="Calibri"/>
      <family val="2"/>
    </font>
    <font>
      <sz val="11"/>
      <color rgb="FF000000"/>
      <name val="Calibri"/>
      <family val="2"/>
    </font>
    <font>
      <b/>
      <sz val="11"/>
      <color theme="1"/>
      <name val="Calibri"/>
      <family val="2"/>
    </font>
    <font>
      <b/>
      <sz val="11"/>
      <name val="Calibri"/>
      <family val="2"/>
    </font>
    <font>
      <sz val="11"/>
      <name val="Calibri"/>
      <family val="2"/>
    </font>
    <font>
      <b/>
      <sz val="11"/>
      <color rgb="FF000000"/>
      <name val="Calibri"/>
      <family val="2"/>
    </font>
    <font>
      <b/>
      <sz val="14"/>
      <color rgb="FF000000"/>
      <name val="Calibri"/>
      <family val="2"/>
    </font>
    <font>
      <b/>
      <sz val="10"/>
      <color rgb="FFFFFFFF"/>
      <name val="Calibri"/>
      <family val="2"/>
    </font>
    <font>
      <sz val="10"/>
      <name val="Calibri"/>
      <family val="2"/>
    </font>
    <font>
      <b/>
      <sz val="14"/>
      <name val="Calibri"/>
      <family val="2"/>
    </font>
    <font>
      <b/>
      <sz val="10"/>
      <color theme="0"/>
      <name val="Calibri"/>
      <family val="2"/>
    </font>
    <font>
      <u/>
      <sz val="10"/>
      <name val="Calibri"/>
      <family val="2"/>
    </font>
    <font>
      <b/>
      <sz val="10"/>
      <color indexed="10"/>
      <name val="Calibri"/>
      <family val="2"/>
    </font>
    <font>
      <sz val="10"/>
      <color rgb="FF000000"/>
      <name val="Calibri"/>
      <family val="2"/>
    </font>
    <font>
      <sz val="10"/>
      <color theme="1"/>
      <name val="Calibri"/>
      <family val="2"/>
    </font>
    <font>
      <b/>
      <sz val="10"/>
      <color theme="1"/>
      <name val="Calibri"/>
      <family val="2"/>
    </font>
    <font>
      <b/>
      <sz val="10"/>
      <color theme="6" tint="-0.249977111117893"/>
      <name val="Calibri"/>
      <family val="2"/>
    </font>
    <font>
      <b/>
      <sz val="10"/>
      <color rgb="FFFF0000"/>
      <name val="Calibri"/>
      <family val="2"/>
    </font>
    <font>
      <b/>
      <sz val="10"/>
      <color rgb="FFC00000"/>
      <name val="Calibri"/>
      <family val="2"/>
    </font>
    <font>
      <b/>
      <sz val="10"/>
      <color rgb="FF000000"/>
      <name val="Calibri"/>
      <family val="2"/>
    </font>
    <font>
      <b/>
      <sz val="10"/>
      <color theme="2"/>
      <name val="Calibri"/>
      <family val="2"/>
    </font>
    <font>
      <i/>
      <sz val="10"/>
      <name val="Calibri"/>
      <family val="2"/>
    </font>
    <font>
      <sz val="10"/>
      <color theme="2"/>
      <name val="Calibri"/>
      <family val="2"/>
    </font>
    <font>
      <b/>
      <sz val="12"/>
      <color theme="0"/>
      <name val="Calibri"/>
      <family val="2"/>
    </font>
    <font>
      <b/>
      <sz val="14"/>
      <color rgb="FFC00000"/>
      <name val="Calibri"/>
      <family val="2"/>
    </font>
    <font>
      <b/>
      <sz val="10"/>
      <color rgb="FF000000"/>
      <name val="Arial"/>
      <family val="2"/>
      <scheme val="minor"/>
    </font>
    <font>
      <b/>
      <sz val="13.5"/>
      <color rgb="FF000000"/>
      <name val="Arial"/>
      <family val="2"/>
      <scheme val="minor"/>
    </font>
    <font>
      <b/>
      <sz val="10"/>
      <color theme="5"/>
      <name val="Arial"/>
      <family val="2"/>
      <scheme val="minor"/>
    </font>
    <font>
      <b/>
      <sz val="10"/>
      <color theme="4" tint="-0.249977111117893"/>
      <name val="Arial"/>
      <family val="2"/>
      <scheme val="minor"/>
    </font>
    <font>
      <b/>
      <sz val="13.5"/>
      <name val="Arial"/>
      <family val="2"/>
      <scheme val="minor"/>
    </font>
    <font>
      <b/>
      <sz val="16"/>
      <color theme="8" tint="-0.249977111117893"/>
      <name val="Arial"/>
      <family val="2"/>
      <scheme val="minor"/>
    </font>
    <font>
      <b/>
      <i/>
      <sz val="10"/>
      <color theme="0"/>
      <name val="Calibri"/>
      <family val="2"/>
    </font>
    <font>
      <i/>
      <sz val="11"/>
      <name val="Calibri"/>
      <family val="2"/>
    </font>
    <font>
      <b/>
      <sz val="10"/>
      <color theme="7" tint="-0.499984740745262"/>
      <name val="Calibri"/>
      <family val="2"/>
    </font>
  </fonts>
  <fills count="24">
    <fill>
      <patternFill patternType="none"/>
    </fill>
    <fill>
      <patternFill patternType="gray125"/>
    </fill>
    <fill>
      <patternFill patternType="solid">
        <fgColor theme="8"/>
        <bgColor rgb="FF0000FF"/>
      </patternFill>
    </fill>
    <fill>
      <patternFill patternType="solid">
        <fgColor theme="8"/>
        <bgColor indexed="64"/>
      </patternFill>
    </fill>
    <fill>
      <patternFill patternType="solid">
        <fgColor theme="8"/>
        <bgColor rgb="FF4A86E8"/>
      </patternFill>
    </fill>
    <fill>
      <patternFill patternType="solid">
        <fgColor theme="2"/>
        <bgColor rgb="FF4A86E8"/>
      </patternFill>
    </fill>
    <fill>
      <patternFill patternType="solid">
        <fgColor theme="2"/>
        <bgColor indexed="64"/>
      </patternFill>
    </fill>
    <fill>
      <patternFill patternType="solid">
        <fgColor theme="0"/>
        <bgColor indexed="64"/>
      </patternFill>
    </fill>
    <fill>
      <patternFill patternType="solid">
        <fgColor theme="0"/>
        <bgColor rgb="FFFFFF00"/>
      </patternFill>
    </fill>
    <fill>
      <patternFill patternType="solid">
        <fgColor theme="2" tint="-4.9989318521683403E-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rgb="FF4A86E8"/>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79998168889431442"/>
        <bgColor rgb="FFFFFF00"/>
      </patternFill>
    </fill>
    <fill>
      <patternFill patternType="solid">
        <fgColor indexed="9"/>
        <bgColor indexed="64"/>
      </patternFill>
    </fill>
    <fill>
      <patternFill patternType="solid">
        <fgColor theme="0" tint="-0.14999847407452621"/>
        <bgColor rgb="FFFFFF00"/>
      </patternFill>
    </fill>
    <fill>
      <patternFill patternType="solid">
        <fgColor theme="0"/>
        <bgColor theme="0"/>
      </patternFill>
    </fill>
    <fill>
      <patternFill patternType="solid">
        <fgColor theme="0"/>
        <bgColor rgb="FF4A86E8"/>
      </patternFill>
    </fill>
    <fill>
      <patternFill patternType="solid">
        <fgColor rgb="FFFFFFCC"/>
        <bgColor indexed="64"/>
      </patternFill>
    </fill>
    <fill>
      <patternFill patternType="solid">
        <fgColor rgb="FFFFC000"/>
        <bgColor indexed="64"/>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hair">
        <color auto="1"/>
      </left>
      <right style="hair">
        <color auto="1"/>
      </right>
      <top style="hair">
        <color auto="1"/>
      </top>
      <bottom style="hair">
        <color auto="1"/>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thin">
        <color indexed="64"/>
      </left>
      <right style="thin">
        <color indexed="64"/>
      </right>
      <top/>
      <bottom style="thin">
        <color indexed="64"/>
      </bottom>
      <diagonal/>
    </border>
    <border>
      <left style="hair">
        <color auto="1"/>
      </left>
      <right style="hair">
        <color auto="1"/>
      </right>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hair">
        <color auto="1"/>
      </right>
      <top/>
      <bottom style="hair">
        <color auto="1"/>
      </bottom>
      <diagonal/>
    </border>
    <border>
      <left style="hair">
        <color auto="1"/>
      </left>
      <right style="medium">
        <color indexed="64"/>
      </right>
      <top/>
      <bottom style="hair">
        <color auto="1"/>
      </bottom>
      <diagonal/>
    </border>
    <border>
      <left/>
      <right/>
      <top/>
      <bottom style="medium">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medium">
        <color indexed="64"/>
      </left>
      <right style="medium">
        <color indexed="64"/>
      </right>
      <top style="medium">
        <color indexed="64"/>
      </top>
      <bottom/>
      <diagonal/>
    </border>
    <border>
      <left style="hair">
        <color auto="1"/>
      </left>
      <right style="hair">
        <color auto="1"/>
      </right>
      <top style="medium">
        <color indexed="64"/>
      </top>
      <bottom/>
      <diagonal/>
    </border>
    <border>
      <left style="medium">
        <color indexed="64"/>
      </left>
      <right style="hair">
        <color auto="1"/>
      </right>
      <top style="medium">
        <color indexed="64"/>
      </top>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top style="thin">
        <color rgb="FF000000"/>
      </top>
      <bottom/>
      <diagonal/>
    </border>
    <border>
      <left style="thin">
        <color indexed="64"/>
      </left>
      <right/>
      <top/>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hair">
        <color auto="1"/>
      </left>
      <right/>
      <top style="medium">
        <color indexed="64"/>
      </top>
      <bottom/>
      <diagonal/>
    </border>
    <border>
      <left style="hair">
        <color auto="1"/>
      </left>
      <right/>
      <top/>
      <bottom style="medium">
        <color indexed="64"/>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hair">
        <color auto="1"/>
      </top>
      <bottom style="medium">
        <color indexed="64"/>
      </bottom>
      <diagonal/>
    </border>
    <border>
      <left style="hair">
        <color auto="1"/>
      </left>
      <right/>
      <top style="medium">
        <color indexed="64"/>
      </top>
      <bottom style="hair">
        <color auto="1"/>
      </bottom>
      <diagonal/>
    </border>
    <border>
      <left/>
      <right/>
      <top style="hair">
        <color auto="1"/>
      </top>
      <bottom style="hair">
        <color auto="1"/>
      </bottom>
      <diagonal/>
    </border>
    <border>
      <left/>
      <right/>
      <top style="hair">
        <color auto="1"/>
      </top>
      <bottom style="medium">
        <color indexed="64"/>
      </bottom>
      <diagonal/>
    </border>
    <border>
      <left style="medium">
        <color indexed="64"/>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indexed="64"/>
      </right>
      <top style="hair">
        <color auto="1"/>
      </top>
      <bottom/>
      <diagonal/>
    </border>
    <border>
      <left/>
      <right style="medium">
        <color indexed="64"/>
      </right>
      <top/>
      <bottom style="hair">
        <color auto="1"/>
      </bottom>
      <diagonal/>
    </border>
    <border>
      <left/>
      <right style="medium">
        <color indexed="64"/>
      </right>
      <top style="hair">
        <color auto="1"/>
      </top>
      <bottom style="hair">
        <color auto="1"/>
      </bottom>
      <diagonal/>
    </border>
    <border>
      <left/>
      <right style="medium">
        <color indexed="64"/>
      </right>
      <top style="hair">
        <color auto="1"/>
      </top>
      <bottom style="medium">
        <color indexed="64"/>
      </bottom>
      <diagonal/>
    </border>
    <border>
      <left style="medium">
        <color indexed="64"/>
      </left>
      <right/>
      <top style="hair">
        <color auto="1"/>
      </top>
      <bottom style="hair">
        <color auto="1"/>
      </bottom>
      <diagonal/>
    </border>
    <border>
      <left style="medium">
        <color indexed="64"/>
      </left>
      <right/>
      <top style="hair">
        <color auto="1"/>
      </top>
      <bottom style="medium">
        <color indexed="64"/>
      </bottom>
      <diagonal/>
    </border>
    <border>
      <left/>
      <right/>
      <top/>
      <bottom style="hair">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style="hair">
        <color auto="1"/>
      </top>
      <bottom style="hair">
        <color auto="1"/>
      </bottom>
      <diagonal/>
    </border>
    <border>
      <left style="medium">
        <color indexed="64"/>
      </left>
      <right style="medium">
        <color indexed="64"/>
      </right>
      <top style="hair">
        <color auto="1"/>
      </top>
      <bottom style="medium">
        <color indexed="64"/>
      </bottom>
      <diagonal/>
    </border>
    <border>
      <left style="thin">
        <color indexed="64"/>
      </left>
      <right/>
      <top/>
      <bottom style="thin">
        <color rgb="FF000000"/>
      </bottom>
      <diagonal/>
    </border>
  </borders>
  <cellStyleXfs count="4">
    <xf numFmtId="0" fontId="0" fillId="0" borderId="0"/>
    <xf numFmtId="9" fontId="1" fillId="0" borderId="0" applyFont="0" applyFill="0" applyBorder="0" applyAlignment="0" applyProtection="0"/>
    <xf numFmtId="0" fontId="2" fillId="0" borderId="0"/>
    <xf numFmtId="164" fontId="2" fillId="0" borderId="0" applyFont="0" applyFill="0" applyBorder="0" applyAlignment="0" applyProtection="0"/>
  </cellStyleXfs>
  <cellXfs count="339">
    <xf numFmtId="0" fontId="0" fillId="0" borderId="0" xfId="0"/>
    <xf numFmtId="0" fontId="5" fillId="0" borderId="13" xfId="0" applyFont="1" applyBorder="1"/>
    <xf numFmtId="0" fontId="4" fillId="9" borderId="14" xfId="0" applyFont="1" applyFill="1" applyBorder="1" applyAlignment="1">
      <alignment vertical="center"/>
    </xf>
    <xf numFmtId="0" fontId="5" fillId="9" borderId="15" xfId="0" applyFont="1" applyFill="1" applyBorder="1" applyAlignment="1">
      <alignment vertical="center"/>
    </xf>
    <xf numFmtId="0" fontId="4" fillId="0" borderId="15" xfId="0" applyFont="1" applyBorder="1" applyAlignment="1">
      <alignment vertical="center"/>
    </xf>
    <xf numFmtId="0" fontId="5" fillId="0" borderId="15" xfId="0" applyFont="1" applyBorder="1" applyAlignment="1">
      <alignment vertical="center"/>
    </xf>
    <xf numFmtId="0" fontId="9" fillId="0" borderId="15" xfId="0" applyFont="1" applyBorder="1" applyAlignment="1">
      <alignment vertical="center"/>
    </xf>
    <xf numFmtId="0" fontId="6" fillId="8" borderId="15" xfId="0" applyFont="1" applyFill="1" applyBorder="1" applyAlignment="1">
      <alignment vertical="center"/>
    </xf>
    <xf numFmtId="0" fontId="5" fillId="0" borderId="16" xfId="0" applyFont="1" applyBorder="1" applyAlignment="1">
      <alignment vertical="center"/>
    </xf>
    <xf numFmtId="0" fontId="5" fillId="10" borderId="27" xfId="0" applyFont="1" applyFill="1" applyBorder="1" applyAlignment="1">
      <alignment horizontal="center"/>
    </xf>
    <xf numFmtId="0" fontId="9" fillId="10" borderId="18" xfId="0" applyFont="1" applyFill="1" applyBorder="1"/>
    <xf numFmtId="1" fontId="9" fillId="10" borderId="18" xfId="0" applyNumberFormat="1" applyFont="1" applyFill="1" applyBorder="1" applyAlignment="1">
      <alignment horizontal="right" wrapText="1"/>
    </xf>
    <xf numFmtId="0" fontId="5" fillId="6" borderId="8" xfId="0" applyFont="1" applyFill="1" applyBorder="1"/>
    <xf numFmtId="0" fontId="5" fillId="6" borderId="15" xfId="0" applyFont="1" applyFill="1" applyBorder="1"/>
    <xf numFmtId="0" fontId="11" fillId="3" borderId="19" xfId="0" applyFont="1" applyFill="1" applyBorder="1" applyAlignment="1">
      <alignment horizontal="center" vertical="center" wrapText="1"/>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14" fontId="12" fillId="0" borderId="22" xfId="0" applyNumberFormat="1" applyFont="1" applyBorder="1" applyAlignment="1">
      <alignment horizontal="center" vertical="center" wrapText="1"/>
    </xf>
    <xf numFmtId="165" fontId="12" fillId="0" borderId="3"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2" fillId="0" borderId="23" xfId="0" applyFont="1" applyBorder="1"/>
    <xf numFmtId="14" fontId="12" fillId="0" borderId="24" xfId="0" applyNumberFormat="1"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xf numFmtId="2" fontId="4" fillId="17" borderId="8" xfId="0" applyNumberFormat="1" applyFont="1" applyFill="1" applyBorder="1"/>
    <xf numFmtId="0" fontId="11" fillId="3" borderId="22" xfId="0" applyFont="1" applyFill="1" applyBorder="1" applyAlignment="1">
      <alignment horizontal="left" vertical="center" wrapText="1"/>
    </xf>
    <xf numFmtId="0" fontId="12" fillId="7" borderId="23" xfId="0" applyFont="1" applyFill="1" applyBorder="1" applyAlignment="1">
      <alignment horizontal="center" vertical="center" wrapText="1"/>
    </xf>
    <xf numFmtId="0" fontId="11" fillId="3" borderId="24" xfId="0" applyFont="1" applyFill="1" applyBorder="1" applyAlignment="1">
      <alignment horizontal="left" vertical="center" wrapText="1"/>
    </xf>
    <xf numFmtId="0" fontId="12" fillId="7" borderId="26" xfId="0" applyFont="1" applyFill="1" applyBorder="1" applyAlignment="1">
      <alignment horizontal="center" vertical="center" wrapText="1"/>
    </xf>
    <xf numFmtId="0" fontId="12" fillId="7" borderId="0" xfId="0" applyFont="1" applyFill="1" applyAlignment="1">
      <alignment horizontal="center" vertical="center" wrapText="1"/>
    </xf>
    <xf numFmtId="14" fontId="12" fillId="7" borderId="0" xfId="0" applyNumberFormat="1" applyFont="1" applyFill="1" applyAlignment="1">
      <alignment horizontal="center" vertical="center" wrapText="1"/>
    </xf>
    <xf numFmtId="0" fontId="10" fillId="0" borderId="0" xfId="0" applyFont="1" applyAlignment="1">
      <alignment horizontal="center"/>
    </xf>
    <xf numFmtId="0" fontId="4" fillId="19" borderId="12" xfId="0" applyFont="1" applyFill="1" applyBorder="1"/>
    <xf numFmtId="0" fontId="4" fillId="19" borderId="8" xfId="0" applyFont="1" applyFill="1" applyBorder="1" applyAlignment="1">
      <alignment horizontal="center"/>
    </xf>
    <xf numFmtId="9" fontId="4" fillId="19" borderId="8" xfId="1" applyFont="1" applyFill="1" applyBorder="1"/>
    <xf numFmtId="2" fontId="4" fillId="19" borderId="8" xfId="0" applyNumberFormat="1" applyFont="1" applyFill="1" applyBorder="1"/>
    <xf numFmtId="0" fontId="6" fillId="19" borderId="12" xfId="0" applyFont="1" applyFill="1" applyBorder="1"/>
    <xf numFmtId="0" fontId="6" fillId="19" borderId="8" xfId="0" applyFont="1" applyFill="1" applyBorder="1" applyAlignment="1">
      <alignment horizontal="center"/>
    </xf>
    <xf numFmtId="9" fontId="6" fillId="19" borderId="8" xfId="1" applyFont="1" applyFill="1" applyBorder="1"/>
    <xf numFmtId="2" fontId="6" fillId="19" borderId="8" xfId="0" applyNumberFormat="1" applyFont="1" applyFill="1" applyBorder="1"/>
    <xf numFmtId="0" fontId="4" fillId="20" borderId="8" xfId="0" applyFont="1" applyFill="1" applyBorder="1"/>
    <xf numFmtId="0" fontId="6" fillId="20" borderId="8" xfId="0" applyFont="1" applyFill="1" applyBorder="1"/>
    <xf numFmtId="0" fontId="11" fillId="3" borderId="54" xfId="0" applyFont="1" applyFill="1" applyBorder="1" applyAlignment="1">
      <alignment horizontal="left" vertical="center" wrapText="1"/>
    </xf>
    <xf numFmtId="0" fontId="12" fillId="7" borderId="55" xfId="0" applyFont="1" applyFill="1" applyBorder="1" applyAlignment="1">
      <alignment horizontal="center" vertical="center" wrapText="1"/>
    </xf>
    <xf numFmtId="0" fontId="12" fillId="0" borderId="0" xfId="2" applyFont="1"/>
    <xf numFmtId="0" fontId="12" fillId="18" borderId="0" xfId="2" applyFont="1" applyFill="1"/>
    <xf numFmtId="0" fontId="12" fillId="18" borderId="56" xfId="2" applyFont="1" applyFill="1" applyBorder="1"/>
    <xf numFmtId="0" fontId="12" fillId="18" borderId="57" xfId="2" applyFont="1" applyFill="1" applyBorder="1"/>
    <xf numFmtId="0" fontId="12" fillId="16" borderId="58" xfId="2" applyFont="1" applyFill="1" applyBorder="1" applyAlignment="1">
      <alignment vertical="center" wrapText="1"/>
    </xf>
    <xf numFmtId="0" fontId="15" fillId="16" borderId="30" xfId="2" applyFont="1" applyFill="1" applyBorder="1"/>
    <xf numFmtId="0" fontId="16" fillId="16" borderId="17" xfId="2" applyFont="1" applyFill="1" applyBorder="1" applyAlignment="1">
      <alignment horizontal="center" vertical="center"/>
    </xf>
    <xf numFmtId="0" fontId="15" fillId="16" borderId="30" xfId="2" applyFont="1" applyFill="1" applyBorder="1" applyAlignment="1">
      <alignment vertical="center"/>
    </xf>
    <xf numFmtId="0" fontId="15" fillId="16" borderId="59" xfId="2" applyFont="1" applyFill="1" applyBorder="1" applyAlignment="1">
      <alignment vertical="center"/>
    </xf>
    <xf numFmtId="0" fontId="12" fillId="16" borderId="22" xfId="2" applyFont="1" applyFill="1" applyBorder="1" applyAlignment="1">
      <alignment vertical="center"/>
    </xf>
    <xf numFmtId="0" fontId="15" fillId="16" borderId="3" xfId="2" applyFont="1" applyFill="1" applyBorder="1"/>
    <xf numFmtId="0" fontId="15" fillId="16" borderId="3" xfId="2" applyFont="1" applyFill="1" applyBorder="1" applyAlignment="1">
      <alignment vertical="center"/>
    </xf>
    <xf numFmtId="0" fontId="15" fillId="16" borderId="23" xfId="2" applyFont="1" applyFill="1" applyBorder="1" applyAlignment="1">
      <alignment vertical="center"/>
    </xf>
    <xf numFmtId="0" fontId="12" fillId="16" borderId="22" xfId="2" applyFont="1" applyFill="1" applyBorder="1" applyAlignment="1">
      <alignment vertical="center" wrapText="1"/>
    </xf>
    <xf numFmtId="0" fontId="12" fillId="16" borderId="60" xfId="2" applyFont="1" applyFill="1" applyBorder="1" applyAlignment="1">
      <alignment vertical="center" wrapText="1"/>
    </xf>
    <xf numFmtId="0" fontId="15" fillId="16" borderId="43" xfId="2" applyFont="1" applyFill="1" applyBorder="1"/>
    <xf numFmtId="0" fontId="16" fillId="16" borderId="3" xfId="2" applyFont="1" applyFill="1" applyBorder="1" applyAlignment="1">
      <alignment horizontal="center" vertical="center"/>
    </xf>
    <xf numFmtId="0" fontId="15" fillId="16" borderId="43" xfId="2" applyFont="1" applyFill="1" applyBorder="1" applyAlignment="1">
      <alignment vertical="center"/>
    </xf>
    <xf numFmtId="0" fontId="15" fillId="16" borderId="61" xfId="2" applyFont="1" applyFill="1" applyBorder="1" applyAlignment="1">
      <alignment vertical="center"/>
    </xf>
    <xf numFmtId="0" fontId="12" fillId="16" borderId="22" xfId="2" applyFont="1" applyFill="1" applyBorder="1" applyAlignment="1">
      <alignment horizontal="left" vertical="center"/>
    </xf>
    <xf numFmtId="0" fontId="16" fillId="16" borderId="3" xfId="2" applyFont="1" applyFill="1" applyBorder="1" applyAlignment="1">
      <alignment horizontal="center"/>
    </xf>
    <xf numFmtId="0" fontId="15" fillId="16" borderId="23" xfId="2" applyFont="1" applyFill="1" applyBorder="1"/>
    <xf numFmtId="0" fontId="12" fillId="16" borderId="60" xfId="2" applyFont="1" applyFill="1" applyBorder="1" applyAlignment="1">
      <alignment horizontal="left" vertical="center" wrapText="1"/>
    </xf>
    <xf numFmtId="0" fontId="15" fillId="16" borderId="45" xfId="2" applyFont="1" applyFill="1" applyBorder="1"/>
    <xf numFmtId="0" fontId="16" fillId="16" borderId="17" xfId="2" applyFont="1" applyFill="1" applyBorder="1" applyAlignment="1">
      <alignment horizontal="center"/>
    </xf>
    <xf numFmtId="0" fontId="12" fillId="18" borderId="62" xfId="2" applyFont="1" applyFill="1" applyBorder="1"/>
    <xf numFmtId="0" fontId="15" fillId="18" borderId="48" xfId="2" applyFont="1" applyFill="1" applyBorder="1"/>
    <xf numFmtId="0" fontId="16" fillId="18" borderId="0" xfId="2" applyFont="1" applyFill="1" applyAlignment="1">
      <alignment horizontal="center"/>
    </xf>
    <xf numFmtId="0" fontId="12" fillId="16" borderId="56" xfId="2" applyFont="1" applyFill="1" applyBorder="1" applyAlignment="1">
      <alignment vertical="center" wrapText="1"/>
    </xf>
    <xf numFmtId="0" fontId="15" fillId="16" borderId="46" xfId="2" applyFont="1" applyFill="1" applyBorder="1"/>
    <xf numFmtId="0" fontId="15" fillId="16" borderId="17" xfId="2" applyFont="1" applyFill="1" applyBorder="1" applyAlignment="1">
      <alignment vertical="center"/>
    </xf>
    <xf numFmtId="0" fontId="15" fillId="16" borderId="55" xfId="2" applyFont="1" applyFill="1" applyBorder="1" applyAlignment="1">
      <alignment vertical="center"/>
    </xf>
    <xf numFmtId="0" fontId="12" fillId="16" borderId="22" xfId="2" applyFont="1" applyFill="1" applyBorder="1" applyAlignment="1">
      <alignment horizontal="left"/>
    </xf>
    <xf numFmtId="0" fontId="15" fillId="18" borderId="0" xfId="2" applyFont="1" applyFill="1"/>
    <xf numFmtId="0" fontId="12" fillId="16" borderId="54" xfId="2" applyFont="1" applyFill="1" applyBorder="1" applyAlignment="1">
      <alignment vertical="center"/>
    </xf>
    <xf numFmtId="0" fontId="15" fillId="16" borderId="17" xfId="2" applyFont="1" applyFill="1" applyBorder="1"/>
    <xf numFmtId="0" fontId="15" fillId="16" borderId="55" xfId="2" applyFont="1" applyFill="1" applyBorder="1"/>
    <xf numFmtId="0" fontId="12" fillId="16" borderId="24" xfId="2" applyFont="1" applyFill="1" applyBorder="1" applyAlignment="1">
      <alignment vertical="center"/>
    </xf>
    <xf numFmtId="0" fontId="15" fillId="16" borderId="25" xfId="2" applyFont="1" applyFill="1" applyBorder="1"/>
    <xf numFmtId="0" fontId="16" fillId="16" borderId="64" xfId="2" applyFont="1" applyFill="1" applyBorder="1" applyAlignment="1">
      <alignment horizontal="center"/>
    </xf>
    <xf numFmtId="0" fontId="15" fillId="16" borderId="26" xfId="2" applyFont="1" applyFill="1" applyBorder="1"/>
    <xf numFmtId="0" fontId="17" fillId="0" borderId="0" xfId="0" applyFont="1"/>
    <xf numFmtId="0" fontId="17" fillId="0" borderId="0" xfId="0" applyFont="1" applyAlignment="1">
      <alignment vertical="center"/>
    </xf>
    <xf numFmtId="0" fontId="17" fillId="0" borderId="0" xfId="0" applyFont="1" applyAlignment="1">
      <alignment horizontal="center"/>
    </xf>
    <xf numFmtId="0" fontId="18" fillId="14" borderId="3" xfId="0" applyFont="1" applyFill="1" applyBorder="1" applyAlignment="1">
      <alignment horizontal="center" vertical="center" wrapText="1"/>
    </xf>
    <xf numFmtId="0" fontId="19" fillId="15" borderId="1" xfId="0" applyFont="1" applyFill="1" applyBorder="1" applyAlignment="1">
      <alignment horizontal="center" vertical="center"/>
    </xf>
    <xf numFmtId="2" fontId="19" fillId="15" borderId="1" xfId="0" applyNumberFormat="1" applyFont="1" applyFill="1" applyBorder="1" applyAlignment="1">
      <alignment horizontal="center" vertical="center"/>
    </xf>
    <xf numFmtId="0" fontId="20" fillId="13" borderId="1" xfId="0" applyFont="1" applyFill="1" applyBorder="1" applyAlignment="1">
      <alignment horizontal="center" vertical="center"/>
    </xf>
    <xf numFmtId="0" fontId="21" fillId="13" borderId="1" xfId="0" applyFont="1" applyFill="1" applyBorder="1" applyAlignment="1">
      <alignment horizontal="center" vertical="center"/>
    </xf>
    <xf numFmtId="0" fontId="22" fillId="13" borderId="1" xfId="0" applyFont="1" applyFill="1" applyBorder="1" applyAlignment="1">
      <alignment horizontal="center" vertical="center"/>
    </xf>
    <xf numFmtId="0" fontId="18" fillId="9" borderId="3" xfId="0" applyFont="1" applyFill="1" applyBorder="1" applyAlignment="1">
      <alignment horizontal="center" vertical="center"/>
    </xf>
    <xf numFmtId="0" fontId="18" fillId="9" borderId="1" xfId="0" applyFont="1" applyFill="1" applyBorder="1" applyAlignment="1">
      <alignment horizontal="left" vertical="center" wrapText="1"/>
    </xf>
    <xf numFmtId="1" fontId="19" fillId="9" borderId="1" xfId="0" applyNumberFormat="1" applyFont="1" applyFill="1" applyBorder="1" applyAlignment="1">
      <alignment horizontal="center" vertical="center"/>
    </xf>
    <xf numFmtId="165" fontId="19" fillId="9" borderId="1" xfId="0" applyNumberFormat="1" applyFont="1" applyFill="1" applyBorder="1" applyAlignment="1">
      <alignment horizontal="center" vertical="center"/>
    </xf>
    <xf numFmtId="0" fontId="18" fillId="9" borderId="4" xfId="0" applyFont="1" applyFill="1" applyBorder="1" applyAlignment="1">
      <alignment horizontal="left" vertical="center" wrapText="1"/>
    </xf>
    <xf numFmtId="1" fontId="19" fillId="9" borderId="4" xfId="0" applyNumberFormat="1" applyFont="1" applyFill="1" applyBorder="1" applyAlignment="1">
      <alignment horizontal="center" vertical="center"/>
    </xf>
    <xf numFmtId="165" fontId="19" fillId="9" borderId="4" xfId="0" applyNumberFormat="1" applyFont="1" applyFill="1" applyBorder="1" applyAlignment="1">
      <alignment horizontal="center" vertical="center"/>
    </xf>
    <xf numFmtId="0" fontId="18" fillId="9" borderId="3" xfId="0" applyFont="1" applyFill="1" applyBorder="1" applyAlignment="1">
      <alignment horizontal="left" vertical="center" wrapText="1"/>
    </xf>
    <xf numFmtId="1" fontId="19" fillId="9" borderId="3" xfId="0" applyNumberFormat="1" applyFont="1" applyFill="1" applyBorder="1" applyAlignment="1">
      <alignment horizontal="center" vertical="center"/>
    </xf>
    <xf numFmtId="165" fontId="19" fillId="9" borderId="3" xfId="0" applyNumberFormat="1" applyFont="1" applyFill="1" applyBorder="1" applyAlignment="1">
      <alignment horizontal="center" vertical="center"/>
    </xf>
    <xf numFmtId="0" fontId="18" fillId="14" borderId="3" xfId="0" applyFont="1" applyFill="1" applyBorder="1" applyAlignment="1">
      <alignment horizontal="center" vertical="center"/>
    </xf>
    <xf numFmtId="0" fontId="18" fillId="15" borderId="3" xfId="0" applyFont="1" applyFill="1" applyBorder="1" applyAlignment="1">
      <alignment horizontal="left" vertical="center" wrapText="1"/>
    </xf>
    <xf numFmtId="0" fontId="19" fillId="15" borderId="5" xfId="0" applyFont="1" applyFill="1" applyBorder="1" applyAlignment="1">
      <alignment horizontal="center" vertical="center"/>
    </xf>
    <xf numFmtId="165" fontId="19" fillId="15" borderId="5" xfId="0" applyNumberFormat="1" applyFont="1" applyFill="1" applyBorder="1" applyAlignment="1">
      <alignment horizontal="center" vertical="center"/>
    </xf>
    <xf numFmtId="0" fontId="18" fillId="15" borderId="6" xfId="0" applyFont="1" applyFill="1" applyBorder="1" applyAlignment="1">
      <alignment horizontal="left" vertical="center" wrapText="1"/>
    </xf>
    <xf numFmtId="165" fontId="19" fillId="15" borderId="1" xfId="0" applyNumberFormat="1" applyFont="1" applyFill="1" applyBorder="1" applyAlignment="1">
      <alignment horizontal="center" vertical="center"/>
    </xf>
    <xf numFmtId="0" fontId="18" fillId="15" borderId="7" xfId="0" applyFont="1" applyFill="1" applyBorder="1" applyAlignment="1">
      <alignment horizontal="left" vertical="center" wrapText="1"/>
    </xf>
    <xf numFmtId="0" fontId="18" fillId="9" borderId="7" xfId="0" applyFont="1" applyFill="1" applyBorder="1" applyAlignment="1">
      <alignment horizontal="left" vertical="center" wrapText="1"/>
    </xf>
    <xf numFmtId="0" fontId="19" fillId="9" borderId="1" xfId="0" applyFont="1" applyFill="1" applyBorder="1" applyAlignment="1">
      <alignment horizontal="center" vertical="center"/>
    </xf>
    <xf numFmtId="0" fontId="18" fillId="15" borderId="1" xfId="0" applyFont="1" applyFill="1" applyBorder="1" applyAlignment="1">
      <alignment horizontal="left" vertical="center" wrapText="1"/>
    </xf>
    <xf numFmtId="0" fontId="18" fillId="9" borderId="4" xfId="0" applyFont="1" applyFill="1" applyBorder="1" applyAlignment="1">
      <alignment horizontal="center" vertical="center"/>
    </xf>
    <xf numFmtId="0" fontId="18" fillId="14" borderId="4" xfId="0" applyFont="1" applyFill="1" applyBorder="1" applyAlignment="1">
      <alignment horizontal="center" vertical="center"/>
    </xf>
    <xf numFmtId="0" fontId="17" fillId="0" borderId="0" xfId="0" applyFont="1" applyAlignment="1">
      <alignment horizontal="center" vertical="center"/>
    </xf>
    <xf numFmtId="0" fontId="17" fillId="0" borderId="0" xfId="0" applyFont="1" applyAlignment="1">
      <alignment horizontal="left" wrapText="1"/>
    </xf>
    <xf numFmtId="0" fontId="18" fillId="0" borderId="0" xfId="0" applyFont="1" applyAlignment="1">
      <alignment wrapText="1"/>
    </xf>
    <xf numFmtId="0" fontId="18" fillId="0" borderId="0" xfId="0" applyFont="1" applyAlignment="1">
      <alignment horizontal="left" vertical="center" wrapText="1"/>
    </xf>
    <xf numFmtId="0" fontId="17" fillId="0" borderId="0" xfId="0" applyFont="1" applyAlignment="1">
      <alignment horizontal="left" vertical="center"/>
    </xf>
    <xf numFmtId="0" fontId="23" fillId="0" borderId="0" xfId="0" applyFont="1"/>
    <xf numFmtId="0" fontId="24" fillId="3" borderId="9" xfId="0" applyFont="1" applyFill="1" applyBorder="1" applyAlignment="1">
      <alignment horizontal="center" vertical="center"/>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7" fillId="0" borderId="12"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8" xfId="0" applyFont="1" applyBorder="1" applyAlignment="1">
      <alignment vertical="center" wrapText="1"/>
    </xf>
    <xf numFmtId="0" fontId="17" fillId="0" borderId="13" xfId="0" applyFont="1" applyBorder="1" applyAlignment="1">
      <alignment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5" xfId="0" applyFont="1" applyBorder="1" applyAlignment="1">
      <alignment vertical="center" wrapText="1"/>
    </xf>
    <xf numFmtId="0" fontId="17" fillId="0" borderId="16" xfId="0" applyFont="1" applyBorder="1" applyAlignment="1">
      <alignment vertical="center" wrapText="1"/>
    </xf>
    <xf numFmtId="0" fontId="12" fillId="0" borderId="13" xfId="0" applyFont="1" applyBorder="1" applyAlignment="1">
      <alignment vertical="center"/>
    </xf>
    <xf numFmtId="0" fontId="12" fillId="0" borderId="16" xfId="0" applyFont="1" applyBorder="1" applyAlignment="1">
      <alignment vertical="center"/>
    </xf>
    <xf numFmtId="14" fontId="12" fillId="0" borderId="12" xfId="0" applyNumberFormat="1" applyFont="1" applyBorder="1" applyAlignment="1">
      <alignment horizontal="center" vertical="center" wrapText="1"/>
    </xf>
    <xf numFmtId="165" fontId="12" fillId="0" borderId="8" xfId="0" applyNumberFormat="1" applyFont="1" applyBorder="1" applyAlignment="1">
      <alignment horizontal="center" vertical="center" wrapText="1"/>
    </xf>
    <xf numFmtId="0" fontId="12" fillId="0" borderId="8" xfId="0" applyFont="1" applyBorder="1" applyAlignment="1">
      <alignment horizontal="center" vertical="center" wrapText="1"/>
    </xf>
    <xf numFmtId="14" fontId="12" fillId="0" borderId="14" xfId="0" applyNumberFormat="1" applyFont="1" applyBorder="1" applyAlignment="1">
      <alignment horizontal="center" vertical="center" wrapText="1"/>
    </xf>
    <xf numFmtId="165" fontId="12" fillId="0" borderId="15" xfId="0" applyNumberFormat="1" applyFont="1" applyBorder="1" applyAlignment="1">
      <alignment horizontal="center" vertical="center" wrapText="1"/>
    </xf>
    <xf numFmtId="0" fontId="12" fillId="0" borderId="15" xfId="0" applyFont="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4" fillId="7" borderId="0" xfId="0" applyFont="1" applyFill="1" applyAlignment="1">
      <alignment vertical="center"/>
    </xf>
    <xf numFmtId="0" fontId="17" fillId="7" borderId="0" xfId="0" applyFont="1" applyFill="1" applyAlignment="1">
      <alignment vertical="center"/>
    </xf>
    <xf numFmtId="0" fontId="17" fillId="7" borderId="0" xfId="0" applyFont="1" applyFill="1"/>
    <xf numFmtId="0" fontId="17" fillId="6" borderId="0" xfId="0" applyFont="1" applyFill="1"/>
    <xf numFmtId="0" fontId="14" fillId="7" borderId="0" xfId="0" applyFont="1" applyFill="1" applyAlignment="1">
      <alignment vertical="center" wrapText="1"/>
    </xf>
    <xf numFmtId="1" fontId="17" fillId="7" borderId="0" xfId="0" applyNumberFormat="1" applyFont="1" applyFill="1" applyAlignment="1">
      <alignment vertical="center"/>
    </xf>
    <xf numFmtId="1" fontId="17" fillId="7" borderId="0" xfId="0" applyNumberFormat="1" applyFont="1" applyFill="1"/>
    <xf numFmtId="0" fontId="14" fillId="21" borderId="0" xfId="0" applyFont="1" applyFill="1" applyAlignment="1">
      <alignment vertical="center"/>
    </xf>
    <xf numFmtId="0" fontId="12" fillId="21" borderId="0" xfId="0" applyFont="1" applyFill="1" applyAlignment="1">
      <alignment vertical="center"/>
    </xf>
    <xf numFmtId="0" fontId="12" fillId="21" borderId="0" xfId="0" applyFont="1" applyFill="1"/>
    <xf numFmtId="0" fontId="18" fillId="15" borderId="1" xfId="0" applyFont="1" applyFill="1" applyBorder="1" applyAlignment="1">
      <alignment horizontal="left" vertical="top" wrapText="1"/>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4" fillId="3" borderId="12" xfId="0" applyFont="1" applyFill="1" applyBorder="1" applyAlignment="1">
      <alignment vertical="center" wrapText="1"/>
    </xf>
    <xf numFmtId="0" fontId="24" fillId="3" borderId="8" xfId="0" applyFont="1" applyFill="1" applyBorder="1" applyAlignment="1">
      <alignment vertical="center"/>
    </xf>
    <xf numFmtId="1" fontId="24" fillId="3" borderId="8" xfId="1" applyNumberFormat="1" applyFont="1" applyFill="1" applyBorder="1" applyAlignment="1">
      <alignment vertical="center"/>
    </xf>
    <xf numFmtId="2" fontId="24" fillId="3" borderId="8" xfId="0" applyNumberFormat="1" applyFont="1" applyFill="1" applyBorder="1" applyAlignment="1">
      <alignment vertical="center"/>
    </xf>
    <xf numFmtId="0" fontId="26" fillId="3" borderId="13" xfId="0" applyFont="1" applyFill="1" applyBorder="1"/>
    <xf numFmtId="0" fontId="14" fillId="3" borderId="10"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1" fillId="4" borderId="3" xfId="0" applyFont="1" applyFill="1" applyBorder="1" applyAlignment="1">
      <alignment horizontal="center" vertical="center"/>
    </xf>
    <xf numFmtId="0" fontId="11" fillId="4" borderId="7"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27" fillId="3" borderId="22" xfId="2" applyFont="1" applyFill="1" applyBorder="1" applyAlignment="1">
      <alignment horizontal="center" vertical="center"/>
    </xf>
    <xf numFmtId="0" fontId="27" fillId="3" borderId="3" xfId="2" applyFont="1" applyFill="1" applyBorder="1" applyAlignment="1">
      <alignment horizontal="center" vertical="center"/>
    </xf>
    <xf numFmtId="0" fontId="27" fillId="3" borderId="3" xfId="2" applyFont="1" applyFill="1" applyBorder="1" applyAlignment="1">
      <alignment horizontal="center" vertical="center" wrapText="1"/>
    </xf>
    <xf numFmtId="0" fontId="27" fillId="3" borderId="23" xfId="2" applyFont="1" applyFill="1" applyBorder="1" applyAlignment="1">
      <alignment horizontal="center" vertical="center" wrapText="1"/>
    </xf>
    <xf numFmtId="2" fontId="7" fillId="15" borderId="8" xfId="0" applyNumberFormat="1" applyFont="1" applyFill="1" applyBorder="1"/>
    <xf numFmtId="2" fontId="7" fillId="17" borderId="8" xfId="0" applyNumberFormat="1" applyFont="1" applyFill="1" applyBorder="1"/>
    <xf numFmtId="0" fontId="7" fillId="15" borderId="12" xfId="0" applyFont="1" applyFill="1" applyBorder="1"/>
    <xf numFmtId="0" fontId="7" fillId="15" borderId="8" xfId="0" applyFont="1" applyFill="1" applyBorder="1" applyAlignment="1">
      <alignment horizontal="center"/>
    </xf>
    <xf numFmtId="9" fontId="7" fillId="15" borderId="8" xfId="1" applyFont="1" applyFill="1" applyBorder="1"/>
    <xf numFmtId="0" fontId="8" fillId="15" borderId="8" xfId="0" applyFont="1" applyFill="1" applyBorder="1"/>
    <xf numFmtId="0" fontId="7" fillId="15" borderId="8" xfId="0" applyFont="1" applyFill="1" applyBorder="1"/>
    <xf numFmtId="9" fontId="7" fillId="15" borderId="8" xfId="0" applyNumberFormat="1" applyFont="1" applyFill="1" applyBorder="1"/>
    <xf numFmtId="1" fontId="7" fillId="15" borderId="8" xfId="1" applyNumberFormat="1" applyFont="1" applyFill="1" applyBorder="1"/>
    <xf numFmtId="2" fontId="28" fillId="10" borderId="15" xfId="0" applyNumberFormat="1" applyFont="1" applyFill="1" applyBorder="1" applyAlignment="1">
      <alignment horizontal="right" vertical="center"/>
    </xf>
    <xf numFmtId="0" fontId="14" fillId="3" borderId="9"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73" xfId="0" applyFont="1" applyFill="1" applyBorder="1" applyAlignment="1">
      <alignment horizontal="center" vertical="center" wrapText="1"/>
    </xf>
    <xf numFmtId="0" fontId="14" fillId="3" borderId="74" xfId="0" applyFont="1" applyFill="1" applyBorder="1" applyAlignment="1">
      <alignment horizontal="center" vertical="center" wrapText="1"/>
    </xf>
    <xf numFmtId="0" fontId="14" fillId="3" borderId="75" xfId="0" applyFont="1" applyFill="1" applyBorder="1" applyAlignment="1">
      <alignment horizontal="center" vertical="center" wrapText="1"/>
    </xf>
    <xf numFmtId="2" fontId="9" fillId="10" borderId="76" xfId="0" applyNumberFormat="1" applyFont="1" applyFill="1" applyBorder="1" applyAlignment="1">
      <alignment horizontal="right" wrapText="1"/>
    </xf>
    <xf numFmtId="2" fontId="5" fillId="11" borderId="77" xfId="0" applyNumberFormat="1" applyFont="1" applyFill="1" applyBorder="1"/>
    <xf numFmtId="2" fontId="5" fillId="11" borderId="78" xfId="0" applyNumberFormat="1" applyFont="1" applyFill="1" applyBorder="1"/>
    <xf numFmtId="0" fontId="9" fillId="10" borderId="81" xfId="0" applyFont="1" applyFill="1" applyBorder="1" applyAlignment="1">
      <alignment horizontal="center"/>
    </xf>
    <xf numFmtId="0" fontId="5" fillId="12" borderId="71" xfId="0" applyFont="1" applyFill="1" applyBorder="1" applyAlignment="1">
      <alignment horizontal="left"/>
    </xf>
    <xf numFmtId="0" fontId="5" fillId="12" borderId="72" xfId="0" applyFont="1" applyFill="1" applyBorder="1" applyAlignment="1">
      <alignment horizontal="left"/>
    </xf>
    <xf numFmtId="1" fontId="9" fillId="10" borderId="27" xfId="0" applyNumberFormat="1" applyFont="1" applyFill="1" applyBorder="1" applyAlignment="1">
      <alignment horizontal="right" wrapText="1"/>
    </xf>
    <xf numFmtId="1" fontId="9" fillId="10" borderId="28" xfId="0" applyNumberFormat="1" applyFont="1" applyFill="1" applyBorder="1" applyAlignment="1">
      <alignment horizontal="right" wrapText="1"/>
    </xf>
    <xf numFmtId="0" fontId="5" fillId="6" borderId="12" xfId="0" applyFont="1" applyFill="1" applyBorder="1"/>
    <xf numFmtId="0" fontId="5" fillId="6" borderId="13" xfId="0" applyFont="1" applyFill="1" applyBorder="1"/>
    <xf numFmtId="0" fontId="5" fillId="6" borderId="14" xfId="0" applyFont="1" applyFill="1" applyBorder="1"/>
    <xf numFmtId="0" fontId="5" fillId="6" borderId="16" xfId="0" applyFont="1" applyFill="1" applyBorder="1"/>
    <xf numFmtId="2" fontId="9" fillId="10" borderId="9" xfId="0" applyNumberFormat="1" applyFont="1" applyFill="1" applyBorder="1" applyAlignment="1">
      <alignment horizontal="right" wrapText="1"/>
    </xf>
    <xf numFmtId="2" fontId="9" fillId="10" borderId="10" xfId="0" applyNumberFormat="1" applyFont="1" applyFill="1" applyBorder="1" applyAlignment="1">
      <alignment horizontal="right" wrapText="1"/>
    </xf>
    <xf numFmtId="2" fontId="9" fillId="10" borderId="70" xfId="0" applyNumberFormat="1" applyFont="1" applyFill="1" applyBorder="1" applyAlignment="1">
      <alignment horizontal="right" wrapText="1"/>
    </xf>
    <xf numFmtId="2" fontId="9" fillId="10" borderId="11" xfId="0" applyNumberFormat="1" applyFont="1" applyFill="1" applyBorder="1" applyAlignment="1">
      <alignment horizontal="right" wrapText="1"/>
    </xf>
    <xf numFmtId="2" fontId="5" fillId="12" borderId="12" xfId="0" applyNumberFormat="1" applyFont="1" applyFill="1" applyBorder="1"/>
    <xf numFmtId="2" fontId="5" fillId="12" borderId="8" xfId="0" applyNumberFormat="1" applyFont="1" applyFill="1" applyBorder="1"/>
    <xf numFmtId="2" fontId="5" fillId="12" borderId="13" xfId="0" applyNumberFormat="1" applyFont="1" applyFill="1" applyBorder="1"/>
    <xf numFmtId="2" fontId="5" fillId="15" borderId="79" xfId="0" applyNumberFormat="1" applyFont="1" applyFill="1" applyBorder="1"/>
    <xf numFmtId="2" fontId="5" fillId="15" borderId="68" xfId="0" applyNumberFormat="1" applyFont="1" applyFill="1" applyBorder="1"/>
    <xf numFmtId="2" fontId="5" fillId="15" borderId="13" xfId="0" applyNumberFormat="1" applyFont="1" applyFill="1" applyBorder="1"/>
    <xf numFmtId="2" fontId="5" fillId="12" borderId="14" xfId="0" applyNumberFormat="1" applyFont="1" applyFill="1" applyBorder="1"/>
    <xf numFmtId="2" fontId="5" fillId="12" borderId="15" xfId="0" applyNumberFormat="1" applyFont="1" applyFill="1" applyBorder="1"/>
    <xf numFmtId="2" fontId="5" fillId="12" borderId="16" xfId="0" applyNumberFormat="1" applyFont="1" applyFill="1" applyBorder="1"/>
    <xf numFmtId="2" fontId="5" fillId="15" borderId="80" xfId="0" applyNumberFormat="1" applyFont="1" applyFill="1" applyBorder="1"/>
    <xf numFmtId="2" fontId="5" fillId="15" borderId="69" xfId="0" applyNumberFormat="1" applyFont="1" applyFill="1" applyBorder="1"/>
    <xf numFmtId="2" fontId="5" fillId="15" borderId="16" xfId="0" applyNumberFormat="1" applyFont="1" applyFill="1" applyBorder="1"/>
    <xf numFmtId="0" fontId="18" fillId="11" borderId="4" xfId="0" applyFont="1" applyFill="1" applyBorder="1" applyAlignment="1">
      <alignment horizontal="left" vertical="center" wrapText="1"/>
    </xf>
    <xf numFmtId="0" fontId="18" fillId="11" borderId="1" xfId="0" applyFont="1" applyFill="1" applyBorder="1" applyAlignment="1">
      <alignment horizontal="left" vertical="center" wrapText="1"/>
    </xf>
    <xf numFmtId="0" fontId="18" fillId="9" borderId="5" xfId="0" applyFont="1" applyFill="1" applyBorder="1" applyAlignment="1">
      <alignment horizontal="left" vertical="center" wrapText="1"/>
    </xf>
    <xf numFmtId="166" fontId="12" fillId="0" borderId="22"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0" fontId="9" fillId="10" borderId="67" xfId="0" applyFont="1" applyFill="1" applyBorder="1" applyAlignment="1">
      <alignment horizontal="right"/>
    </xf>
    <xf numFmtId="0" fontId="17" fillId="0" borderId="8" xfId="0" applyFont="1" applyBorder="1" applyAlignment="1">
      <alignment vertical="center"/>
    </xf>
    <xf numFmtId="0" fontId="17" fillId="0" borderId="8" xfId="0" applyFont="1" applyBorder="1"/>
    <xf numFmtId="0" fontId="14" fillId="3" borderId="84" xfId="0" applyFont="1" applyFill="1" applyBorder="1" applyAlignment="1">
      <alignment horizontal="center" vertical="center"/>
    </xf>
    <xf numFmtId="0" fontId="17" fillId="0" borderId="85" xfId="0" applyFont="1" applyBorder="1" applyAlignment="1">
      <alignment vertical="center"/>
    </xf>
    <xf numFmtId="0" fontId="17" fillId="0" borderId="85" xfId="0" applyFont="1" applyBorder="1"/>
    <xf numFmtId="0" fontId="17" fillId="0" borderId="86" xfId="0" applyFont="1" applyBorder="1"/>
    <xf numFmtId="0" fontId="17" fillId="0" borderId="12" xfId="0" applyFont="1" applyBorder="1" applyAlignment="1">
      <alignment vertical="center"/>
    </xf>
    <xf numFmtId="0" fontId="17" fillId="0" borderId="13" xfId="0" applyFont="1" applyBorder="1" applyAlignment="1">
      <alignment vertical="center"/>
    </xf>
    <xf numFmtId="0" fontId="17" fillId="0" borderId="12" xfId="0" applyFont="1" applyBorder="1"/>
    <xf numFmtId="0" fontId="17" fillId="0" borderId="13" xfId="0" applyFont="1" applyBorder="1"/>
    <xf numFmtId="0" fontId="17" fillId="0" borderId="14" xfId="0" applyFont="1" applyBorder="1"/>
    <xf numFmtId="0" fontId="17" fillId="0" borderId="15" xfId="0" applyFont="1" applyBorder="1"/>
    <xf numFmtId="0" fontId="17" fillId="0" borderId="16" xfId="0" applyFont="1" applyBorder="1"/>
    <xf numFmtId="0" fontId="14" fillId="4" borderId="84" xfId="0" applyFont="1" applyFill="1" applyBorder="1" applyAlignment="1">
      <alignment horizontal="center" vertical="center"/>
    </xf>
    <xf numFmtId="0" fontId="12" fillId="5" borderId="85" xfId="0" applyFont="1" applyFill="1" applyBorder="1" applyAlignment="1">
      <alignment vertical="center"/>
    </xf>
    <xf numFmtId="0" fontId="12" fillId="5" borderId="85" xfId="0" applyFont="1" applyFill="1" applyBorder="1"/>
    <xf numFmtId="0" fontId="12" fillId="5" borderId="86" xfId="0" applyFont="1" applyFill="1" applyBorder="1"/>
    <xf numFmtId="0" fontId="17" fillId="6" borderId="85" xfId="0" applyFont="1" applyFill="1" applyBorder="1" applyAlignment="1">
      <alignment vertical="center"/>
    </xf>
    <xf numFmtId="0" fontId="17" fillId="6" borderId="85" xfId="0" applyFont="1" applyFill="1" applyBorder="1"/>
    <xf numFmtId="0" fontId="17" fillId="6" borderId="86" xfId="0" applyFont="1" applyFill="1" applyBorder="1"/>
    <xf numFmtId="0" fontId="14" fillId="3" borderId="84" xfId="0" applyFont="1" applyFill="1" applyBorder="1" applyAlignment="1">
      <alignment horizontal="center" vertical="center" wrapText="1"/>
    </xf>
    <xf numFmtId="1" fontId="17" fillId="0" borderId="85" xfId="0" applyNumberFormat="1" applyFont="1" applyBorder="1" applyAlignment="1">
      <alignment vertical="center"/>
    </xf>
    <xf numFmtId="1" fontId="17" fillId="0" borderId="86" xfId="0" applyNumberFormat="1" applyFont="1" applyBorder="1"/>
    <xf numFmtId="2" fontId="17" fillId="0" borderId="85" xfId="0" applyNumberFormat="1" applyFont="1" applyBorder="1" applyAlignment="1">
      <alignment vertical="center"/>
    </xf>
    <xf numFmtId="2" fontId="17" fillId="0" borderId="85" xfId="0" applyNumberFormat="1" applyFont="1" applyBorder="1"/>
    <xf numFmtId="2" fontId="23" fillId="23" borderId="85" xfId="0" applyNumberFormat="1" applyFont="1" applyFill="1" applyBorder="1"/>
    <xf numFmtId="2" fontId="17" fillId="0" borderId="86" xfId="0" applyNumberFormat="1" applyFont="1" applyBorder="1"/>
    <xf numFmtId="0" fontId="9" fillId="13" borderId="68" xfId="0" applyFont="1" applyFill="1" applyBorder="1" applyAlignment="1">
      <alignment horizontal="center"/>
    </xf>
    <xf numFmtId="0" fontId="9" fillId="13" borderId="69" xfId="0" applyFont="1" applyFill="1" applyBorder="1" applyAlignment="1">
      <alignment horizontal="center"/>
    </xf>
    <xf numFmtId="0" fontId="5" fillId="13" borderId="8" xfId="0" applyFont="1" applyFill="1" applyBorder="1"/>
    <xf numFmtId="0" fontId="5" fillId="13" borderId="15" xfId="0" applyFont="1" applyFill="1" applyBorder="1"/>
    <xf numFmtId="0" fontId="34" fillId="22" borderId="34" xfId="0" applyFont="1" applyFill="1" applyBorder="1" applyAlignment="1">
      <alignment vertical="center" wrapText="1"/>
    </xf>
    <xf numFmtId="0" fontId="0" fillId="22" borderId="82" xfId="0" applyFill="1" applyBorder="1" applyAlignment="1">
      <alignment wrapText="1"/>
    </xf>
    <xf numFmtId="0" fontId="29" fillId="22" borderId="82" xfId="0" applyFont="1" applyFill="1" applyBorder="1" applyAlignment="1">
      <alignment horizontal="left" vertical="center" wrapText="1"/>
    </xf>
    <xf numFmtId="0" fontId="30" fillId="22" borderId="82" xfId="0" applyFont="1" applyFill="1" applyBorder="1" applyAlignment="1">
      <alignment vertical="center" wrapText="1"/>
    </xf>
    <xf numFmtId="0" fontId="0" fillId="22" borderId="82" xfId="0" applyFill="1" applyBorder="1" applyAlignment="1">
      <alignment horizontal="left" vertical="center" wrapText="1"/>
    </xf>
    <xf numFmtId="0" fontId="31" fillId="22" borderId="82" xfId="0" applyFont="1" applyFill="1" applyBorder="1" applyAlignment="1">
      <alignment horizontal="left" vertical="center" wrapText="1"/>
    </xf>
    <xf numFmtId="0" fontId="32" fillId="22" borderId="82" xfId="0" applyFont="1" applyFill="1" applyBorder="1" applyAlignment="1">
      <alignment horizontal="left" vertical="center" wrapText="1"/>
    </xf>
    <xf numFmtId="0" fontId="17" fillId="22" borderId="82" xfId="0" applyFont="1" applyFill="1" applyBorder="1" applyAlignment="1">
      <alignment wrapText="1"/>
    </xf>
    <xf numFmtId="0" fontId="33" fillId="22" borderId="82" xfId="0" applyFont="1" applyFill="1" applyBorder="1" applyAlignment="1">
      <alignment vertical="center" wrapText="1"/>
    </xf>
    <xf numFmtId="0" fontId="32" fillId="22" borderId="83" xfId="0" applyFont="1" applyFill="1" applyBorder="1" applyAlignment="1">
      <alignment wrapText="1"/>
    </xf>
    <xf numFmtId="0" fontId="5" fillId="12" borderId="12" xfId="0" applyFont="1" applyFill="1" applyBorder="1" applyAlignment="1">
      <alignment horizontal="center"/>
    </xf>
    <xf numFmtId="0" fontId="5" fillId="12" borderId="14" xfId="0" applyFont="1" applyFill="1" applyBorder="1" applyAlignment="1">
      <alignment horizontal="center"/>
    </xf>
    <xf numFmtId="0" fontId="36" fillId="19" borderId="12" xfId="0" applyFont="1" applyFill="1" applyBorder="1"/>
    <xf numFmtId="0" fontId="8" fillId="19" borderId="8" xfId="0" applyFont="1" applyFill="1" applyBorder="1" applyAlignment="1">
      <alignment horizontal="center"/>
    </xf>
    <xf numFmtId="9" fontId="8" fillId="19" borderId="8" xfId="1" applyFont="1" applyFill="1" applyBorder="1"/>
    <xf numFmtId="2" fontId="8" fillId="19" borderId="8" xfId="0" applyNumberFormat="1" applyFont="1" applyFill="1" applyBorder="1"/>
    <xf numFmtId="0" fontId="37" fillId="13" borderId="1" xfId="0" applyFont="1" applyFill="1" applyBorder="1" applyAlignment="1">
      <alignment horizontal="center" vertical="center"/>
    </xf>
    <xf numFmtId="0" fontId="37" fillId="13" borderId="7" xfId="0" applyFont="1" applyFill="1" applyBorder="1" applyAlignment="1">
      <alignment horizontal="center" vertical="center"/>
    </xf>
    <xf numFmtId="0" fontId="20" fillId="13" borderId="7" xfId="0" applyFont="1" applyFill="1" applyBorder="1" applyAlignment="1">
      <alignment horizontal="center" vertical="center"/>
    </xf>
    <xf numFmtId="0" fontId="21" fillId="13" borderId="7" xfId="0" applyFont="1" applyFill="1" applyBorder="1" applyAlignment="1">
      <alignment horizontal="center" vertical="center"/>
    </xf>
    <xf numFmtId="0" fontId="22" fillId="13" borderId="7" xfId="0" applyFont="1" applyFill="1" applyBorder="1" applyAlignment="1">
      <alignment horizontal="center" vertical="center"/>
    </xf>
    <xf numFmtId="0" fontId="11" fillId="4" borderId="4" xfId="0" applyFont="1" applyFill="1" applyBorder="1" applyAlignment="1">
      <alignment horizontal="center" vertical="center" wrapText="1"/>
    </xf>
    <xf numFmtId="0" fontId="18" fillId="15" borderId="3" xfId="0" applyFont="1" applyFill="1" applyBorder="1" applyAlignment="1">
      <alignment vertical="center"/>
    </xf>
    <xf numFmtId="0" fontId="18" fillId="15" borderId="3" xfId="0" applyFont="1" applyFill="1" applyBorder="1" applyAlignment="1">
      <alignment vertical="center" wrapText="1"/>
    </xf>
    <xf numFmtId="167" fontId="12" fillId="7" borderId="23" xfId="0" applyNumberFormat="1" applyFont="1" applyFill="1" applyBorder="1" applyAlignment="1">
      <alignment horizontal="center" vertical="center" wrapText="1"/>
    </xf>
    <xf numFmtId="0" fontId="13" fillId="12" borderId="39" xfId="0" applyFont="1" applyFill="1" applyBorder="1" applyAlignment="1">
      <alignment horizontal="center" vertical="center"/>
    </xf>
    <xf numFmtId="0" fontId="13" fillId="12" borderId="40" xfId="0" applyFont="1" applyFill="1" applyBorder="1" applyAlignment="1">
      <alignment horizontal="center" vertical="center"/>
    </xf>
    <xf numFmtId="0" fontId="13" fillId="12" borderId="50" xfId="0" applyFont="1" applyFill="1" applyBorder="1" applyAlignment="1">
      <alignment horizontal="center" vertical="center"/>
    </xf>
    <xf numFmtId="0" fontId="13" fillId="12" borderId="41" xfId="0" applyFont="1" applyFill="1" applyBorder="1" applyAlignment="1">
      <alignment horizontal="center" vertical="center"/>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35" xfId="0" applyFont="1" applyFill="1" applyBorder="1" applyAlignment="1">
      <alignment horizontal="center" vertical="center" wrapText="1"/>
    </xf>
    <xf numFmtId="0" fontId="14" fillId="3" borderId="38"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4" fillId="3" borderId="65" xfId="0" applyFont="1" applyFill="1" applyBorder="1" applyAlignment="1">
      <alignment horizontal="center" vertical="center" wrapText="1"/>
    </xf>
    <xf numFmtId="0" fontId="14" fillId="3" borderId="66" xfId="0" applyFont="1" applyFill="1" applyBorder="1" applyAlignment="1">
      <alignment horizontal="center" vertical="center" wrapText="1"/>
    </xf>
    <xf numFmtId="0" fontId="14" fillId="3" borderId="50"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51" xfId="0" applyFont="1" applyFill="1" applyBorder="1" applyAlignment="1">
      <alignment horizontal="center" vertical="center" wrapText="1"/>
    </xf>
    <xf numFmtId="0" fontId="14" fillId="3" borderId="52" xfId="0" applyFont="1" applyFill="1" applyBorder="1" applyAlignment="1">
      <alignment horizontal="center" vertical="center" wrapText="1"/>
    </xf>
    <xf numFmtId="0" fontId="14" fillId="3" borderId="49" xfId="0" applyFont="1" applyFill="1" applyBorder="1" applyAlignment="1">
      <alignment horizontal="center" vertical="center" wrapText="1"/>
    </xf>
    <xf numFmtId="0" fontId="10" fillId="12" borderId="39" xfId="0" applyFont="1" applyFill="1" applyBorder="1" applyAlignment="1">
      <alignment horizontal="center" vertical="center"/>
    </xf>
    <xf numFmtId="0" fontId="10" fillId="12" borderId="40" xfId="0" applyFont="1" applyFill="1" applyBorder="1" applyAlignment="1">
      <alignment horizontal="center" vertical="center"/>
    </xf>
    <xf numFmtId="0" fontId="10" fillId="12" borderId="41" xfId="0" applyFont="1" applyFill="1" applyBorder="1" applyAlignment="1">
      <alignment horizontal="center" vertical="center"/>
    </xf>
    <xf numFmtId="0" fontId="27" fillId="3" borderId="56" xfId="2" applyFont="1" applyFill="1" applyBorder="1" applyAlignment="1">
      <alignment horizontal="center" vertical="center"/>
    </xf>
    <xf numFmtId="0" fontId="27" fillId="3" borderId="0" xfId="2" applyFont="1" applyFill="1" applyAlignment="1">
      <alignment horizontal="center" vertical="center"/>
    </xf>
    <xf numFmtId="0" fontId="27" fillId="3" borderId="57" xfId="2" applyFont="1" applyFill="1" applyBorder="1" applyAlignment="1">
      <alignment horizontal="center" vertical="center"/>
    </xf>
    <xf numFmtId="0" fontId="27" fillId="3" borderId="22" xfId="2" applyFont="1" applyFill="1" applyBorder="1" applyAlignment="1">
      <alignment horizontal="center" vertical="center"/>
    </xf>
    <xf numFmtId="0" fontId="27" fillId="3" borderId="3" xfId="2" applyFont="1" applyFill="1" applyBorder="1" applyAlignment="1">
      <alignment horizontal="center" vertical="center"/>
    </xf>
    <xf numFmtId="0" fontId="27" fillId="3" borderId="23" xfId="2" applyFont="1" applyFill="1" applyBorder="1" applyAlignment="1">
      <alignment horizontal="center" vertical="center"/>
    </xf>
    <xf numFmtId="0" fontId="27" fillId="3" borderId="63" xfId="2" applyFont="1" applyFill="1" applyBorder="1" applyAlignment="1">
      <alignment horizontal="center" vertical="center"/>
    </xf>
    <xf numFmtId="0" fontId="27" fillId="3" borderId="53" xfId="2" applyFont="1" applyFill="1" applyBorder="1" applyAlignment="1">
      <alignment horizontal="center" vertical="center"/>
    </xf>
    <xf numFmtId="0" fontId="27" fillId="3" borderId="47" xfId="2" applyFont="1" applyFill="1" applyBorder="1" applyAlignment="1">
      <alignment horizontal="center" vertical="center"/>
    </xf>
    <xf numFmtId="0" fontId="13" fillId="12" borderId="49" xfId="2" applyFont="1" applyFill="1" applyBorder="1" applyAlignment="1">
      <alignment horizontal="center" vertical="center"/>
    </xf>
    <xf numFmtId="0" fontId="13" fillId="12" borderId="50" xfId="2" applyFont="1" applyFill="1" applyBorder="1" applyAlignment="1">
      <alignment horizontal="center" vertical="center"/>
    </xf>
    <xf numFmtId="0" fontId="13" fillId="12" borderId="51" xfId="2" applyFont="1" applyFill="1" applyBorder="1" applyAlignment="1">
      <alignment horizontal="center" vertical="center"/>
    </xf>
    <xf numFmtId="0" fontId="13" fillId="12" borderId="34" xfId="0" applyFont="1" applyFill="1" applyBorder="1" applyAlignment="1">
      <alignment horizontal="center" vertical="center"/>
    </xf>
    <xf numFmtId="0" fontId="18" fillId="9" borderId="31" xfId="0" applyFont="1" applyFill="1" applyBorder="1" applyAlignment="1">
      <alignment horizontal="left" vertical="center" wrapText="1"/>
    </xf>
    <xf numFmtId="0" fontId="18" fillId="9" borderId="32" xfId="0" applyFont="1" applyFill="1" applyBorder="1" applyAlignment="1">
      <alignment horizontal="left" vertical="center" wrapText="1"/>
    </xf>
    <xf numFmtId="0" fontId="18" fillId="9" borderId="33" xfId="0" applyFont="1" applyFill="1" applyBorder="1" applyAlignment="1">
      <alignment horizontal="left" vertical="center" wrapText="1"/>
    </xf>
    <xf numFmtId="0" fontId="18" fillId="14" borderId="4" xfId="0" applyFont="1" applyFill="1" applyBorder="1" applyAlignment="1">
      <alignment horizontal="left" vertical="center" wrapText="1"/>
    </xf>
    <xf numFmtId="0" fontId="18" fillId="14" borderId="2" xfId="0" applyFont="1" applyFill="1" applyBorder="1" applyAlignment="1">
      <alignment horizontal="left" vertical="center" wrapText="1"/>
    </xf>
    <xf numFmtId="0" fontId="18" fillId="14" borderId="5" xfId="0" applyFont="1" applyFill="1" applyBorder="1" applyAlignment="1">
      <alignment horizontal="left" vertical="center" wrapText="1"/>
    </xf>
    <xf numFmtId="0" fontId="18" fillId="14" borderId="44" xfId="0" applyFont="1" applyFill="1" applyBorder="1" applyAlignment="1">
      <alignment horizontal="left" vertical="center" wrapText="1"/>
    </xf>
    <xf numFmtId="0" fontId="18" fillId="14" borderId="45" xfId="0" applyFont="1" applyFill="1" applyBorder="1" applyAlignment="1">
      <alignment horizontal="left" vertical="center" wrapText="1"/>
    </xf>
    <xf numFmtId="0" fontId="18" fillId="14" borderId="87" xfId="0" applyFont="1" applyFill="1" applyBorder="1" applyAlignment="1">
      <alignment horizontal="left" vertical="center" wrapText="1"/>
    </xf>
    <xf numFmtId="0" fontId="18" fillId="9" borderId="44" xfId="0" applyFont="1" applyFill="1" applyBorder="1" applyAlignment="1">
      <alignment horizontal="left" vertical="center" wrapText="1"/>
    </xf>
    <xf numFmtId="0" fontId="18" fillId="9" borderId="45" xfId="0" applyFont="1" applyFill="1" applyBorder="1" applyAlignment="1">
      <alignment horizontal="left" vertical="center" wrapText="1"/>
    </xf>
    <xf numFmtId="0" fontId="18" fillId="9" borderId="46" xfId="0" applyFont="1" applyFill="1" applyBorder="1" applyAlignment="1">
      <alignment horizontal="left" vertical="center" wrapText="1"/>
    </xf>
    <xf numFmtId="0" fontId="18" fillId="9" borderId="4" xfId="0" applyFont="1" applyFill="1" applyBorder="1" applyAlignment="1">
      <alignment horizontal="left" vertical="center" wrapText="1"/>
    </xf>
    <xf numFmtId="0" fontId="18" fillId="9" borderId="2" xfId="0" applyFont="1" applyFill="1" applyBorder="1" applyAlignment="1">
      <alignment horizontal="left" vertical="center" wrapText="1"/>
    </xf>
    <xf numFmtId="0" fontId="18" fillId="9" borderId="5" xfId="0" applyFont="1" applyFill="1" applyBorder="1" applyAlignment="1">
      <alignment horizontal="left" vertical="center" wrapText="1"/>
    </xf>
    <xf numFmtId="0" fontId="18" fillId="14" borderId="43" xfId="0" applyFont="1" applyFill="1" applyBorder="1" applyAlignment="1">
      <alignment horizontal="left" vertical="center" wrapText="1"/>
    </xf>
    <xf numFmtId="0" fontId="18" fillId="14" borderId="30" xfId="0" applyFont="1" applyFill="1" applyBorder="1" applyAlignment="1">
      <alignment horizontal="left" vertical="center" wrapText="1"/>
    </xf>
    <xf numFmtId="0" fontId="18" fillId="14" borderId="17" xfId="0" applyFont="1" applyFill="1" applyBorder="1" applyAlignment="1">
      <alignment horizontal="left" vertical="center" wrapText="1"/>
    </xf>
    <xf numFmtId="0" fontId="18" fillId="9" borderId="43" xfId="0" applyFont="1" applyFill="1" applyBorder="1" applyAlignment="1">
      <alignment horizontal="left" vertical="center" wrapText="1"/>
    </xf>
    <xf numFmtId="0" fontId="18" fillId="9" borderId="30" xfId="0" applyFont="1" applyFill="1" applyBorder="1" applyAlignment="1">
      <alignment horizontal="left" vertical="center" wrapText="1"/>
    </xf>
    <xf numFmtId="0" fontId="18" fillId="9" borderId="17" xfId="0" applyFont="1" applyFill="1" applyBorder="1" applyAlignment="1">
      <alignment horizontal="left" vertical="center" wrapText="1"/>
    </xf>
    <xf numFmtId="0" fontId="18" fillId="14" borderId="42" xfId="0" applyFont="1" applyFill="1" applyBorder="1" applyAlignment="1">
      <alignment horizontal="left" vertical="center" wrapText="1"/>
    </xf>
    <xf numFmtId="0" fontId="18" fillId="14" borderId="32" xfId="0" applyFont="1" applyFill="1" applyBorder="1" applyAlignment="1">
      <alignment horizontal="left" vertical="center" wrapText="1"/>
    </xf>
    <xf numFmtId="0" fontId="18" fillId="14" borderId="33" xfId="0" applyFont="1" applyFill="1" applyBorder="1" applyAlignment="1">
      <alignment horizontal="left" vertical="center" wrapText="1"/>
    </xf>
  </cellXfs>
  <cellStyles count="4">
    <cellStyle name="Currency 2" xfId="3" xr:uid="{37644E39-C2CF-46AB-8D53-8753A9153128}"/>
    <cellStyle name="Normal" xfId="0" builtinId="0"/>
    <cellStyle name="Normal 2" xfId="2" xr:uid="{F93FA4CE-93EC-4861-8E47-5F5814C56982}"/>
    <cellStyle name="Percent" xfId="1" builtinId="5"/>
  </cellStyles>
  <dxfs count="8">
    <dxf>
      <font>
        <color rgb="FFC00000"/>
      </font>
    </dxf>
    <dxf>
      <font>
        <color theme="7" tint="-0.24994659260841701"/>
      </font>
      <fill>
        <patternFill patternType="none">
          <bgColor auto="1"/>
        </patternFill>
      </fill>
    </dxf>
    <dxf>
      <font>
        <color rgb="FFFF0000"/>
      </font>
    </dxf>
    <dxf>
      <font>
        <color theme="8"/>
      </font>
    </dxf>
    <dxf>
      <font>
        <color theme="7" tint="-0.499984740745262"/>
      </font>
    </dxf>
    <dxf>
      <font>
        <color theme="6" tint="-0.24994659260841701"/>
      </font>
    </dxf>
    <dxf>
      <font>
        <color rgb="FFFF0000"/>
      </font>
    </dxf>
    <dxf>
      <font>
        <color rgb="FFC00000"/>
      </font>
    </dxf>
  </dxfs>
  <tableStyles count="0" defaultTableStyle="TableStyleMedium2" defaultPivotStyle="PivotStyleLight16"/>
  <colors>
    <mruColors>
      <color rgb="FFFFFFCC"/>
      <color rgb="FFFFEB3B"/>
      <color rgb="FF9D9554"/>
      <color rgb="FFFB8239"/>
      <color rgb="FFF4D650"/>
      <color rgb="FF89AD3F"/>
      <color rgb="FF498964"/>
      <color rgb="FF01619E"/>
      <color rgb="FF736F26"/>
      <color rgb="FF53B1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20025</xdr:colOff>
      <xdr:row>0</xdr:row>
      <xdr:rowOff>79696</xdr:rowOff>
    </xdr:from>
    <xdr:to>
      <xdr:col>2</xdr:col>
      <xdr:colOff>293899</xdr:colOff>
      <xdr:row>3</xdr:row>
      <xdr:rowOff>51395</xdr:rowOff>
    </xdr:to>
    <xdr:pic>
      <xdr:nvPicPr>
        <xdr:cNvPr id="3" name="Graphic 17">
          <a:extLst>
            <a:ext uri="{FF2B5EF4-FFF2-40B4-BE49-F238E27FC236}">
              <a16:creationId xmlns:a16="http://schemas.microsoft.com/office/drawing/2014/main" id="{793EC20B-5677-00E3-9E1F-EBB9AA181A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4280" y="79696"/>
          <a:ext cx="2547174" cy="44794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7C62-2DAD-44BB-97AA-137655A189CA}">
  <dimension ref="B1:B101"/>
  <sheetViews>
    <sheetView showGridLines="0" topLeftCell="A91" workbookViewId="0">
      <selection activeCell="B21" sqref="B21"/>
    </sheetView>
  </sheetViews>
  <sheetFormatPr defaultColWidth="8.6640625" defaultRowHeight="13.8" x14ac:dyDescent="0.3"/>
  <cols>
    <col min="1" max="1" width="4.6640625" style="85" customWidth="1"/>
    <col min="2" max="2" width="114.33203125" style="85" customWidth="1"/>
    <col min="3" max="16384" width="8.6640625" style="85"/>
  </cols>
  <sheetData>
    <row r="1" spans="2:2" ht="13.2" customHeight="1" thickBot="1" x14ac:dyDescent="0.35">
      <c r="B1" s="146"/>
    </row>
    <row r="2" spans="2:2" ht="19.5" customHeight="1" x14ac:dyDescent="0.3">
      <c r="B2" s="256" t="s">
        <v>0</v>
      </c>
    </row>
    <row r="3" spans="2:2" ht="13.2" customHeight="1" x14ac:dyDescent="0.3">
      <c r="B3" s="257"/>
    </row>
    <row r="4" spans="2:2" ht="13.2" customHeight="1" x14ac:dyDescent="0.3">
      <c r="B4" s="257" t="s">
        <v>1</v>
      </c>
    </row>
    <row r="5" spans="2:2" ht="13.2" customHeight="1" x14ac:dyDescent="0.3">
      <c r="B5" s="258" t="s">
        <v>2</v>
      </c>
    </row>
    <row r="6" spans="2:2" ht="13.2" customHeight="1" x14ac:dyDescent="0.3">
      <c r="B6" s="258" t="s">
        <v>3</v>
      </c>
    </row>
    <row r="7" spans="2:2" ht="13.2" customHeight="1" x14ac:dyDescent="0.3">
      <c r="B7" s="258" t="s">
        <v>4</v>
      </c>
    </row>
    <row r="8" spans="2:2" ht="13.2" customHeight="1" x14ac:dyDescent="0.3">
      <c r="B8" s="258" t="s">
        <v>5</v>
      </c>
    </row>
    <row r="9" spans="2:2" ht="13.2" customHeight="1" x14ac:dyDescent="0.3">
      <c r="B9" s="258" t="s">
        <v>6</v>
      </c>
    </row>
    <row r="10" spans="2:2" ht="13.2" customHeight="1" x14ac:dyDescent="0.3">
      <c r="B10" s="258" t="s">
        <v>7</v>
      </c>
    </row>
    <row r="11" spans="2:2" ht="13.2" customHeight="1" x14ac:dyDescent="0.3">
      <c r="B11" s="258" t="s">
        <v>8</v>
      </c>
    </row>
    <row r="12" spans="2:2" ht="13.2" customHeight="1" x14ac:dyDescent="0.3">
      <c r="B12" s="257"/>
    </row>
    <row r="13" spans="2:2" ht="13.2" customHeight="1" x14ac:dyDescent="0.3">
      <c r="B13" s="259" t="s">
        <v>9</v>
      </c>
    </row>
    <row r="14" spans="2:2" ht="13.2" customHeight="1" x14ac:dyDescent="0.3">
      <c r="B14" s="260"/>
    </row>
    <row r="15" spans="2:2" ht="13.2" customHeight="1" x14ac:dyDescent="0.3">
      <c r="B15" s="258" t="s">
        <v>10</v>
      </c>
    </row>
    <row r="16" spans="2:2" ht="13.2" customHeight="1" x14ac:dyDescent="0.3">
      <c r="B16" s="260"/>
    </row>
    <row r="17" spans="2:2" ht="13.2" customHeight="1" x14ac:dyDescent="0.3">
      <c r="B17" s="258" t="s">
        <v>11</v>
      </c>
    </row>
    <row r="18" spans="2:2" ht="13.2" customHeight="1" x14ac:dyDescent="0.3">
      <c r="B18" s="260"/>
    </row>
    <row r="19" spans="2:2" ht="13.2" customHeight="1" x14ac:dyDescent="0.3">
      <c r="B19" s="258" t="s">
        <v>12</v>
      </c>
    </row>
    <row r="20" spans="2:2" ht="13.2" customHeight="1" x14ac:dyDescent="0.3">
      <c r="B20" s="258" t="s">
        <v>13</v>
      </c>
    </row>
    <row r="21" spans="2:2" ht="13.2" customHeight="1" x14ac:dyDescent="0.3">
      <c r="B21" s="258" t="s">
        <v>14</v>
      </c>
    </row>
    <row r="22" spans="2:2" ht="13.2" customHeight="1" x14ac:dyDescent="0.3">
      <c r="B22" s="258" t="s">
        <v>15</v>
      </c>
    </row>
    <row r="23" spans="2:2" ht="13.2" customHeight="1" x14ac:dyDescent="0.3">
      <c r="B23" s="258" t="s">
        <v>16</v>
      </c>
    </row>
    <row r="24" spans="2:2" ht="13.2" customHeight="1" x14ac:dyDescent="0.3">
      <c r="B24" s="258" t="s">
        <v>17</v>
      </c>
    </row>
    <row r="25" spans="2:2" ht="13.2" customHeight="1" x14ac:dyDescent="0.3">
      <c r="B25" s="258" t="s">
        <v>18</v>
      </c>
    </row>
    <row r="26" spans="2:2" ht="13.2" customHeight="1" x14ac:dyDescent="0.3">
      <c r="B26" s="258" t="s">
        <v>19</v>
      </c>
    </row>
    <row r="27" spans="2:2" x14ac:dyDescent="0.3">
      <c r="B27" s="258" t="s">
        <v>20</v>
      </c>
    </row>
    <row r="28" spans="2:2" x14ac:dyDescent="0.3">
      <c r="B28" s="260" t="s">
        <v>21</v>
      </c>
    </row>
    <row r="29" spans="2:2" x14ac:dyDescent="0.3">
      <c r="B29" s="260"/>
    </row>
    <row r="30" spans="2:2" x14ac:dyDescent="0.3">
      <c r="B30" s="258" t="s">
        <v>22</v>
      </c>
    </row>
    <row r="31" spans="2:2" x14ac:dyDescent="0.3">
      <c r="B31" s="260" t="s">
        <v>23</v>
      </c>
    </row>
    <row r="32" spans="2:2" ht="16.95" customHeight="1" x14ac:dyDescent="0.3">
      <c r="B32" s="257"/>
    </row>
    <row r="33" spans="2:2" ht="17.399999999999999" x14ac:dyDescent="0.3">
      <c r="B33" s="259" t="s">
        <v>3</v>
      </c>
    </row>
    <row r="34" spans="2:2" x14ac:dyDescent="0.3">
      <c r="B34" s="260"/>
    </row>
    <row r="35" spans="2:2" x14ac:dyDescent="0.3">
      <c r="B35" s="258" t="s">
        <v>24</v>
      </c>
    </row>
    <row r="36" spans="2:2" x14ac:dyDescent="0.3">
      <c r="B36" s="260"/>
    </row>
    <row r="37" spans="2:2" x14ac:dyDescent="0.3">
      <c r="B37" s="258" t="s">
        <v>11</v>
      </c>
    </row>
    <row r="38" spans="2:2" x14ac:dyDescent="0.3">
      <c r="B38" s="258" t="s">
        <v>25</v>
      </c>
    </row>
    <row r="39" spans="2:2" x14ac:dyDescent="0.3">
      <c r="B39" s="258" t="s">
        <v>26</v>
      </c>
    </row>
    <row r="40" spans="2:2" x14ac:dyDescent="0.3">
      <c r="B40" s="260"/>
    </row>
    <row r="41" spans="2:2" x14ac:dyDescent="0.3">
      <c r="B41" s="258" t="s">
        <v>22</v>
      </c>
    </row>
    <row r="42" spans="2:2" x14ac:dyDescent="0.3">
      <c r="B42" s="260" t="s">
        <v>27</v>
      </c>
    </row>
    <row r="43" spans="2:2" x14ac:dyDescent="0.3">
      <c r="B43" s="257"/>
    </row>
    <row r="44" spans="2:2" ht="17.399999999999999" x14ac:dyDescent="0.3">
      <c r="B44" s="259" t="s">
        <v>28</v>
      </c>
    </row>
    <row r="45" spans="2:2" x14ac:dyDescent="0.3">
      <c r="B45" s="260"/>
    </row>
    <row r="46" spans="2:2" ht="26.4" x14ac:dyDescent="0.3">
      <c r="B46" s="258" t="s">
        <v>29</v>
      </c>
    </row>
    <row r="47" spans="2:2" x14ac:dyDescent="0.3">
      <c r="B47" s="260"/>
    </row>
    <row r="48" spans="2:2" x14ac:dyDescent="0.3">
      <c r="B48" s="258" t="s">
        <v>30</v>
      </c>
    </row>
    <row r="49" spans="2:2" x14ac:dyDescent="0.3">
      <c r="B49" s="258" t="s">
        <v>31</v>
      </c>
    </row>
    <row r="50" spans="2:2" x14ac:dyDescent="0.3">
      <c r="B50" s="258" t="s">
        <v>32</v>
      </c>
    </row>
    <row r="51" spans="2:2" x14ac:dyDescent="0.3">
      <c r="B51" s="260"/>
    </row>
    <row r="52" spans="2:2" x14ac:dyDescent="0.3">
      <c r="B52" s="261" t="s">
        <v>33</v>
      </c>
    </row>
    <row r="53" spans="2:2" x14ac:dyDescent="0.3">
      <c r="B53" s="258" t="s">
        <v>34</v>
      </c>
    </row>
    <row r="54" spans="2:2" x14ac:dyDescent="0.3">
      <c r="B54" s="258" t="s">
        <v>35</v>
      </c>
    </row>
    <row r="55" spans="2:2" x14ac:dyDescent="0.3">
      <c r="B55" s="258" t="s">
        <v>22</v>
      </c>
    </row>
    <row r="56" spans="2:2" ht="26.4" x14ac:dyDescent="0.3">
      <c r="B56" s="262" t="s">
        <v>36</v>
      </c>
    </row>
    <row r="57" spans="2:2" x14ac:dyDescent="0.3">
      <c r="B57" s="257"/>
    </row>
    <row r="58" spans="2:2" ht="17.399999999999999" x14ac:dyDescent="0.3">
      <c r="B58" s="259" t="s">
        <v>37</v>
      </c>
    </row>
    <row r="59" spans="2:2" x14ac:dyDescent="0.3">
      <c r="B59" s="260"/>
    </row>
    <row r="60" spans="2:2" x14ac:dyDescent="0.3">
      <c r="B60" s="258" t="s">
        <v>38</v>
      </c>
    </row>
    <row r="61" spans="2:2" x14ac:dyDescent="0.3">
      <c r="B61" s="260"/>
    </row>
    <row r="62" spans="2:2" x14ac:dyDescent="0.3">
      <c r="B62" s="258" t="s">
        <v>11</v>
      </c>
    </row>
    <row r="63" spans="2:2" x14ac:dyDescent="0.3">
      <c r="B63" s="258" t="s">
        <v>39</v>
      </c>
    </row>
    <row r="64" spans="2:2" x14ac:dyDescent="0.3">
      <c r="B64" s="258" t="s">
        <v>40</v>
      </c>
    </row>
    <row r="65" spans="2:2" ht="18.45" customHeight="1" x14ac:dyDescent="0.3">
      <c r="B65" s="258" t="s">
        <v>41</v>
      </c>
    </row>
    <row r="66" spans="2:2" x14ac:dyDescent="0.3">
      <c r="B66" s="258" t="s">
        <v>42</v>
      </c>
    </row>
    <row r="67" spans="2:2" x14ac:dyDescent="0.3">
      <c r="B67" s="260"/>
    </row>
    <row r="68" spans="2:2" x14ac:dyDescent="0.3">
      <c r="B68" s="261" t="s">
        <v>33</v>
      </c>
    </row>
    <row r="69" spans="2:2" x14ac:dyDescent="0.3">
      <c r="B69" s="258" t="s">
        <v>43</v>
      </c>
    </row>
    <row r="70" spans="2:2" x14ac:dyDescent="0.3">
      <c r="B70" s="258" t="s">
        <v>44</v>
      </c>
    </row>
    <row r="71" spans="2:2" x14ac:dyDescent="0.3">
      <c r="B71" s="260"/>
    </row>
    <row r="72" spans="2:2" x14ac:dyDescent="0.3">
      <c r="B72" s="258" t="s">
        <v>22</v>
      </c>
    </row>
    <row r="73" spans="2:2" ht="26.4" x14ac:dyDescent="0.3">
      <c r="B73" s="260" t="s">
        <v>45</v>
      </c>
    </row>
    <row r="74" spans="2:2" x14ac:dyDescent="0.3">
      <c r="B74" s="257"/>
    </row>
    <row r="75" spans="2:2" ht="17.399999999999999" x14ac:dyDescent="0.3">
      <c r="B75" s="259" t="s">
        <v>46</v>
      </c>
    </row>
    <row r="76" spans="2:2" x14ac:dyDescent="0.3">
      <c r="B76" s="260"/>
    </row>
    <row r="77" spans="2:2" x14ac:dyDescent="0.3">
      <c r="B77" s="258" t="s">
        <v>47</v>
      </c>
    </row>
    <row r="78" spans="2:2" x14ac:dyDescent="0.3">
      <c r="B78" s="260"/>
    </row>
    <row r="79" spans="2:2" x14ac:dyDescent="0.3">
      <c r="B79" s="261" t="s">
        <v>48</v>
      </c>
    </row>
    <row r="80" spans="2:2" x14ac:dyDescent="0.3">
      <c r="B80" s="258" t="s">
        <v>49</v>
      </c>
    </row>
    <row r="81" spans="2:2" x14ac:dyDescent="0.3">
      <c r="B81" s="258" t="s">
        <v>50</v>
      </c>
    </row>
    <row r="82" spans="2:2" x14ac:dyDescent="0.3">
      <c r="B82" s="258" t="s">
        <v>51</v>
      </c>
    </row>
    <row r="83" spans="2:2" x14ac:dyDescent="0.3">
      <c r="B83" s="258" t="s">
        <v>52</v>
      </c>
    </row>
    <row r="84" spans="2:2" x14ac:dyDescent="0.3">
      <c r="B84" s="260"/>
    </row>
    <row r="85" spans="2:2" x14ac:dyDescent="0.3">
      <c r="B85" s="258" t="s">
        <v>22</v>
      </c>
    </row>
    <row r="86" spans="2:2" ht="26.4" x14ac:dyDescent="0.3">
      <c r="B86" s="262" t="s">
        <v>53</v>
      </c>
    </row>
    <row r="87" spans="2:2" x14ac:dyDescent="0.3">
      <c r="B87" s="263"/>
    </row>
    <row r="88" spans="2:2" ht="17.399999999999999" x14ac:dyDescent="0.3">
      <c r="B88" s="259" t="s">
        <v>54</v>
      </c>
    </row>
    <row r="89" spans="2:2" x14ac:dyDescent="0.3">
      <c r="B89" s="263"/>
    </row>
    <row r="90" spans="2:2" x14ac:dyDescent="0.3">
      <c r="B90" s="258" t="s">
        <v>55</v>
      </c>
    </row>
    <row r="91" spans="2:2" x14ac:dyDescent="0.3">
      <c r="B91" s="263"/>
    </row>
    <row r="92" spans="2:2" x14ac:dyDescent="0.3">
      <c r="B92" s="258" t="s">
        <v>11</v>
      </c>
    </row>
    <row r="93" spans="2:2" ht="16.5" customHeight="1" x14ac:dyDescent="0.3">
      <c r="B93" s="258" t="s">
        <v>56</v>
      </c>
    </row>
    <row r="94" spans="2:2" ht="26.4" x14ac:dyDescent="0.3">
      <c r="B94" s="258" t="s">
        <v>57</v>
      </c>
    </row>
    <row r="95" spans="2:2" x14ac:dyDescent="0.3">
      <c r="B95" s="258" t="s">
        <v>58</v>
      </c>
    </row>
    <row r="96" spans="2:2" ht="26.4" x14ac:dyDescent="0.3">
      <c r="B96" s="258" t="s">
        <v>59</v>
      </c>
    </row>
    <row r="97" spans="2:2" x14ac:dyDescent="0.3">
      <c r="B97" s="258" t="s">
        <v>60</v>
      </c>
    </row>
    <row r="98" spans="2:2" x14ac:dyDescent="0.3">
      <c r="B98" s="263"/>
    </row>
    <row r="99" spans="2:2" ht="17.399999999999999" x14ac:dyDescent="0.3">
      <c r="B99" s="264" t="s">
        <v>61</v>
      </c>
    </row>
    <row r="100" spans="2:2" ht="12.45" customHeight="1" x14ac:dyDescent="0.3">
      <c r="B100" s="259"/>
    </row>
    <row r="101" spans="2:2" ht="40.799999999999997" thickBot="1" x14ac:dyDescent="0.35">
      <c r="B101" s="265"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4:I22"/>
  <sheetViews>
    <sheetView showGridLines="0" topLeftCell="A4" zoomScale="94" zoomScaleNormal="94" workbookViewId="0">
      <selection activeCell="H8" sqref="H8"/>
    </sheetView>
  </sheetViews>
  <sheetFormatPr defaultColWidth="12.6640625" defaultRowHeight="13.8" x14ac:dyDescent="0.3"/>
  <cols>
    <col min="1" max="1" width="4.6640625" style="85" customWidth="1"/>
    <col min="2" max="2" width="32.5546875" style="85" customWidth="1"/>
    <col min="3" max="3" width="49.6640625" style="85" customWidth="1"/>
    <col min="4" max="4" width="1.88671875" style="85" customWidth="1"/>
    <col min="5" max="5" width="12.6640625" style="85"/>
    <col min="6" max="6" width="12.6640625" style="85" customWidth="1"/>
    <col min="7" max="7" width="41.33203125" style="85" customWidth="1"/>
    <col min="8" max="8" width="23.5546875" style="85" customWidth="1"/>
    <col min="9" max="9" width="24.5546875" style="85" customWidth="1"/>
    <col min="10" max="16384" width="12.6640625" style="85"/>
  </cols>
  <sheetData>
    <row r="4" spans="2:9" ht="14.4" thickBot="1" x14ac:dyDescent="0.35"/>
    <row r="5" spans="2:9" ht="33" customHeight="1" thickBot="1" x14ac:dyDescent="0.4">
      <c r="B5" s="299" t="s">
        <v>63</v>
      </c>
      <c r="C5" s="299"/>
      <c r="D5" s="31"/>
      <c r="E5" s="299" t="s">
        <v>64</v>
      </c>
      <c r="F5" s="300"/>
      <c r="G5" s="300"/>
      <c r="H5" s="300"/>
      <c r="I5" s="301"/>
    </row>
    <row r="6" spans="2:9" s="86" customFormat="1" ht="30.6" customHeight="1" x14ac:dyDescent="0.25">
      <c r="B6" s="42" t="s">
        <v>65</v>
      </c>
      <c r="C6" s="43" t="s">
        <v>382</v>
      </c>
      <c r="D6" s="29"/>
      <c r="E6" s="14" t="s">
        <v>66</v>
      </c>
      <c r="F6" s="15" t="s">
        <v>67</v>
      </c>
      <c r="G6" s="15" t="s">
        <v>68</v>
      </c>
      <c r="H6" s="15" t="s">
        <v>69</v>
      </c>
      <c r="I6" s="16" t="s">
        <v>70</v>
      </c>
    </row>
    <row r="7" spans="2:9" s="86" customFormat="1" ht="21.6" customHeight="1" x14ac:dyDescent="0.3">
      <c r="B7" s="25" t="s">
        <v>71</v>
      </c>
      <c r="C7" s="26" t="s">
        <v>383</v>
      </c>
      <c r="D7" s="29"/>
      <c r="E7" s="222">
        <v>45676</v>
      </c>
      <c r="F7" s="18">
        <v>1</v>
      </c>
      <c r="G7" s="19" t="s">
        <v>72</v>
      </c>
      <c r="H7" s="19" t="s">
        <v>384</v>
      </c>
      <c r="I7" s="20"/>
    </row>
    <row r="8" spans="2:9" s="86" customFormat="1" ht="21.6" customHeight="1" x14ac:dyDescent="0.3">
      <c r="B8" s="25" t="s">
        <v>73</v>
      </c>
      <c r="C8" s="280">
        <v>45841</v>
      </c>
      <c r="D8" s="30"/>
      <c r="E8" s="17"/>
      <c r="F8" s="19"/>
      <c r="G8" s="19"/>
      <c r="H8" s="19"/>
      <c r="I8" s="20"/>
    </row>
    <row r="9" spans="2:9" s="86" customFormat="1" ht="21.6" customHeight="1" x14ac:dyDescent="0.3">
      <c r="B9" s="25" t="s">
        <v>74</v>
      </c>
      <c r="C9" s="280"/>
      <c r="D9" s="29"/>
      <c r="E9" s="17"/>
      <c r="F9" s="19"/>
      <c r="G9" s="19"/>
      <c r="H9" s="19"/>
      <c r="I9" s="20"/>
    </row>
    <row r="10" spans="2:9" s="86" customFormat="1" ht="21.6" customHeight="1" x14ac:dyDescent="0.3">
      <c r="B10" s="25" t="s">
        <v>75</v>
      </c>
      <c r="C10" s="26" t="s">
        <v>76</v>
      </c>
      <c r="D10" s="29"/>
      <c r="E10" s="17"/>
      <c r="F10" s="19"/>
      <c r="G10" s="19"/>
      <c r="H10" s="19"/>
      <c r="I10" s="20"/>
    </row>
    <row r="11" spans="2:9" s="86" customFormat="1" ht="21.6" customHeight="1" x14ac:dyDescent="0.3">
      <c r="B11" s="25" t="s">
        <v>77</v>
      </c>
      <c r="C11" s="26"/>
      <c r="D11" s="29"/>
      <c r="E11" s="17"/>
      <c r="F11" s="19"/>
      <c r="G11" s="19"/>
      <c r="H11" s="19"/>
      <c r="I11" s="20"/>
    </row>
    <row r="12" spans="2:9" s="86" customFormat="1" ht="21.6" customHeight="1" thickBot="1" x14ac:dyDescent="0.35">
      <c r="B12" s="25" t="s">
        <v>78</v>
      </c>
      <c r="C12" s="26" t="s">
        <v>79</v>
      </c>
      <c r="D12" s="29"/>
      <c r="E12" s="21"/>
      <c r="F12" s="22"/>
      <c r="G12" s="22"/>
      <c r="H12" s="22"/>
      <c r="I12" s="23"/>
    </row>
    <row r="13" spans="2:9" s="86" customFormat="1" ht="21.6" customHeight="1" x14ac:dyDescent="0.25">
      <c r="B13" s="25" t="s">
        <v>80</v>
      </c>
      <c r="C13" s="26" t="s">
        <v>81</v>
      </c>
      <c r="D13" s="29"/>
    </row>
    <row r="14" spans="2:9" s="86" customFormat="1" ht="64.95" customHeight="1" x14ac:dyDescent="0.25">
      <c r="B14" s="25" t="s">
        <v>82</v>
      </c>
      <c r="C14" s="26"/>
      <c r="D14" s="29"/>
    </row>
    <row r="15" spans="2:9" s="86" customFormat="1" ht="21.6" customHeight="1" x14ac:dyDescent="0.25">
      <c r="B15" s="25" t="s">
        <v>83</v>
      </c>
      <c r="C15" s="26"/>
    </row>
    <row r="16" spans="2:9" s="86" customFormat="1" ht="21.6" customHeight="1" x14ac:dyDescent="0.25">
      <c r="B16" s="25" t="s">
        <v>84</v>
      </c>
      <c r="C16" s="26"/>
      <c r="D16" s="29"/>
    </row>
    <row r="17" spans="2:9" s="86" customFormat="1" ht="21.6" customHeight="1" x14ac:dyDescent="0.25">
      <c r="B17" s="25" t="s">
        <v>85</v>
      </c>
      <c r="C17" s="26"/>
      <c r="D17" s="29"/>
    </row>
    <row r="18" spans="2:9" s="86" customFormat="1" ht="21.6" customHeight="1" thickBot="1" x14ac:dyDescent="0.3">
      <c r="B18" s="27" t="s">
        <v>86</v>
      </c>
      <c r="C18" s="28"/>
      <c r="D18" s="29"/>
    </row>
    <row r="19" spans="2:9" s="86" customFormat="1" ht="21.6" customHeight="1" x14ac:dyDescent="0.3">
      <c r="B19" s="85"/>
      <c r="C19" s="85"/>
      <c r="D19" s="29"/>
    </row>
    <row r="20" spans="2:9" s="86" customFormat="1" ht="21.6" customHeight="1" x14ac:dyDescent="0.3">
      <c r="B20" s="85"/>
      <c r="C20" s="85"/>
      <c r="D20" s="29"/>
    </row>
    <row r="21" spans="2:9" x14ac:dyDescent="0.3">
      <c r="E21" s="86"/>
      <c r="F21" s="86"/>
      <c r="G21" s="86"/>
      <c r="H21" s="86"/>
      <c r="I21" s="86"/>
    </row>
    <row r="22" spans="2:9" x14ac:dyDescent="0.3">
      <c r="E22" s="86"/>
      <c r="F22" s="86"/>
      <c r="G22" s="86"/>
      <c r="H22" s="86"/>
      <c r="I22" s="86"/>
    </row>
  </sheetData>
  <mergeCells count="2">
    <mergeCell ref="B5:C5"/>
    <mergeCell ref="E5:I5"/>
  </mergeCell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98611B1-19E6-46A3-8375-B1F88F9AA796}">
          <x14:formula1>
            <xm:f>Config!$B$3:$B$10</xm:f>
          </x14:formula1>
          <xm:sqref>D14 C12</xm:sqref>
        </x14:dataValidation>
        <x14:dataValidation type="list" allowBlank="1" showInputMessage="1" showErrorMessage="1" xr:uid="{39D482CD-FF13-4750-9C34-678D5EA1F9B5}">
          <x14:formula1>
            <xm:f>Config!$J$3:$J$4</xm:f>
          </x14:formula1>
          <xm:sqref>D12 C10</xm:sqref>
        </x14:dataValidation>
        <x14:dataValidation type="list" allowBlank="1" showInputMessage="1" showErrorMessage="1" xr:uid="{2760933E-673B-499C-AA64-75AC1C877999}">
          <x14:formula1>
            <xm:f>Config!$D$3:$D$11</xm:f>
          </x14:formula1>
          <xm:sqref>C13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28DE-E764-4C9C-A49A-10D8DD290E3D}">
  <dimension ref="A1:S57"/>
  <sheetViews>
    <sheetView workbookViewId="0">
      <selection activeCell="B2" sqref="B2:F2"/>
    </sheetView>
  </sheetViews>
  <sheetFormatPr defaultRowHeight="13.8" x14ac:dyDescent="0.3"/>
  <cols>
    <col min="1" max="1" width="2.33203125" style="44" customWidth="1"/>
    <col min="2" max="2" width="74.33203125" style="44" customWidth="1"/>
    <col min="3" max="3" width="8.6640625" style="44"/>
    <col min="4" max="4" width="9.88671875" style="44" customWidth="1"/>
    <col min="5" max="5" width="10.5546875" style="44" customWidth="1"/>
    <col min="6" max="6" width="33.109375" style="44" customWidth="1"/>
    <col min="7" max="256" width="8.6640625" style="44"/>
    <col min="257" max="257" width="2.33203125" style="44" customWidth="1"/>
    <col min="258" max="258" width="60.6640625" style="44" customWidth="1"/>
    <col min="259" max="259" width="8.6640625" style="44"/>
    <col min="260" max="260" width="12.5546875" style="44" customWidth="1"/>
    <col min="261" max="261" width="10.5546875" style="44" customWidth="1"/>
    <col min="262" max="512" width="8.6640625" style="44"/>
    <col min="513" max="513" width="2.33203125" style="44" customWidth="1"/>
    <col min="514" max="514" width="60.6640625" style="44" customWidth="1"/>
    <col min="515" max="515" width="8.6640625" style="44"/>
    <col min="516" max="516" width="12.5546875" style="44" customWidth="1"/>
    <col min="517" max="517" width="10.5546875" style="44" customWidth="1"/>
    <col min="518" max="768" width="8.6640625" style="44"/>
    <col min="769" max="769" width="2.33203125" style="44" customWidth="1"/>
    <col min="770" max="770" width="60.6640625" style="44" customWidth="1"/>
    <col min="771" max="771" width="8.6640625" style="44"/>
    <col min="772" max="772" width="12.5546875" style="44" customWidth="1"/>
    <col min="773" max="773" width="10.5546875" style="44" customWidth="1"/>
    <col min="774" max="1024" width="8.6640625" style="44"/>
    <col min="1025" max="1025" width="2.33203125" style="44" customWidth="1"/>
    <col min="1026" max="1026" width="60.6640625" style="44" customWidth="1"/>
    <col min="1027" max="1027" width="8.6640625" style="44"/>
    <col min="1028" max="1028" width="12.5546875" style="44" customWidth="1"/>
    <col min="1029" max="1029" width="10.5546875" style="44" customWidth="1"/>
    <col min="1030" max="1280" width="8.6640625" style="44"/>
    <col min="1281" max="1281" width="2.33203125" style="44" customWidth="1"/>
    <col min="1282" max="1282" width="60.6640625" style="44" customWidth="1"/>
    <col min="1283" max="1283" width="8.6640625" style="44"/>
    <col min="1284" max="1284" width="12.5546875" style="44" customWidth="1"/>
    <col min="1285" max="1285" width="10.5546875" style="44" customWidth="1"/>
    <col min="1286" max="1536" width="8.6640625" style="44"/>
    <col min="1537" max="1537" width="2.33203125" style="44" customWidth="1"/>
    <col min="1538" max="1538" width="60.6640625" style="44" customWidth="1"/>
    <col min="1539" max="1539" width="8.6640625" style="44"/>
    <col min="1540" max="1540" width="12.5546875" style="44" customWidth="1"/>
    <col min="1541" max="1541" width="10.5546875" style="44" customWidth="1"/>
    <col min="1542" max="1792" width="8.6640625" style="44"/>
    <col min="1793" max="1793" width="2.33203125" style="44" customWidth="1"/>
    <col min="1794" max="1794" width="60.6640625" style="44" customWidth="1"/>
    <col min="1795" max="1795" width="8.6640625" style="44"/>
    <col min="1796" max="1796" width="12.5546875" style="44" customWidth="1"/>
    <col min="1797" max="1797" width="10.5546875" style="44" customWidth="1"/>
    <col min="1798" max="2048" width="8.6640625" style="44"/>
    <col min="2049" max="2049" width="2.33203125" style="44" customWidth="1"/>
    <col min="2050" max="2050" width="60.6640625" style="44" customWidth="1"/>
    <col min="2051" max="2051" width="8.6640625" style="44"/>
    <col min="2052" max="2052" width="12.5546875" style="44" customWidth="1"/>
    <col min="2053" max="2053" width="10.5546875" style="44" customWidth="1"/>
    <col min="2054" max="2304" width="8.6640625" style="44"/>
    <col min="2305" max="2305" width="2.33203125" style="44" customWidth="1"/>
    <col min="2306" max="2306" width="60.6640625" style="44" customWidth="1"/>
    <col min="2307" max="2307" width="8.6640625" style="44"/>
    <col min="2308" max="2308" width="12.5546875" style="44" customWidth="1"/>
    <col min="2309" max="2309" width="10.5546875" style="44" customWidth="1"/>
    <col min="2310" max="2560" width="8.6640625" style="44"/>
    <col min="2561" max="2561" width="2.33203125" style="44" customWidth="1"/>
    <col min="2562" max="2562" width="60.6640625" style="44" customWidth="1"/>
    <col min="2563" max="2563" width="8.6640625" style="44"/>
    <col min="2564" max="2564" width="12.5546875" style="44" customWidth="1"/>
    <col min="2565" max="2565" width="10.5546875" style="44" customWidth="1"/>
    <col min="2566" max="2816" width="8.6640625" style="44"/>
    <col min="2817" max="2817" width="2.33203125" style="44" customWidth="1"/>
    <col min="2818" max="2818" width="60.6640625" style="44" customWidth="1"/>
    <col min="2819" max="2819" width="8.6640625" style="44"/>
    <col min="2820" max="2820" width="12.5546875" style="44" customWidth="1"/>
    <col min="2821" max="2821" width="10.5546875" style="44" customWidth="1"/>
    <col min="2822" max="3072" width="8.6640625" style="44"/>
    <col min="3073" max="3073" width="2.33203125" style="44" customWidth="1"/>
    <col min="3074" max="3074" width="60.6640625" style="44" customWidth="1"/>
    <col min="3075" max="3075" width="8.6640625" style="44"/>
    <col min="3076" max="3076" width="12.5546875" style="44" customWidth="1"/>
    <col min="3077" max="3077" width="10.5546875" style="44" customWidth="1"/>
    <col min="3078" max="3328" width="8.6640625" style="44"/>
    <col min="3329" max="3329" width="2.33203125" style="44" customWidth="1"/>
    <col min="3330" max="3330" width="60.6640625" style="44" customWidth="1"/>
    <col min="3331" max="3331" width="8.6640625" style="44"/>
    <col min="3332" max="3332" width="12.5546875" style="44" customWidth="1"/>
    <col min="3333" max="3333" width="10.5546875" style="44" customWidth="1"/>
    <col min="3334" max="3584" width="8.6640625" style="44"/>
    <col min="3585" max="3585" width="2.33203125" style="44" customWidth="1"/>
    <col min="3586" max="3586" width="60.6640625" style="44" customWidth="1"/>
    <col min="3587" max="3587" width="8.6640625" style="44"/>
    <col min="3588" max="3588" width="12.5546875" style="44" customWidth="1"/>
    <col min="3589" max="3589" width="10.5546875" style="44" customWidth="1"/>
    <col min="3590" max="3840" width="8.6640625" style="44"/>
    <col min="3841" max="3841" width="2.33203125" style="44" customWidth="1"/>
    <col min="3842" max="3842" width="60.6640625" style="44" customWidth="1"/>
    <col min="3843" max="3843" width="8.6640625" style="44"/>
    <col min="3844" max="3844" width="12.5546875" style="44" customWidth="1"/>
    <col min="3845" max="3845" width="10.5546875" style="44" customWidth="1"/>
    <col min="3846" max="4096" width="8.6640625" style="44"/>
    <col min="4097" max="4097" width="2.33203125" style="44" customWidth="1"/>
    <col min="4098" max="4098" width="60.6640625" style="44" customWidth="1"/>
    <col min="4099" max="4099" width="8.6640625" style="44"/>
    <col min="4100" max="4100" width="12.5546875" style="44" customWidth="1"/>
    <col min="4101" max="4101" width="10.5546875" style="44" customWidth="1"/>
    <col min="4102" max="4352" width="8.6640625" style="44"/>
    <col min="4353" max="4353" width="2.33203125" style="44" customWidth="1"/>
    <col min="4354" max="4354" width="60.6640625" style="44" customWidth="1"/>
    <col min="4355" max="4355" width="8.6640625" style="44"/>
    <col min="4356" max="4356" width="12.5546875" style="44" customWidth="1"/>
    <col min="4357" max="4357" width="10.5546875" style="44" customWidth="1"/>
    <col min="4358" max="4608" width="8.6640625" style="44"/>
    <col min="4609" max="4609" width="2.33203125" style="44" customWidth="1"/>
    <col min="4610" max="4610" width="60.6640625" style="44" customWidth="1"/>
    <col min="4611" max="4611" width="8.6640625" style="44"/>
    <col min="4612" max="4612" width="12.5546875" style="44" customWidth="1"/>
    <col min="4613" max="4613" width="10.5546875" style="44" customWidth="1"/>
    <col min="4614" max="4864" width="8.6640625" style="44"/>
    <col min="4865" max="4865" width="2.33203125" style="44" customWidth="1"/>
    <col min="4866" max="4866" width="60.6640625" style="44" customWidth="1"/>
    <col min="4867" max="4867" width="8.6640625" style="44"/>
    <col min="4868" max="4868" width="12.5546875" style="44" customWidth="1"/>
    <col min="4869" max="4869" width="10.5546875" style="44" customWidth="1"/>
    <col min="4870" max="5120" width="8.6640625" style="44"/>
    <col min="5121" max="5121" width="2.33203125" style="44" customWidth="1"/>
    <col min="5122" max="5122" width="60.6640625" style="44" customWidth="1"/>
    <col min="5123" max="5123" width="8.6640625" style="44"/>
    <col min="5124" max="5124" width="12.5546875" style="44" customWidth="1"/>
    <col min="5125" max="5125" width="10.5546875" style="44" customWidth="1"/>
    <col min="5126" max="5376" width="8.6640625" style="44"/>
    <col min="5377" max="5377" width="2.33203125" style="44" customWidth="1"/>
    <col min="5378" max="5378" width="60.6640625" style="44" customWidth="1"/>
    <col min="5379" max="5379" width="8.6640625" style="44"/>
    <col min="5380" max="5380" width="12.5546875" style="44" customWidth="1"/>
    <col min="5381" max="5381" width="10.5546875" style="44" customWidth="1"/>
    <col min="5382" max="5632" width="8.6640625" style="44"/>
    <col min="5633" max="5633" width="2.33203125" style="44" customWidth="1"/>
    <col min="5634" max="5634" width="60.6640625" style="44" customWidth="1"/>
    <col min="5635" max="5635" width="8.6640625" style="44"/>
    <col min="5636" max="5636" width="12.5546875" style="44" customWidth="1"/>
    <col min="5637" max="5637" width="10.5546875" style="44" customWidth="1"/>
    <col min="5638" max="5888" width="8.6640625" style="44"/>
    <col min="5889" max="5889" width="2.33203125" style="44" customWidth="1"/>
    <col min="5890" max="5890" width="60.6640625" style="44" customWidth="1"/>
    <col min="5891" max="5891" width="8.6640625" style="44"/>
    <col min="5892" max="5892" width="12.5546875" style="44" customWidth="1"/>
    <col min="5893" max="5893" width="10.5546875" style="44" customWidth="1"/>
    <col min="5894" max="6144" width="8.6640625" style="44"/>
    <col min="6145" max="6145" width="2.33203125" style="44" customWidth="1"/>
    <col min="6146" max="6146" width="60.6640625" style="44" customWidth="1"/>
    <col min="6147" max="6147" width="8.6640625" style="44"/>
    <col min="6148" max="6148" width="12.5546875" style="44" customWidth="1"/>
    <col min="6149" max="6149" width="10.5546875" style="44" customWidth="1"/>
    <col min="6150" max="6400" width="8.6640625" style="44"/>
    <col min="6401" max="6401" width="2.33203125" style="44" customWidth="1"/>
    <col min="6402" max="6402" width="60.6640625" style="44" customWidth="1"/>
    <col min="6403" max="6403" width="8.6640625" style="44"/>
    <col min="6404" max="6404" width="12.5546875" style="44" customWidth="1"/>
    <col min="6405" max="6405" width="10.5546875" style="44" customWidth="1"/>
    <col min="6406" max="6656" width="8.6640625" style="44"/>
    <col min="6657" max="6657" width="2.33203125" style="44" customWidth="1"/>
    <col min="6658" max="6658" width="60.6640625" style="44" customWidth="1"/>
    <col min="6659" max="6659" width="8.6640625" style="44"/>
    <col min="6660" max="6660" width="12.5546875" style="44" customWidth="1"/>
    <col min="6661" max="6661" width="10.5546875" style="44" customWidth="1"/>
    <col min="6662" max="6912" width="8.6640625" style="44"/>
    <col min="6913" max="6913" width="2.33203125" style="44" customWidth="1"/>
    <col min="6914" max="6914" width="60.6640625" style="44" customWidth="1"/>
    <col min="6915" max="6915" width="8.6640625" style="44"/>
    <col min="6916" max="6916" width="12.5546875" style="44" customWidth="1"/>
    <col min="6917" max="6917" width="10.5546875" style="44" customWidth="1"/>
    <col min="6918" max="7168" width="8.6640625" style="44"/>
    <col min="7169" max="7169" width="2.33203125" style="44" customWidth="1"/>
    <col min="7170" max="7170" width="60.6640625" style="44" customWidth="1"/>
    <col min="7171" max="7171" width="8.6640625" style="44"/>
    <col min="7172" max="7172" width="12.5546875" style="44" customWidth="1"/>
    <col min="7173" max="7173" width="10.5546875" style="44" customWidth="1"/>
    <col min="7174" max="7424" width="8.6640625" style="44"/>
    <col min="7425" max="7425" width="2.33203125" style="44" customWidth="1"/>
    <col min="7426" max="7426" width="60.6640625" style="44" customWidth="1"/>
    <col min="7427" max="7427" width="8.6640625" style="44"/>
    <col min="7428" max="7428" width="12.5546875" style="44" customWidth="1"/>
    <col min="7429" max="7429" width="10.5546875" style="44" customWidth="1"/>
    <col min="7430" max="7680" width="8.6640625" style="44"/>
    <col min="7681" max="7681" width="2.33203125" style="44" customWidth="1"/>
    <col min="7682" max="7682" width="60.6640625" style="44" customWidth="1"/>
    <col min="7683" max="7683" width="8.6640625" style="44"/>
    <col min="7684" max="7684" width="12.5546875" style="44" customWidth="1"/>
    <col min="7685" max="7685" width="10.5546875" style="44" customWidth="1"/>
    <col min="7686" max="7936" width="8.6640625" style="44"/>
    <col min="7937" max="7937" width="2.33203125" style="44" customWidth="1"/>
    <col min="7938" max="7938" width="60.6640625" style="44" customWidth="1"/>
    <col min="7939" max="7939" width="8.6640625" style="44"/>
    <col min="7940" max="7940" width="12.5546875" style="44" customWidth="1"/>
    <col min="7941" max="7941" width="10.5546875" style="44" customWidth="1"/>
    <col min="7942" max="8192" width="8.6640625" style="44"/>
    <col min="8193" max="8193" width="2.33203125" style="44" customWidth="1"/>
    <col min="8194" max="8194" width="60.6640625" style="44" customWidth="1"/>
    <col min="8195" max="8195" width="8.6640625" style="44"/>
    <col min="8196" max="8196" width="12.5546875" style="44" customWidth="1"/>
    <col min="8197" max="8197" width="10.5546875" style="44" customWidth="1"/>
    <col min="8198" max="8448" width="8.6640625" style="44"/>
    <col min="8449" max="8449" width="2.33203125" style="44" customWidth="1"/>
    <col min="8450" max="8450" width="60.6640625" style="44" customWidth="1"/>
    <col min="8451" max="8451" width="8.6640625" style="44"/>
    <col min="8452" max="8452" width="12.5546875" style="44" customWidth="1"/>
    <col min="8453" max="8453" width="10.5546875" style="44" customWidth="1"/>
    <col min="8454" max="8704" width="8.6640625" style="44"/>
    <col min="8705" max="8705" width="2.33203125" style="44" customWidth="1"/>
    <col min="8706" max="8706" width="60.6640625" style="44" customWidth="1"/>
    <col min="8707" max="8707" width="8.6640625" style="44"/>
    <col min="8708" max="8708" width="12.5546875" style="44" customWidth="1"/>
    <col min="8709" max="8709" width="10.5546875" style="44" customWidth="1"/>
    <col min="8710" max="8960" width="8.6640625" style="44"/>
    <col min="8961" max="8961" width="2.33203125" style="44" customWidth="1"/>
    <col min="8962" max="8962" width="60.6640625" style="44" customWidth="1"/>
    <col min="8963" max="8963" width="8.6640625" style="44"/>
    <col min="8964" max="8964" width="12.5546875" style="44" customWidth="1"/>
    <col min="8965" max="8965" width="10.5546875" style="44" customWidth="1"/>
    <col min="8966" max="9216" width="8.6640625" style="44"/>
    <col min="9217" max="9217" width="2.33203125" style="44" customWidth="1"/>
    <col min="9218" max="9218" width="60.6640625" style="44" customWidth="1"/>
    <col min="9219" max="9219" width="8.6640625" style="44"/>
    <col min="9220" max="9220" width="12.5546875" style="44" customWidth="1"/>
    <col min="9221" max="9221" width="10.5546875" style="44" customWidth="1"/>
    <col min="9222" max="9472" width="8.6640625" style="44"/>
    <col min="9473" max="9473" width="2.33203125" style="44" customWidth="1"/>
    <col min="9474" max="9474" width="60.6640625" style="44" customWidth="1"/>
    <col min="9475" max="9475" width="8.6640625" style="44"/>
    <col min="9476" max="9476" width="12.5546875" style="44" customWidth="1"/>
    <col min="9477" max="9477" width="10.5546875" style="44" customWidth="1"/>
    <col min="9478" max="9728" width="8.6640625" style="44"/>
    <col min="9729" max="9729" width="2.33203125" style="44" customWidth="1"/>
    <col min="9730" max="9730" width="60.6640625" style="44" customWidth="1"/>
    <col min="9731" max="9731" width="8.6640625" style="44"/>
    <col min="9732" max="9732" width="12.5546875" style="44" customWidth="1"/>
    <col min="9733" max="9733" width="10.5546875" style="44" customWidth="1"/>
    <col min="9734" max="9984" width="8.6640625" style="44"/>
    <col min="9985" max="9985" width="2.33203125" style="44" customWidth="1"/>
    <col min="9986" max="9986" width="60.6640625" style="44" customWidth="1"/>
    <col min="9987" max="9987" width="8.6640625" style="44"/>
    <col min="9988" max="9988" width="12.5546875" style="44" customWidth="1"/>
    <col min="9989" max="9989" width="10.5546875" style="44" customWidth="1"/>
    <col min="9990" max="10240" width="8.6640625" style="44"/>
    <col min="10241" max="10241" width="2.33203125" style="44" customWidth="1"/>
    <col min="10242" max="10242" width="60.6640625" style="44" customWidth="1"/>
    <col min="10243" max="10243" width="8.6640625" style="44"/>
    <col min="10244" max="10244" width="12.5546875" style="44" customWidth="1"/>
    <col min="10245" max="10245" width="10.5546875" style="44" customWidth="1"/>
    <col min="10246" max="10496" width="8.6640625" style="44"/>
    <col min="10497" max="10497" width="2.33203125" style="44" customWidth="1"/>
    <col min="10498" max="10498" width="60.6640625" style="44" customWidth="1"/>
    <col min="10499" max="10499" width="8.6640625" style="44"/>
    <col min="10500" max="10500" width="12.5546875" style="44" customWidth="1"/>
    <col min="10501" max="10501" width="10.5546875" style="44" customWidth="1"/>
    <col min="10502" max="10752" width="8.6640625" style="44"/>
    <col min="10753" max="10753" width="2.33203125" style="44" customWidth="1"/>
    <col min="10754" max="10754" width="60.6640625" style="44" customWidth="1"/>
    <col min="10755" max="10755" width="8.6640625" style="44"/>
    <col min="10756" max="10756" width="12.5546875" style="44" customWidth="1"/>
    <col min="10757" max="10757" width="10.5546875" style="44" customWidth="1"/>
    <col min="10758" max="11008" width="8.6640625" style="44"/>
    <col min="11009" max="11009" width="2.33203125" style="44" customWidth="1"/>
    <col min="11010" max="11010" width="60.6640625" style="44" customWidth="1"/>
    <col min="11011" max="11011" width="8.6640625" style="44"/>
    <col min="11012" max="11012" width="12.5546875" style="44" customWidth="1"/>
    <col min="11013" max="11013" width="10.5546875" style="44" customWidth="1"/>
    <col min="11014" max="11264" width="8.6640625" style="44"/>
    <col min="11265" max="11265" width="2.33203125" style="44" customWidth="1"/>
    <col min="11266" max="11266" width="60.6640625" style="44" customWidth="1"/>
    <col min="11267" max="11267" width="8.6640625" style="44"/>
    <col min="11268" max="11268" width="12.5546875" style="44" customWidth="1"/>
    <col min="11269" max="11269" width="10.5546875" style="44" customWidth="1"/>
    <col min="11270" max="11520" width="8.6640625" style="44"/>
    <col min="11521" max="11521" width="2.33203125" style="44" customWidth="1"/>
    <col min="11522" max="11522" width="60.6640625" style="44" customWidth="1"/>
    <col min="11523" max="11523" width="8.6640625" style="44"/>
    <col min="11524" max="11524" width="12.5546875" style="44" customWidth="1"/>
    <col min="11525" max="11525" width="10.5546875" style="44" customWidth="1"/>
    <col min="11526" max="11776" width="8.6640625" style="44"/>
    <col min="11777" max="11777" width="2.33203125" style="44" customWidth="1"/>
    <col min="11778" max="11778" width="60.6640625" style="44" customWidth="1"/>
    <col min="11779" max="11779" width="8.6640625" style="44"/>
    <col min="11780" max="11780" width="12.5546875" style="44" customWidth="1"/>
    <col min="11781" max="11781" width="10.5546875" style="44" customWidth="1"/>
    <col min="11782" max="12032" width="8.6640625" style="44"/>
    <col min="12033" max="12033" width="2.33203125" style="44" customWidth="1"/>
    <col min="12034" max="12034" width="60.6640625" style="44" customWidth="1"/>
    <col min="12035" max="12035" width="8.6640625" style="44"/>
    <col min="12036" max="12036" width="12.5546875" style="44" customWidth="1"/>
    <col min="12037" max="12037" width="10.5546875" style="44" customWidth="1"/>
    <col min="12038" max="12288" width="8.6640625" style="44"/>
    <col min="12289" max="12289" width="2.33203125" style="44" customWidth="1"/>
    <col min="12290" max="12290" width="60.6640625" style="44" customWidth="1"/>
    <col min="12291" max="12291" width="8.6640625" style="44"/>
    <col min="12292" max="12292" width="12.5546875" style="44" customWidth="1"/>
    <col min="12293" max="12293" width="10.5546875" style="44" customWidth="1"/>
    <col min="12294" max="12544" width="8.6640625" style="44"/>
    <col min="12545" max="12545" width="2.33203125" style="44" customWidth="1"/>
    <col min="12546" max="12546" width="60.6640625" style="44" customWidth="1"/>
    <col min="12547" max="12547" width="8.6640625" style="44"/>
    <col min="12548" max="12548" width="12.5546875" style="44" customWidth="1"/>
    <col min="12549" max="12549" width="10.5546875" style="44" customWidth="1"/>
    <col min="12550" max="12800" width="8.6640625" style="44"/>
    <col min="12801" max="12801" width="2.33203125" style="44" customWidth="1"/>
    <col min="12802" max="12802" width="60.6640625" style="44" customWidth="1"/>
    <col min="12803" max="12803" width="8.6640625" style="44"/>
    <col min="12804" max="12804" width="12.5546875" style="44" customWidth="1"/>
    <col min="12805" max="12805" width="10.5546875" style="44" customWidth="1"/>
    <col min="12806" max="13056" width="8.6640625" style="44"/>
    <col min="13057" max="13057" width="2.33203125" style="44" customWidth="1"/>
    <col min="13058" max="13058" width="60.6640625" style="44" customWidth="1"/>
    <col min="13059" max="13059" width="8.6640625" style="44"/>
    <col min="13060" max="13060" width="12.5546875" style="44" customWidth="1"/>
    <col min="13061" max="13061" width="10.5546875" style="44" customWidth="1"/>
    <col min="13062" max="13312" width="8.6640625" style="44"/>
    <col min="13313" max="13313" width="2.33203125" style="44" customWidth="1"/>
    <col min="13314" max="13314" width="60.6640625" style="44" customWidth="1"/>
    <col min="13315" max="13315" width="8.6640625" style="44"/>
    <col min="13316" max="13316" width="12.5546875" style="44" customWidth="1"/>
    <col min="13317" max="13317" width="10.5546875" style="44" customWidth="1"/>
    <col min="13318" max="13568" width="8.6640625" style="44"/>
    <col min="13569" max="13569" width="2.33203125" style="44" customWidth="1"/>
    <col min="13570" max="13570" width="60.6640625" style="44" customWidth="1"/>
    <col min="13571" max="13571" width="8.6640625" style="44"/>
    <col min="13572" max="13572" width="12.5546875" style="44" customWidth="1"/>
    <col min="13573" max="13573" width="10.5546875" style="44" customWidth="1"/>
    <col min="13574" max="13824" width="8.6640625" style="44"/>
    <col min="13825" max="13825" width="2.33203125" style="44" customWidth="1"/>
    <col min="13826" max="13826" width="60.6640625" style="44" customWidth="1"/>
    <col min="13827" max="13827" width="8.6640625" style="44"/>
    <col min="13828" max="13828" width="12.5546875" style="44" customWidth="1"/>
    <col min="13829" max="13829" width="10.5546875" style="44" customWidth="1"/>
    <col min="13830" max="14080" width="8.6640625" style="44"/>
    <col min="14081" max="14081" width="2.33203125" style="44" customWidth="1"/>
    <col min="14082" max="14082" width="60.6640625" style="44" customWidth="1"/>
    <col min="14083" max="14083" width="8.6640625" style="44"/>
    <col min="14084" max="14084" width="12.5546875" style="44" customWidth="1"/>
    <col min="14085" max="14085" width="10.5546875" style="44" customWidth="1"/>
    <col min="14086" max="14336" width="8.6640625" style="44"/>
    <col min="14337" max="14337" width="2.33203125" style="44" customWidth="1"/>
    <col min="14338" max="14338" width="60.6640625" style="44" customWidth="1"/>
    <col min="14339" max="14339" width="8.6640625" style="44"/>
    <col min="14340" max="14340" width="12.5546875" style="44" customWidth="1"/>
    <col min="14341" max="14341" width="10.5546875" style="44" customWidth="1"/>
    <col min="14342" max="14592" width="8.6640625" style="44"/>
    <col min="14593" max="14593" width="2.33203125" style="44" customWidth="1"/>
    <col min="14594" max="14594" width="60.6640625" style="44" customWidth="1"/>
    <col min="14595" max="14595" width="8.6640625" style="44"/>
    <col min="14596" max="14596" width="12.5546875" style="44" customWidth="1"/>
    <col min="14597" max="14597" width="10.5546875" style="44" customWidth="1"/>
    <col min="14598" max="14848" width="8.6640625" style="44"/>
    <col min="14849" max="14849" width="2.33203125" style="44" customWidth="1"/>
    <col min="14850" max="14850" width="60.6640625" style="44" customWidth="1"/>
    <col min="14851" max="14851" width="8.6640625" style="44"/>
    <col min="14852" max="14852" width="12.5546875" style="44" customWidth="1"/>
    <col min="14853" max="14853" width="10.5546875" style="44" customWidth="1"/>
    <col min="14854" max="15104" width="8.6640625" style="44"/>
    <col min="15105" max="15105" width="2.33203125" style="44" customWidth="1"/>
    <col min="15106" max="15106" width="60.6640625" style="44" customWidth="1"/>
    <col min="15107" max="15107" width="8.6640625" style="44"/>
    <col min="15108" max="15108" width="12.5546875" style="44" customWidth="1"/>
    <col min="15109" max="15109" width="10.5546875" style="44" customWidth="1"/>
    <col min="15110" max="15360" width="8.6640625" style="44"/>
    <col min="15361" max="15361" width="2.33203125" style="44" customWidth="1"/>
    <col min="15362" max="15362" width="60.6640625" style="44" customWidth="1"/>
    <col min="15363" max="15363" width="8.6640625" style="44"/>
    <col min="15364" max="15364" width="12.5546875" style="44" customWidth="1"/>
    <col min="15365" max="15365" width="10.5546875" style="44" customWidth="1"/>
    <col min="15366" max="15616" width="8.6640625" style="44"/>
    <col min="15617" max="15617" width="2.33203125" style="44" customWidth="1"/>
    <col min="15618" max="15618" width="60.6640625" style="44" customWidth="1"/>
    <col min="15619" max="15619" width="8.6640625" style="44"/>
    <col min="15620" max="15620" width="12.5546875" style="44" customWidth="1"/>
    <col min="15621" max="15621" width="10.5546875" style="44" customWidth="1"/>
    <col min="15622" max="15872" width="8.6640625" style="44"/>
    <col min="15873" max="15873" width="2.33203125" style="44" customWidth="1"/>
    <col min="15874" max="15874" width="60.6640625" style="44" customWidth="1"/>
    <col min="15875" max="15875" width="8.6640625" style="44"/>
    <col min="15876" max="15876" width="12.5546875" style="44" customWidth="1"/>
    <col min="15877" max="15877" width="10.5546875" style="44" customWidth="1"/>
    <col min="15878" max="16128" width="8.6640625" style="44"/>
    <col min="16129" max="16129" width="2.33203125" style="44" customWidth="1"/>
    <col min="16130" max="16130" width="60.6640625" style="44" customWidth="1"/>
    <col min="16131" max="16131" width="8.6640625" style="44"/>
    <col min="16132" max="16132" width="12.5546875" style="44" customWidth="1"/>
    <col min="16133" max="16133" width="10.5546875" style="44" customWidth="1"/>
    <col min="16134" max="16384" width="8.6640625" style="44"/>
  </cols>
  <sheetData>
    <row r="1" spans="1:19" ht="9" customHeight="1" thickBot="1" x14ac:dyDescent="0.35"/>
    <row r="2" spans="1:19" ht="25.95" customHeight="1" x14ac:dyDescent="0.3">
      <c r="A2" s="45"/>
      <c r="B2" s="311" t="s">
        <v>87</v>
      </c>
      <c r="C2" s="312"/>
      <c r="D2" s="312"/>
      <c r="E2" s="312"/>
      <c r="F2" s="313"/>
      <c r="G2" s="45"/>
      <c r="H2" s="45"/>
      <c r="I2" s="45"/>
      <c r="J2" s="45"/>
      <c r="K2" s="45"/>
      <c r="L2" s="45"/>
      <c r="M2" s="45"/>
      <c r="N2" s="45"/>
      <c r="O2" s="45"/>
      <c r="P2" s="45"/>
      <c r="Q2" s="45"/>
      <c r="R2" s="45"/>
      <c r="S2" s="45"/>
    </row>
    <row r="3" spans="1:19" ht="33" customHeight="1" x14ac:dyDescent="0.3">
      <c r="A3" s="45"/>
      <c r="B3" s="170" t="s">
        <v>88</v>
      </c>
      <c r="C3" s="171" t="s">
        <v>89</v>
      </c>
      <c r="D3" s="172" t="s">
        <v>90</v>
      </c>
      <c r="E3" s="172" t="s">
        <v>91</v>
      </c>
      <c r="F3" s="173" t="s">
        <v>92</v>
      </c>
      <c r="G3" s="45"/>
      <c r="H3" s="45"/>
      <c r="I3" s="45"/>
      <c r="J3" s="45"/>
      <c r="K3" s="45"/>
      <c r="L3" s="45"/>
      <c r="M3" s="45"/>
      <c r="N3" s="45"/>
      <c r="O3" s="45"/>
      <c r="P3" s="45"/>
      <c r="Q3" s="45"/>
      <c r="R3" s="45"/>
      <c r="S3" s="45"/>
    </row>
    <row r="4" spans="1:19" ht="6.6" customHeight="1" x14ac:dyDescent="0.3">
      <c r="A4" s="45"/>
      <c r="B4" s="46"/>
      <c r="C4" s="45"/>
      <c r="D4" s="45"/>
      <c r="E4" s="45"/>
      <c r="F4" s="47"/>
      <c r="G4" s="45"/>
      <c r="H4" s="45"/>
      <c r="I4" s="45"/>
      <c r="J4" s="45"/>
      <c r="K4" s="45"/>
      <c r="L4" s="45"/>
      <c r="M4" s="45"/>
      <c r="N4" s="45"/>
      <c r="O4" s="45"/>
      <c r="P4" s="45"/>
      <c r="Q4" s="45"/>
      <c r="R4" s="45"/>
      <c r="S4" s="45"/>
    </row>
    <row r="5" spans="1:19" ht="15.6" x14ac:dyDescent="0.3">
      <c r="A5" s="45"/>
      <c r="B5" s="305" t="s">
        <v>93</v>
      </c>
      <c r="C5" s="306"/>
      <c r="D5" s="306"/>
      <c r="E5" s="306"/>
      <c r="F5" s="307"/>
      <c r="G5" s="45"/>
      <c r="H5" s="45"/>
      <c r="I5" s="45"/>
      <c r="J5" s="45"/>
      <c r="K5" s="45"/>
      <c r="L5" s="45"/>
      <c r="M5" s="45"/>
      <c r="N5" s="45"/>
      <c r="O5" s="45"/>
      <c r="P5" s="45"/>
      <c r="Q5" s="45"/>
      <c r="R5" s="45"/>
      <c r="S5" s="45"/>
    </row>
    <row r="6" spans="1:19" ht="23.4" customHeight="1" x14ac:dyDescent="0.3">
      <c r="A6" s="45"/>
      <c r="B6" s="48" t="s">
        <v>94</v>
      </c>
      <c r="C6" s="49"/>
      <c r="D6" s="50" t="s">
        <v>95</v>
      </c>
      <c r="E6" s="51"/>
      <c r="F6" s="52"/>
      <c r="G6" s="45"/>
      <c r="H6" s="45"/>
      <c r="I6" s="45"/>
      <c r="J6" s="45"/>
      <c r="K6" s="45"/>
      <c r="L6" s="45"/>
      <c r="M6" s="45"/>
      <c r="N6" s="45"/>
      <c r="O6" s="45"/>
      <c r="P6" s="45"/>
      <c r="Q6" s="45"/>
      <c r="R6" s="45"/>
      <c r="S6" s="45"/>
    </row>
    <row r="7" spans="1:19" ht="17.399999999999999" customHeight="1" x14ac:dyDescent="0.3">
      <c r="A7" s="45"/>
      <c r="B7" s="53" t="s">
        <v>96</v>
      </c>
      <c r="C7" s="54"/>
      <c r="D7" s="50" t="s">
        <v>95</v>
      </c>
      <c r="E7" s="55"/>
      <c r="F7" s="56"/>
      <c r="G7" s="45"/>
      <c r="H7" s="45"/>
      <c r="I7" s="45"/>
      <c r="J7" s="45"/>
      <c r="K7" s="45"/>
      <c r="L7" s="45"/>
      <c r="M7" s="45"/>
      <c r="N7" s="45"/>
      <c r="O7" s="45"/>
      <c r="P7" s="45"/>
      <c r="Q7" s="45"/>
      <c r="R7" s="45"/>
      <c r="S7" s="45"/>
    </row>
    <row r="8" spans="1:19" ht="17.399999999999999" customHeight="1" x14ac:dyDescent="0.3">
      <c r="A8" s="45"/>
      <c r="B8" s="53" t="s">
        <v>97</v>
      </c>
      <c r="C8" s="54"/>
      <c r="D8" s="50" t="s">
        <v>95</v>
      </c>
      <c r="E8" s="55"/>
      <c r="F8" s="56"/>
      <c r="G8" s="45"/>
      <c r="H8" s="45"/>
      <c r="I8" s="45"/>
      <c r="J8" s="45"/>
      <c r="K8" s="45"/>
      <c r="L8" s="45"/>
      <c r="M8" s="45"/>
      <c r="N8" s="45"/>
      <c r="O8" s="45"/>
      <c r="P8" s="45"/>
      <c r="Q8" s="45"/>
      <c r="R8" s="45"/>
      <c r="S8" s="45"/>
    </row>
    <row r="9" spans="1:19" ht="17.399999999999999" customHeight="1" x14ac:dyDescent="0.3">
      <c r="A9" s="45"/>
      <c r="B9" s="53" t="s">
        <v>98</v>
      </c>
      <c r="C9" s="54"/>
      <c r="D9" s="50" t="s">
        <v>95</v>
      </c>
      <c r="E9" s="55"/>
      <c r="F9" s="56"/>
      <c r="G9" s="45"/>
      <c r="H9" s="45"/>
      <c r="I9" s="45"/>
      <c r="J9" s="45"/>
      <c r="K9" s="45"/>
      <c r="L9" s="45"/>
      <c r="M9" s="45"/>
      <c r="N9" s="45"/>
      <c r="O9" s="45"/>
      <c r="P9" s="45"/>
      <c r="Q9" s="45"/>
      <c r="R9" s="45"/>
      <c r="S9" s="45"/>
    </row>
    <row r="10" spans="1:19" ht="17.399999999999999" customHeight="1" x14ac:dyDescent="0.3">
      <c r="A10" s="45"/>
      <c r="B10" s="53" t="s">
        <v>99</v>
      </c>
      <c r="C10" s="54"/>
      <c r="D10" s="50" t="s">
        <v>95</v>
      </c>
      <c r="E10" s="55"/>
      <c r="F10" s="56"/>
      <c r="G10" s="45"/>
      <c r="H10" s="45"/>
      <c r="I10" s="45"/>
      <c r="J10" s="45"/>
      <c r="K10" s="45"/>
      <c r="L10" s="45"/>
      <c r="M10" s="45"/>
      <c r="N10" s="45"/>
      <c r="O10" s="45"/>
      <c r="P10" s="45"/>
      <c r="Q10" s="45"/>
      <c r="R10" s="45"/>
      <c r="S10" s="45"/>
    </row>
    <row r="11" spans="1:19" ht="17.399999999999999" customHeight="1" x14ac:dyDescent="0.3">
      <c r="A11" s="45"/>
      <c r="B11" s="57" t="s">
        <v>100</v>
      </c>
      <c r="C11" s="54"/>
      <c r="D11" s="50" t="s">
        <v>95</v>
      </c>
      <c r="E11" s="55"/>
      <c r="F11" s="56"/>
      <c r="G11" s="45"/>
      <c r="H11" s="45"/>
      <c r="I11" s="45"/>
      <c r="J11" s="45"/>
      <c r="K11" s="45"/>
      <c r="L11" s="45"/>
      <c r="M11" s="45"/>
      <c r="N11" s="45"/>
      <c r="O11" s="45"/>
      <c r="P11" s="45"/>
      <c r="Q11" s="45"/>
      <c r="R11" s="45"/>
      <c r="S11" s="45"/>
    </row>
    <row r="12" spans="1:19" ht="17.399999999999999" customHeight="1" x14ac:dyDescent="0.3">
      <c r="A12" s="45"/>
      <c r="B12" s="58" t="s">
        <v>101</v>
      </c>
      <c r="C12" s="59"/>
      <c r="D12" s="60" t="s">
        <v>95</v>
      </c>
      <c r="E12" s="61"/>
      <c r="F12" s="62"/>
      <c r="G12" s="45"/>
      <c r="H12" s="45"/>
      <c r="I12" s="45"/>
      <c r="J12" s="45"/>
      <c r="K12" s="45"/>
      <c r="L12" s="45"/>
      <c r="M12" s="45"/>
      <c r="N12" s="45"/>
      <c r="O12" s="45"/>
      <c r="P12" s="45"/>
      <c r="Q12" s="45"/>
      <c r="R12" s="45"/>
      <c r="S12" s="45"/>
    </row>
    <row r="13" spans="1:19" ht="17.399999999999999" customHeight="1" x14ac:dyDescent="0.3">
      <c r="A13" s="45"/>
      <c r="B13" s="53" t="s">
        <v>102</v>
      </c>
      <c r="C13" s="54"/>
      <c r="D13" s="50" t="s">
        <v>95</v>
      </c>
      <c r="E13" s="55"/>
      <c r="F13" s="56"/>
      <c r="G13" s="45"/>
      <c r="H13" s="45"/>
      <c r="I13" s="45"/>
      <c r="J13" s="45"/>
      <c r="K13" s="45"/>
      <c r="L13" s="45"/>
      <c r="M13" s="45"/>
      <c r="N13" s="45"/>
      <c r="O13" s="45"/>
      <c r="P13" s="45"/>
      <c r="Q13" s="45"/>
      <c r="R13" s="45"/>
      <c r="S13" s="45"/>
    </row>
    <row r="14" spans="1:19" ht="17.399999999999999" customHeight="1" x14ac:dyDescent="0.3">
      <c r="A14" s="45"/>
      <c r="B14" s="53"/>
      <c r="C14" s="54"/>
      <c r="D14" s="50"/>
      <c r="E14" s="55"/>
      <c r="F14" s="56"/>
      <c r="G14" s="45"/>
      <c r="H14" s="45"/>
      <c r="I14" s="45"/>
      <c r="J14" s="45"/>
      <c r="K14" s="45"/>
      <c r="L14" s="45"/>
      <c r="M14" s="45"/>
      <c r="N14" s="45"/>
      <c r="O14" s="45"/>
      <c r="P14" s="45"/>
      <c r="Q14" s="45"/>
      <c r="R14" s="45"/>
      <c r="S14" s="45"/>
    </row>
    <row r="15" spans="1:19" x14ac:dyDescent="0.3">
      <c r="A15" s="45"/>
      <c r="B15" s="46"/>
      <c r="C15" s="45"/>
      <c r="D15" s="45"/>
      <c r="E15" s="45"/>
      <c r="F15" s="47"/>
      <c r="G15" s="45"/>
      <c r="H15" s="45"/>
      <c r="I15" s="45"/>
      <c r="J15" s="45"/>
      <c r="K15" s="45"/>
      <c r="L15" s="45"/>
      <c r="M15" s="45"/>
      <c r="N15" s="45"/>
      <c r="O15" s="45"/>
      <c r="P15" s="45"/>
      <c r="Q15" s="45"/>
      <c r="R15" s="45"/>
      <c r="S15" s="45"/>
    </row>
    <row r="16" spans="1:19" ht="15.6" x14ac:dyDescent="0.3">
      <c r="A16" s="45"/>
      <c r="B16" s="305" t="s">
        <v>103</v>
      </c>
      <c r="C16" s="306"/>
      <c r="D16" s="306"/>
      <c r="E16" s="306"/>
      <c r="F16" s="307"/>
      <c r="G16" s="45"/>
      <c r="H16" s="45"/>
      <c r="I16" s="45"/>
      <c r="J16" s="45"/>
      <c r="K16" s="45"/>
      <c r="L16" s="45"/>
      <c r="M16" s="45"/>
      <c r="N16" s="45"/>
      <c r="O16" s="45"/>
      <c r="P16" s="45"/>
      <c r="Q16" s="45"/>
      <c r="R16" s="45"/>
      <c r="S16" s="45"/>
    </row>
    <row r="17" spans="1:19" ht="16.95" customHeight="1" x14ac:dyDescent="0.3">
      <c r="A17" s="45"/>
      <c r="B17" s="63" t="s">
        <v>104</v>
      </c>
      <c r="C17" s="54"/>
      <c r="D17" s="60" t="s">
        <v>95</v>
      </c>
      <c r="E17" s="55"/>
      <c r="F17" s="56"/>
      <c r="G17" s="45"/>
      <c r="H17" s="45"/>
      <c r="I17" s="45"/>
      <c r="J17" s="45"/>
      <c r="K17" s="45"/>
      <c r="L17" s="45"/>
      <c r="M17" s="45"/>
      <c r="N17" s="45"/>
      <c r="O17" s="45"/>
      <c r="P17" s="45"/>
      <c r="Q17" s="45"/>
      <c r="R17" s="45"/>
      <c r="S17" s="45"/>
    </row>
    <row r="18" spans="1:19" ht="16.95" customHeight="1" x14ac:dyDescent="0.3">
      <c r="A18" s="45"/>
      <c r="B18" s="63" t="s">
        <v>105</v>
      </c>
      <c r="C18" s="54"/>
      <c r="D18" s="60" t="s">
        <v>95</v>
      </c>
      <c r="E18" s="55"/>
      <c r="F18" s="56"/>
      <c r="G18" s="45"/>
      <c r="H18" s="45"/>
      <c r="I18" s="45"/>
      <c r="J18" s="45"/>
      <c r="K18" s="45"/>
      <c r="L18" s="45"/>
      <c r="M18" s="45"/>
      <c r="N18" s="45"/>
      <c r="O18" s="45"/>
      <c r="P18" s="45"/>
      <c r="Q18" s="45"/>
      <c r="R18" s="45"/>
      <c r="S18" s="45"/>
    </row>
    <row r="19" spans="1:19" ht="16.95" customHeight="1" x14ac:dyDescent="0.3">
      <c r="A19" s="45"/>
      <c r="B19" s="63" t="s">
        <v>106</v>
      </c>
      <c r="C19" s="54"/>
      <c r="D19" s="60" t="s">
        <v>95</v>
      </c>
      <c r="E19" s="55"/>
      <c r="F19" s="56"/>
      <c r="G19" s="45"/>
      <c r="H19" s="45"/>
      <c r="I19" s="45"/>
      <c r="J19" s="45"/>
      <c r="K19" s="45"/>
      <c r="L19" s="45"/>
      <c r="M19" s="45"/>
      <c r="N19" s="45"/>
      <c r="O19" s="45"/>
      <c r="P19" s="45"/>
      <c r="Q19" s="45"/>
      <c r="R19" s="45"/>
      <c r="S19" s="45"/>
    </row>
    <row r="20" spans="1:19" ht="16.95" customHeight="1" x14ac:dyDescent="0.3">
      <c r="A20" s="45"/>
      <c r="B20" s="63" t="s">
        <v>107</v>
      </c>
      <c r="C20" s="54"/>
      <c r="D20" s="60" t="s">
        <v>95</v>
      </c>
      <c r="E20" s="55"/>
      <c r="F20" s="56"/>
      <c r="G20" s="45"/>
    </row>
    <row r="21" spans="1:19" ht="16.95" customHeight="1" x14ac:dyDescent="0.3">
      <c r="A21" s="45"/>
      <c r="B21" s="63"/>
      <c r="C21" s="54"/>
      <c r="D21" s="64"/>
      <c r="E21" s="54"/>
      <c r="F21" s="65"/>
      <c r="G21" s="45"/>
    </row>
    <row r="22" spans="1:19" x14ac:dyDescent="0.3">
      <c r="A22" s="45"/>
      <c r="B22" s="46"/>
      <c r="C22" s="45"/>
      <c r="D22" s="45"/>
      <c r="E22" s="45"/>
      <c r="F22" s="47"/>
      <c r="G22" s="45"/>
      <c r="H22" s="45"/>
      <c r="I22" s="45"/>
      <c r="J22" s="45"/>
      <c r="K22" s="45"/>
      <c r="L22" s="45"/>
      <c r="M22" s="45"/>
      <c r="N22" s="45"/>
      <c r="O22" s="45"/>
      <c r="P22" s="45"/>
      <c r="Q22" s="45"/>
      <c r="R22" s="45"/>
      <c r="S22" s="45"/>
    </row>
    <row r="23" spans="1:19" ht="15.6" x14ac:dyDescent="0.3">
      <c r="A23" s="45"/>
      <c r="B23" s="302" t="s">
        <v>108</v>
      </c>
      <c r="C23" s="303"/>
      <c r="D23" s="303"/>
      <c r="E23" s="303"/>
      <c r="F23" s="304"/>
      <c r="G23" s="45"/>
      <c r="H23" s="45"/>
      <c r="I23" s="45"/>
      <c r="J23" s="45"/>
      <c r="K23" s="45"/>
      <c r="L23" s="45"/>
      <c r="M23" s="45"/>
      <c r="N23" s="45"/>
      <c r="O23" s="45"/>
      <c r="P23" s="45"/>
      <c r="Q23" s="45"/>
      <c r="R23" s="45"/>
      <c r="S23" s="45"/>
    </row>
    <row r="24" spans="1:19" ht="25.2" customHeight="1" x14ac:dyDescent="0.3">
      <c r="A24" s="45"/>
      <c r="B24" s="66" t="s">
        <v>109</v>
      </c>
      <c r="C24" s="67"/>
      <c r="D24" s="50" t="s">
        <v>95</v>
      </c>
      <c r="E24" s="51"/>
      <c r="F24" s="52"/>
      <c r="G24" s="45"/>
      <c r="H24" s="45"/>
      <c r="I24" s="45"/>
      <c r="J24" s="45"/>
      <c r="K24" s="45"/>
      <c r="L24" s="45"/>
      <c r="M24" s="45"/>
      <c r="N24" s="45"/>
      <c r="O24" s="45"/>
      <c r="P24" s="45"/>
      <c r="Q24" s="45"/>
      <c r="R24" s="45"/>
      <c r="S24" s="45"/>
    </row>
    <row r="25" spans="1:19" ht="15.6" customHeight="1" x14ac:dyDescent="0.3">
      <c r="A25" s="45"/>
      <c r="B25" s="63" t="s">
        <v>110</v>
      </c>
      <c r="C25" s="54"/>
      <c r="D25" s="50" t="s">
        <v>95</v>
      </c>
      <c r="E25" s="55"/>
      <c r="F25" s="56"/>
      <c r="G25" s="45"/>
      <c r="H25" s="45"/>
      <c r="I25" s="45"/>
      <c r="J25" s="45"/>
      <c r="K25" s="45"/>
      <c r="L25" s="45"/>
      <c r="M25" s="45"/>
      <c r="N25" s="45"/>
      <c r="O25" s="45"/>
      <c r="P25" s="45"/>
      <c r="Q25" s="45"/>
      <c r="R25" s="45"/>
      <c r="S25" s="45"/>
    </row>
    <row r="26" spans="1:19" ht="15.6" customHeight="1" x14ac:dyDescent="0.3">
      <c r="A26" s="45"/>
      <c r="B26" s="63" t="s">
        <v>111</v>
      </c>
      <c r="C26" s="54"/>
      <c r="D26" s="50" t="s">
        <v>95</v>
      </c>
      <c r="E26" s="55"/>
      <c r="F26" s="56"/>
      <c r="G26" s="45"/>
      <c r="H26" s="45"/>
      <c r="I26" s="45"/>
      <c r="J26" s="45"/>
      <c r="K26" s="45"/>
      <c r="L26" s="45"/>
      <c r="M26" s="45"/>
      <c r="N26" s="45"/>
      <c r="O26" s="45"/>
      <c r="P26" s="45"/>
      <c r="Q26" s="45"/>
      <c r="R26" s="45"/>
      <c r="S26" s="45"/>
    </row>
    <row r="27" spans="1:19" ht="15.6" customHeight="1" x14ac:dyDescent="0.3">
      <c r="A27" s="45"/>
      <c r="B27" s="63" t="s">
        <v>112</v>
      </c>
      <c r="C27" s="54"/>
      <c r="D27" s="50" t="s">
        <v>95</v>
      </c>
      <c r="E27" s="55"/>
      <c r="F27" s="56"/>
      <c r="G27" s="45"/>
      <c r="H27" s="45"/>
      <c r="I27" s="45"/>
      <c r="J27" s="45"/>
      <c r="K27" s="45"/>
      <c r="L27" s="45"/>
      <c r="M27" s="45"/>
      <c r="N27" s="45"/>
      <c r="O27" s="45"/>
      <c r="P27" s="45"/>
      <c r="Q27" s="45"/>
      <c r="R27" s="45"/>
      <c r="S27" s="45"/>
    </row>
    <row r="28" spans="1:19" ht="15.6" customHeight="1" x14ac:dyDescent="0.3">
      <c r="A28" s="45"/>
      <c r="B28" s="63"/>
      <c r="C28" s="54"/>
      <c r="D28" s="68"/>
      <c r="E28" s="54"/>
      <c r="F28" s="65"/>
      <c r="G28" s="45"/>
      <c r="H28" s="45"/>
      <c r="I28" s="45"/>
      <c r="J28" s="45"/>
      <c r="K28" s="45"/>
      <c r="L28" s="45"/>
      <c r="M28" s="45"/>
      <c r="N28" s="45"/>
      <c r="O28" s="45"/>
      <c r="P28" s="45"/>
      <c r="Q28" s="45"/>
      <c r="R28" s="45"/>
      <c r="S28" s="45"/>
    </row>
    <row r="29" spans="1:19" x14ac:dyDescent="0.3">
      <c r="A29" s="45"/>
      <c r="B29" s="69"/>
      <c r="C29" s="70"/>
      <c r="D29" s="71"/>
      <c r="E29" s="70"/>
      <c r="F29" s="47"/>
      <c r="G29" s="45"/>
      <c r="H29" s="45"/>
      <c r="I29" s="45"/>
      <c r="J29" s="45"/>
      <c r="K29" s="45"/>
      <c r="L29" s="45"/>
      <c r="M29" s="45"/>
      <c r="N29" s="45"/>
      <c r="O29" s="45"/>
      <c r="P29" s="45"/>
      <c r="Q29" s="45"/>
      <c r="R29" s="45"/>
      <c r="S29" s="45"/>
    </row>
    <row r="30" spans="1:19" ht="15.6" x14ac:dyDescent="0.3">
      <c r="A30" s="45"/>
      <c r="B30" s="305" t="s">
        <v>113</v>
      </c>
      <c r="C30" s="306"/>
      <c r="D30" s="306"/>
      <c r="E30" s="306"/>
      <c r="F30" s="307"/>
      <c r="G30" s="45"/>
      <c r="H30" s="45"/>
      <c r="I30" s="45"/>
      <c r="J30" s="45"/>
      <c r="K30" s="45"/>
      <c r="L30" s="45"/>
      <c r="M30" s="45"/>
      <c r="N30" s="45"/>
      <c r="O30" s="45"/>
      <c r="P30" s="45"/>
      <c r="Q30" s="45"/>
      <c r="R30" s="45"/>
      <c r="S30" s="45"/>
    </row>
    <row r="31" spans="1:19" ht="25.95" customHeight="1" x14ac:dyDescent="0.3">
      <c r="A31" s="45"/>
      <c r="B31" s="72" t="s">
        <v>114</v>
      </c>
      <c r="C31" s="73"/>
      <c r="D31" s="50" t="s">
        <v>95</v>
      </c>
      <c r="E31" s="74"/>
      <c r="F31" s="75"/>
      <c r="G31" s="45"/>
      <c r="H31" s="45"/>
      <c r="I31" s="45"/>
      <c r="J31" s="45"/>
      <c r="K31" s="45"/>
      <c r="L31" s="45"/>
      <c r="M31" s="45"/>
      <c r="N31" s="45"/>
      <c r="O31" s="45"/>
      <c r="P31" s="45"/>
      <c r="Q31" s="45"/>
      <c r="R31" s="45"/>
      <c r="S31" s="45"/>
    </row>
    <row r="32" spans="1:19" ht="14.4" customHeight="1" x14ac:dyDescent="0.3">
      <c r="A32" s="45"/>
      <c r="B32" s="76" t="s">
        <v>115</v>
      </c>
      <c r="C32" s="73"/>
      <c r="D32" s="60" t="s">
        <v>95</v>
      </c>
      <c r="E32" s="55"/>
      <c r="F32" s="56"/>
      <c r="G32" s="45"/>
      <c r="H32" s="45"/>
      <c r="I32" s="45"/>
      <c r="J32" s="45"/>
      <c r="K32" s="45"/>
      <c r="L32" s="45"/>
      <c r="M32" s="45"/>
      <c r="N32" s="45"/>
      <c r="O32" s="45"/>
      <c r="P32" s="45"/>
      <c r="Q32" s="45"/>
      <c r="R32" s="45"/>
      <c r="S32" s="45"/>
    </row>
    <row r="33" spans="1:19" ht="14.4" customHeight="1" x14ac:dyDescent="0.3">
      <c r="A33" s="45"/>
      <c r="B33" s="76" t="s">
        <v>116</v>
      </c>
      <c r="C33" s="54"/>
      <c r="D33" s="50" t="s">
        <v>95</v>
      </c>
      <c r="E33" s="55"/>
      <c r="F33" s="56"/>
      <c r="G33" s="45"/>
      <c r="H33" s="45"/>
      <c r="I33" s="45"/>
      <c r="J33" s="45"/>
      <c r="K33" s="45"/>
      <c r="L33" s="45"/>
      <c r="M33" s="45"/>
      <c r="N33" s="45"/>
      <c r="O33" s="45"/>
      <c r="P33" s="45"/>
      <c r="Q33" s="45"/>
      <c r="R33" s="45"/>
      <c r="S33" s="45"/>
    </row>
    <row r="34" spans="1:19" ht="14.4" customHeight="1" x14ac:dyDescent="0.3">
      <c r="A34" s="45"/>
      <c r="B34" s="76"/>
      <c r="C34" s="54"/>
      <c r="D34" s="50"/>
      <c r="E34" s="55"/>
      <c r="F34" s="56"/>
      <c r="G34" s="45"/>
      <c r="H34" s="45"/>
      <c r="I34" s="45"/>
      <c r="J34" s="45"/>
      <c r="K34" s="45"/>
      <c r="L34" s="45"/>
      <c r="M34" s="45"/>
      <c r="N34" s="45"/>
      <c r="O34" s="45"/>
      <c r="P34" s="45"/>
      <c r="Q34" s="45"/>
      <c r="R34" s="45"/>
      <c r="S34" s="45"/>
    </row>
    <row r="35" spans="1:19" x14ac:dyDescent="0.3">
      <c r="A35" s="45"/>
      <c r="B35" s="46"/>
      <c r="C35" s="77"/>
      <c r="D35" s="71"/>
      <c r="E35" s="77"/>
      <c r="F35" s="47"/>
      <c r="G35" s="45"/>
      <c r="H35" s="45"/>
      <c r="I35" s="45"/>
      <c r="J35" s="45"/>
      <c r="K35" s="45"/>
      <c r="L35" s="45"/>
      <c r="M35" s="45"/>
      <c r="N35" s="45"/>
      <c r="O35" s="45"/>
      <c r="P35" s="45"/>
      <c r="Q35" s="45"/>
      <c r="R35" s="45"/>
      <c r="S35" s="45"/>
    </row>
    <row r="36" spans="1:19" ht="15.6" x14ac:dyDescent="0.3">
      <c r="A36" s="45"/>
      <c r="B36" s="308" t="s">
        <v>117</v>
      </c>
      <c r="C36" s="309"/>
      <c r="D36" s="309"/>
      <c r="E36" s="309"/>
      <c r="F36" s="310"/>
      <c r="G36" s="45"/>
      <c r="H36" s="45"/>
      <c r="I36" s="45"/>
      <c r="J36" s="45"/>
      <c r="K36" s="45"/>
      <c r="L36" s="45"/>
      <c r="M36" s="45"/>
      <c r="N36" s="45"/>
      <c r="O36" s="45"/>
      <c r="P36" s="45"/>
      <c r="Q36" s="45"/>
      <c r="R36" s="45"/>
      <c r="S36" s="45"/>
    </row>
    <row r="37" spans="1:19" x14ac:dyDescent="0.3">
      <c r="A37" s="45"/>
      <c r="B37" s="78" t="s">
        <v>118</v>
      </c>
      <c r="C37" s="79"/>
      <c r="D37" s="68" t="s">
        <v>95</v>
      </c>
      <c r="E37" s="79"/>
      <c r="F37" s="80"/>
      <c r="G37" s="45"/>
      <c r="H37" s="45"/>
      <c r="I37" s="45"/>
      <c r="J37" s="45"/>
      <c r="K37" s="45"/>
      <c r="L37" s="45"/>
      <c r="M37" s="45"/>
      <c r="N37" s="45"/>
      <c r="O37" s="45"/>
      <c r="P37" s="45"/>
      <c r="Q37" s="45"/>
      <c r="R37" s="45"/>
      <c r="S37" s="45"/>
    </row>
    <row r="38" spans="1:19" x14ac:dyDescent="0.3">
      <c r="A38" s="45"/>
      <c r="B38" s="53" t="s">
        <v>119</v>
      </c>
      <c r="C38" s="79"/>
      <c r="D38" s="68" t="s">
        <v>95</v>
      </c>
      <c r="E38" s="79"/>
      <c r="F38" s="80"/>
      <c r="G38" s="45"/>
      <c r="H38" s="45"/>
      <c r="I38" s="45"/>
      <c r="J38" s="45"/>
      <c r="K38" s="45"/>
      <c r="L38" s="45"/>
      <c r="M38" s="45"/>
      <c r="N38" s="45"/>
      <c r="O38" s="45"/>
      <c r="P38" s="45"/>
      <c r="Q38" s="45"/>
      <c r="R38" s="45"/>
      <c r="S38" s="45"/>
    </row>
    <row r="39" spans="1:19" x14ac:dyDescent="0.3">
      <c r="A39" s="45"/>
      <c r="B39" s="53" t="s">
        <v>120</v>
      </c>
      <c r="C39" s="54"/>
      <c r="D39" s="68" t="s">
        <v>95</v>
      </c>
      <c r="E39" s="54"/>
      <c r="F39" s="65"/>
      <c r="G39" s="45"/>
      <c r="H39" s="45"/>
      <c r="I39" s="45"/>
      <c r="J39" s="45"/>
      <c r="K39" s="45"/>
      <c r="L39" s="45"/>
      <c r="M39" s="45"/>
      <c r="N39" s="45"/>
      <c r="O39" s="45"/>
      <c r="P39" s="45"/>
      <c r="Q39" s="45"/>
      <c r="R39" s="45"/>
      <c r="S39" s="45"/>
    </row>
    <row r="40" spans="1:19" ht="14.4" thickBot="1" x14ac:dyDescent="0.35">
      <c r="A40" s="45"/>
      <c r="B40" s="81"/>
      <c r="C40" s="82"/>
      <c r="D40" s="83"/>
      <c r="E40" s="82"/>
      <c r="F40" s="84"/>
      <c r="G40" s="45"/>
      <c r="H40" s="45"/>
      <c r="I40" s="45"/>
      <c r="J40" s="45"/>
      <c r="K40" s="45"/>
      <c r="L40" s="45"/>
      <c r="M40" s="45"/>
      <c r="N40" s="45"/>
      <c r="O40" s="45"/>
      <c r="P40" s="45"/>
      <c r="Q40" s="45"/>
      <c r="R40" s="45"/>
      <c r="S40" s="45"/>
    </row>
    <row r="41" spans="1:19" x14ac:dyDescent="0.3">
      <c r="A41" s="45"/>
      <c r="B41" s="45"/>
      <c r="C41" s="45"/>
      <c r="D41" s="45"/>
      <c r="E41" s="45"/>
      <c r="F41" s="45"/>
      <c r="G41" s="45"/>
      <c r="H41" s="45"/>
      <c r="I41" s="45"/>
      <c r="J41" s="45"/>
      <c r="K41" s="45"/>
      <c r="L41" s="45"/>
      <c r="M41" s="45"/>
      <c r="N41" s="45"/>
      <c r="O41" s="45"/>
      <c r="P41" s="45"/>
      <c r="Q41" s="45"/>
      <c r="R41" s="45"/>
      <c r="S41" s="45"/>
    </row>
    <row r="42" spans="1:19" x14ac:dyDescent="0.3">
      <c r="A42" s="45"/>
      <c r="B42" s="45"/>
      <c r="C42" s="45"/>
      <c r="D42" s="45"/>
      <c r="E42" s="45"/>
      <c r="F42" s="45"/>
      <c r="G42" s="45"/>
      <c r="H42" s="45"/>
      <c r="I42" s="45"/>
      <c r="J42" s="45"/>
      <c r="K42" s="45"/>
      <c r="L42" s="45"/>
      <c r="M42" s="45"/>
      <c r="N42" s="45"/>
      <c r="O42" s="45"/>
      <c r="P42" s="45"/>
      <c r="Q42" s="45"/>
      <c r="R42" s="45"/>
      <c r="S42" s="45"/>
    </row>
    <row r="43" spans="1:19" x14ac:dyDescent="0.3">
      <c r="A43" s="45"/>
      <c r="B43" s="45"/>
      <c r="C43" s="45"/>
      <c r="D43" s="45"/>
      <c r="E43" s="45"/>
      <c r="F43" s="45"/>
      <c r="G43" s="45"/>
      <c r="H43" s="45"/>
      <c r="I43" s="45"/>
      <c r="J43" s="45"/>
      <c r="K43" s="45"/>
      <c r="L43" s="45"/>
      <c r="M43" s="45"/>
      <c r="N43" s="45"/>
      <c r="O43" s="45"/>
      <c r="P43" s="45"/>
      <c r="Q43" s="45"/>
      <c r="R43" s="45"/>
      <c r="S43" s="45"/>
    </row>
    <row r="44" spans="1:19" x14ac:dyDescent="0.3">
      <c r="A44" s="45"/>
      <c r="B44" s="45"/>
      <c r="C44" s="45"/>
      <c r="D44" s="45"/>
      <c r="E44" s="45"/>
      <c r="F44" s="45"/>
      <c r="G44" s="45"/>
      <c r="H44" s="45"/>
      <c r="I44" s="45"/>
      <c r="J44" s="45"/>
      <c r="K44" s="45"/>
      <c r="L44" s="45"/>
      <c r="M44" s="45"/>
      <c r="N44" s="45"/>
      <c r="O44" s="45"/>
      <c r="P44" s="45"/>
      <c r="Q44" s="45"/>
      <c r="R44" s="45"/>
      <c r="S44" s="45"/>
    </row>
    <row r="45" spans="1:19" x14ac:dyDescent="0.3">
      <c r="A45" s="45"/>
      <c r="B45" s="45"/>
      <c r="C45" s="45"/>
      <c r="D45" s="45"/>
      <c r="E45" s="45"/>
      <c r="F45" s="45"/>
      <c r="G45" s="45"/>
      <c r="H45" s="45"/>
      <c r="I45" s="45"/>
      <c r="J45" s="45"/>
      <c r="K45" s="45"/>
      <c r="L45" s="45"/>
      <c r="M45" s="45"/>
      <c r="N45" s="45"/>
      <c r="O45" s="45"/>
      <c r="P45" s="45"/>
      <c r="Q45" s="45"/>
      <c r="R45" s="45"/>
      <c r="S45" s="45"/>
    </row>
    <row r="46" spans="1:19" x14ac:dyDescent="0.3">
      <c r="A46" s="45"/>
      <c r="B46" s="45"/>
      <c r="C46" s="45"/>
      <c r="D46" s="45"/>
      <c r="E46" s="45"/>
      <c r="F46" s="45"/>
      <c r="G46" s="45"/>
      <c r="H46" s="45"/>
      <c r="I46" s="45"/>
      <c r="J46" s="45"/>
      <c r="K46" s="45"/>
      <c r="L46" s="45"/>
      <c r="M46" s="45"/>
      <c r="N46" s="45"/>
      <c r="O46" s="45"/>
      <c r="P46" s="45"/>
      <c r="Q46" s="45"/>
      <c r="R46" s="45"/>
      <c r="S46" s="45"/>
    </row>
    <row r="47" spans="1:19" x14ac:dyDescent="0.3">
      <c r="A47" s="45"/>
      <c r="B47" s="45"/>
      <c r="C47" s="45"/>
      <c r="D47" s="45"/>
      <c r="E47" s="45"/>
      <c r="F47" s="45"/>
      <c r="G47" s="45"/>
      <c r="H47" s="45"/>
      <c r="I47" s="45"/>
      <c r="J47" s="45"/>
      <c r="K47" s="45"/>
      <c r="L47" s="45"/>
      <c r="M47" s="45"/>
      <c r="N47" s="45"/>
      <c r="O47" s="45"/>
      <c r="P47" s="45"/>
      <c r="Q47" s="45"/>
      <c r="R47" s="45"/>
      <c r="S47" s="45"/>
    </row>
    <row r="48" spans="1:19" x14ac:dyDescent="0.3">
      <c r="A48" s="45"/>
      <c r="B48" s="45"/>
      <c r="C48" s="45"/>
      <c r="D48" s="45"/>
      <c r="E48" s="45"/>
      <c r="F48" s="45"/>
      <c r="G48" s="45"/>
      <c r="H48" s="45"/>
      <c r="I48" s="45"/>
      <c r="J48" s="45"/>
      <c r="K48" s="45"/>
      <c r="L48" s="45"/>
      <c r="M48" s="45"/>
      <c r="N48" s="45"/>
      <c r="O48" s="45"/>
      <c r="P48" s="45"/>
      <c r="Q48" s="45"/>
      <c r="R48" s="45"/>
      <c r="S48" s="45"/>
    </row>
    <row r="49" spans="1:19" x14ac:dyDescent="0.3">
      <c r="A49" s="45"/>
      <c r="B49" s="45"/>
      <c r="C49" s="45"/>
      <c r="D49" s="45"/>
      <c r="E49" s="45"/>
      <c r="F49" s="45"/>
      <c r="G49" s="45"/>
      <c r="H49" s="45"/>
      <c r="I49" s="45"/>
      <c r="J49" s="45"/>
      <c r="K49" s="45"/>
      <c r="L49" s="45"/>
      <c r="M49" s="45"/>
      <c r="N49" s="45"/>
      <c r="O49" s="45"/>
      <c r="P49" s="45"/>
      <c r="Q49" s="45"/>
      <c r="R49" s="45"/>
      <c r="S49" s="45"/>
    </row>
    <row r="50" spans="1:19" x14ac:dyDescent="0.3">
      <c r="A50" s="45"/>
      <c r="B50" s="45"/>
      <c r="C50" s="45"/>
      <c r="D50" s="45"/>
      <c r="E50" s="45"/>
      <c r="F50" s="45"/>
      <c r="G50" s="45"/>
      <c r="H50" s="45"/>
      <c r="I50" s="45"/>
      <c r="J50" s="45"/>
      <c r="K50" s="45"/>
      <c r="L50" s="45"/>
      <c r="M50" s="45"/>
      <c r="N50" s="45"/>
      <c r="O50" s="45"/>
      <c r="P50" s="45"/>
      <c r="Q50" s="45"/>
      <c r="R50" s="45"/>
      <c r="S50" s="45"/>
    </row>
    <row r="51" spans="1:19" x14ac:dyDescent="0.3">
      <c r="A51" s="45"/>
      <c r="B51" s="45"/>
      <c r="C51" s="45"/>
      <c r="D51" s="45"/>
      <c r="E51" s="45"/>
      <c r="F51" s="45"/>
      <c r="G51" s="45"/>
      <c r="H51" s="45"/>
      <c r="I51" s="45"/>
      <c r="J51" s="45"/>
      <c r="K51" s="45"/>
      <c r="L51" s="45"/>
      <c r="M51" s="45"/>
      <c r="N51" s="45"/>
      <c r="O51" s="45"/>
      <c r="P51" s="45"/>
      <c r="Q51" s="45"/>
      <c r="R51" s="45"/>
      <c r="S51" s="45"/>
    </row>
    <row r="52" spans="1:19" x14ac:dyDescent="0.3">
      <c r="A52" s="45"/>
      <c r="B52" s="45"/>
      <c r="C52" s="45"/>
      <c r="D52" s="45"/>
      <c r="E52" s="45"/>
      <c r="F52" s="45"/>
      <c r="G52" s="45"/>
      <c r="H52" s="45"/>
      <c r="I52" s="45"/>
      <c r="J52" s="45"/>
      <c r="K52" s="45"/>
      <c r="L52" s="45"/>
      <c r="M52" s="45"/>
      <c r="N52" s="45"/>
      <c r="O52" s="45"/>
      <c r="P52" s="45"/>
      <c r="Q52" s="45"/>
      <c r="R52" s="45"/>
      <c r="S52" s="45"/>
    </row>
    <row r="53" spans="1:19" x14ac:dyDescent="0.3">
      <c r="A53" s="45"/>
      <c r="B53" s="45"/>
      <c r="C53" s="45"/>
      <c r="D53" s="45"/>
      <c r="E53" s="45"/>
      <c r="F53" s="45"/>
      <c r="G53" s="45"/>
      <c r="H53" s="45"/>
      <c r="I53" s="45"/>
      <c r="J53" s="45"/>
      <c r="K53" s="45"/>
      <c r="L53" s="45"/>
      <c r="M53" s="45"/>
      <c r="N53" s="45"/>
      <c r="O53" s="45"/>
      <c r="P53" s="45"/>
      <c r="Q53" s="45"/>
      <c r="R53" s="45"/>
      <c r="S53" s="45"/>
    </row>
    <row r="54" spans="1:19" x14ac:dyDescent="0.3">
      <c r="A54" s="45"/>
      <c r="B54" s="45"/>
      <c r="C54" s="45"/>
      <c r="D54" s="45"/>
      <c r="E54" s="45"/>
      <c r="F54" s="45"/>
      <c r="G54" s="45"/>
      <c r="H54" s="45"/>
      <c r="I54" s="45"/>
      <c r="J54" s="45"/>
      <c r="K54" s="45"/>
      <c r="L54" s="45"/>
      <c r="M54" s="45"/>
      <c r="N54" s="45"/>
      <c r="O54" s="45"/>
      <c r="P54" s="45"/>
      <c r="Q54" s="45"/>
      <c r="R54" s="45"/>
      <c r="S54" s="45"/>
    </row>
    <row r="55" spans="1:19" x14ac:dyDescent="0.3">
      <c r="A55" s="45"/>
      <c r="B55" s="45"/>
      <c r="C55" s="45"/>
      <c r="D55" s="45"/>
      <c r="E55" s="45"/>
      <c r="F55" s="45"/>
      <c r="G55" s="45"/>
      <c r="H55" s="45"/>
      <c r="I55" s="45"/>
      <c r="J55" s="45"/>
      <c r="K55" s="45"/>
      <c r="L55" s="45"/>
      <c r="M55" s="45"/>
      <c r="N55" s="45"/>
      <c r="O55" s="45"/>
      <c r="P55" s="45"/>
      <c r="Q55" s="45"/>
      <c r="R55" s="45"/>
      <c r="S55" s="45"/>
    </row>
    <row r="56" spans="1:19" x14ac:dyDescent="0.3">
      <c r="A56" s="45"/>
      <c r="B56" s="45"/>
      <c r="C56" s="45"/>
      <c r="D56" s="45"/>
      <c r="E56" s="45"/>
      <c r="F56" s="45"/>
      <c r="G56" s="45"/>
      <c r="H56" s="45"/>
      <c r="I56" s="45"/>
      <c r="J56" s="45"/>
      <c r="K56" s="45"/>
      <c r="L56" s="45"/>
      <c r="M56" s="45"/>
      <c r="N56" s="45"/>
      <c r="O56" s="45"/>
      <c r="P56" s="45"/>
      <c r="Q56" s="45"/>
      <c r="R56" s="45"/>
      <c r="S56" s="45"/>
    </row>
    <row r="57" spans="1:19" x14ac:dyDescent="0.3">
      <c r="A57" s="45"/>
      <c r="B57" s="45"/>
      <c r="C57" s="45"/>
      <c r="D57" s="45"/>
      <c r="E57" s="45"/>
      <c r="F57" s="45"/>
      <c r="G57" s="45"/>
      <c r="H57" s="45"/>
      <c r="I57" s="45"/>
      <c r="J57" s="45"/>
      <c r="K57" s="45"/>
      <c r="L57" s="45"/>
      <c r="M57" s="45"/>
      <c r="N57" s="45"/>
      <c r="O57" s="45"/>
      <c r="P57" s="45"/>
      <c r="Q57" s="45"/>
      <c r="R57" s="45"/>
      <c r="S57" s="45"/>
    </row>
  </sheetData>
  <mergeCells count="6">
    <mergeCell ref="B23:F23"/>
    <mergeCell ref="B30:F30"/>
    <mergeCell ref="B36:F36"/>
    <mergeCell ref="B2:F2"/>
    <mergeCell ref="B5:F5"/>
    <mergeCell ref="B16:F16"/>
  </mergeCells>
  <pageMargins left="0.57999999999999996" right="0.25" top="0.49" bottom="0.27" header="0.25" footer="0.25"/>
  <pageSetup orientation="portrait" r:id="rId1"/>
  <headerFooter alignWithMargins="0">
    <oddHeader>&amp;L&amp;A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K21"/>
  <sheetViews>
    <sheetView showGridLines="0" workbookViewId="0">
      <selection activeCell="J8" sqref="J8"/>
    </sheetView>
  </sheetViews>
  <sheetFormatPr defaultColWidth="12.6640625" defaultRowHeight="15.75" customHeight="1" x14ac:dyDescent="0.3"/>
  <cols>
    <col min="1" max="1" width="2.6640625" style="85" customWidth="1"/>
    <col min="2" max="2" width="42.33203125" style="85" bestFit="1" customWidth="1"/>
    <col min="3" max="3" width="8.33203125" style="85" customWidth="1"/>
    <col min="4" max="5" width="11.33203125" style="85" customWidth="1"/>
    <col min="6" max="6" width="10.33203125" style="85" customWidth="1"/>
    <col min="7" max="7" width="12.6640625" style="85" customWidth="1"/>
    <col min="8" max="10" width="9.44140625" style="85" customWidth="1"/>
    <col min="11" max="11" width="34.6640625" style="85" customWidth="1"/>
    <col min="12" max="12" width="11.44140625" style="85" customWidth="1"/>
    <col min="13" max="13" width="8.6640625" style="85" customWidth="1"/>
    <col min="14" max="14" width="7.33203125" style="85" customWidth="1"/>
    <col min="15" max="15" width="14.6640625" style="85" customWidth="1"/>
    <col min="16" max="16" width="8.33203125" style="85" customWidth="1"/>
    <col min="17" max="17" width="11.44140625" style="85" customWidth="1"/>
    <col min="18" max="18" width="8.6640625" style="85" customWidth="1"/>
    <col min="19" max="16384" width="12.6640625" style="85"/>
  </cols>
  <sheetData>
    <row r="1" spans="2:11" ht="5.4" customHeight="1" thickBot="1" x14ac:dyDescent="0.35"/>
    <row r="2" spans="2:11" ht="36" customHeight="1" thickBot="1" x14ac:dyDescent="0.35">
      <c r="B2" s="314" t="str">
        <f>_xlfn.CONCAT("Summary of Efforts for :- ", 'Estimation Details'!C6)</f>
        <v>Summary of Efforts for :- 90000 - DIOOOJ</v>
      </c>
      <c r="C2" s="314"/>
      <c r="D2" s="314"/>
      <c r="E2" s="314"/>
      <c r="F2" s="314"/>
      <c r="G2" s="314"/>
      <c r="H2" s="314"/>
      <c r="I2" s="314"/>
      <c r="J2" s="314"/>
      <c r="K2" s="314"/>
    </row>
    <row r="3" spans="2:11" ht="55.2" customHeight="1" x14ac:dyDescent="0.3">
      <c r="B3" s="155" t="s">
        <v>121</v>
      </c>
      <c r="C3" s="156" t="s">
        <v>122</v>
      </c>
      <c r="D3" s="157" t="s">
        <v>123</v>
      </c>
      <c r="E3" s="157" t="s">
        <v>124</v>
      </c>
      <c r="F3" s="157" t="s">
        <v>125</v>
      </c>
      <c r="G3" s="157" t="s">
        <v>126</v>
      </c>
      <c r="H3" s="157" t="s">
        <v>127</v>
      </c>
      <c r="I3" s="157" t="s">
        <v>128</v>
      </c>
      <c r="J3" s="157" t="s">
        <v>129</v>
      </c>
      <c r="K3" s="158" t="s">
        <v>130</v>
      </c>
    </row>
    <row r="4" spans="2:11" ht="14.4" x14ac:dyDescent="0.3">
      <c r="B4" s="32" t="s">
        <v>131</v>
      </c>
      <c r="C4" s="33" t="s">
        <v>132</v>
      </c>
      <c r="D4" s="34">
        <v>0.05</v>
      </c>
      <c r="E4" s="34">
        <f>IF($F$20&gt;0,F4/$F$20,0)</f>
        <v>0</v>
      </c>
      <c r="F4" s="35">
        <f>$F$8*D4</f>
        <v>0</v>
      </c>
      <c r="G4" s="40"/>
      <c r="H4" s="24">
        <f>IF(G4&gt;0,G4,F4)</f>
        <v>0</v>
      </c>
      <c r="I4" s="24">
        <f>H4/Config!$H$3</f>
        <v>0</v>
      </c>
      <c r="J4" s="24">
        <f>I4/Config!$H$4</f>
        <v>0</v>
      </c>
      <c r="K4" s="1"/>
    </row>
    <row r="5" spans="2:11" ht="14.4" x14ac:dyDescent="0.3">
      <c r="B5" s="32" t="s">
        <v>133</v>
      </c>
      <c r="C5" s="33" t="s">
        <v>134</v>
      </c>
      <c r="D5" s="34">
        <v>0.2</v>
      </c>
      <c r="E5" s="34">
        <f t="shared" ref="E5:E14" si="0">IF($F$20&gt;0,F5/$F$20,0)</f>
        <v>0</v>
      </c>
      <c r="F5" s="35">
        <f>$F$8*D5</f>
        <v>0</v>
      </c>
      <c r="G5" s="40"/>
      <c r="H5" s="24">
        <f t="shared" ref="H5:H15" si="1">IF(G5&gt;0,G5,F5)</f>
        <v>0</v>
      </c>
      <c r="I5" s="24">
        <f>H5/Config!$H$3</f>
        <v>0</v>
      </c>
      <c r="J5" s="24">
        <f>I5/Config!$H$4</f>
        <v>0</v>
      </c>
      <c r="K5" s="1"/>
    </row>
    <row r="6" spans="2:11" ht="14.4" x14ac:dyDescent="0.3">
      <c r="B6" s="32" t="s">
        <v>135</v>
      </c>
      <c r="C6" s="33" t="s">
        <v>136</v>
      </c>
      <c r="D6" s="34">
        <v>0.2</v>
      </c>
      <c r="E6" s="34">
        <f t="shared" si="0"/>
        <v>0</v>
      </c>
      <c r="F6" s="35">
        <f t="shared" ref="F6" si="2">$F$8*D6</f>
        <v>0</v>
      </c>
      <c r="G6" s="40"/>
      <c r="H6" s="24">
        <f t="shared" si="1"/>
        <v>0</v>
      </c>
      <c r="I6" s="24">
        <f>H6/Config!$H$3</f>
        <v>0</v>
      </c>
      <c r="J6" s="24">
        <f>I6/Config!$H$4</f>
        <v>0</v>
      </c>
      <c r="K6" s="1"/>
    </row>
    <row r="7" spans="2:11" ht="14.4" x14ac:dyDescent="0.3">
      <c r="B7" s="32" t="s">
        <v>137</v>
      </c>
      <c r="C7" s="33" t="s">
        <v>138</v>
      </c>
      <c r="D7" s="34">
        <v>0.2</v>
      </c>
      <c r="E7" s="34">
        <f t="shared" si="0"/>
        <v>0</v>
      </c>
      <c r="F7" s="35">
        <f>$F$8*D7</f>
        <v>0</v>
      </c>
      <c r="G7" s="40"/>
      <c r="H7" s="24">
        <f t="shared" si="1"/>
        <v>0</v>
      </c>
      <c r="I7" s="24">
        <f>H7/Config!$H$3</f>
        <v>0</v>
      </c>
      <c r="J7" s="24">
        <f>I7/Config!$H$4</f>
        <v>0</v>
      </c>
      <c r="K7" s="1"/>
    </row>
    <row r="8" spans="2:11" ht="14.4" x14ac:dyDescent="0.3">
      <c r="B8" s="36" t="s">
        <v>139</v>
      </c>
      <c r="C8" s="37" t="s">
        <v>140</v>
      </c>
      <c r="D8" s="38">
        <v>1</v>
      </c>
      <c r="E8" s="38">
        <f t="shared" si="0"/>
        <v>0</v>
      </c>
      <c r="F8" s="39">
        <f>'Estimation-WBS'!O5*D21</f>
        <v>0</v>
      </c>
      <c r="G8" s="41"/>
      <c r="H8" s="24">
        <f t="shared" si="1"/>
        <v>0</v>
      </c>
      <c r="I8" s="24">
        <f>H8/Config!$H$3</f>
        <v>0</v>
      </c>
      <c r="J8" s="24">
        <f>I8/Config!$H$4</f>
        <v>0</v>
      </c>
      <c r="K8" s="1"/>
    </row>
    <row r="9" spans="2:11" ht="14.4" x14ac:dyDescent="0.3">
      <c r="B9" s="32" t="s">
        <v>141</v>
      </c>
      <c r="C9" s="33" t="s">
        <v>142</v>
      </c>
      <c r="D9" s="34">
        <v>0.2</v>
      </c>
      <c r="E9" s="34">
        <f t="shared" si="0"/>
        <v>0</v>
      </c>
      <c r="F9" s="35">
        <f>$F$8*D9</f>
        <v>0</v>
      </c>
      <c r="G9" s="40"/>
      <c r="H9" s="24">
        <f t="shared" si="1"/>
        <v>0</v>
      </c>
      <c r="I9" s="24">
        <f>H9/Config!$H$3</f>
        <v>0</v>
      </c>
      <c r="J9" s="24">
        <f>I9/Config!$H$4</f>
        <v>0</v>
      </c>
      <c r="K9" s="1"/>
    </row>
    <row r="10" spans="2:11" ht="14.4" x14ac:dyDescent="0.3">
      <c r="B10" s="32" t="s">
        <v>143</v>
      </c>
      <c r="C10" s="33" t="s">
        <v>144</v>
      </c>
      <c r="D10" s="34">
        <v>0.2</v>
      </c>
      <c r="E10" s="34">
        <f t="shared" si="0"/>
        <v>0</v>
      </c>
      <c r="F10" s="35">
        <f t="shared" ref="F10:F14" si="3">$F$8*D10</f>
        <v>0</v>
      </c>
      <c r="G10" s="40"/>
      <c r="H10" s="24">
        <f t="shared" si="1"/>
        <v>0</v>
      </c>
      <c r="I10" s="24">
        <f>H10/Config!$H$3</f>
        <v>0</v>
      </c>
      <c r="J10" s="24">
        <f>I10/Config!$H$4</f>
        <v>0</v>
      </c>
      <c r="K10" s="1"/>
    </row>
    <row r="11" spans="2:11" ht="14.4" x14ac:dyDescent="0.3">
      <c r="B11" s="32" t="s">
        <v>145</v>
      </c>
      <c r="C11" s="33" t="s">
        <v>146</v>
      </c>
      <c r="D11" s="34">
        <v>0.1</v>
      </c>
      <c r="E11" s="34">
        <f t="shared" si="0"/>
        <v>0</v>
      </c>
      <c r="F11" s="35">
        <f t="shared" si="3"/>
        <v>0</v>
      </c>
      <c r="G11" s="40"/>
      <c r="H11" s="24">
        <f t="shared" si="1"/>
        <v>0</v>
      </c>
      <c r="I11" s="24">
        <f>H11/Config!$H$3</f>
        <v>0</v>
      </c>
      <c r="J11" s="24">
        <f>I11/Config!$H$4</f>
        <v>0</v>
      </c>
      <c r="K11" s="1"/>
    </row>
    <row r="12" spans="2:11" ht="14.4" x14ac:dyDescent="0.3">
      <c r="B12" s="32" t="s">
        <v>147</v>
      </c>
      <c r="C12" s="33" t="s">
        <v>148</v>
      </c>
      <c r="D12" s="34">
        <v>0.1</v>
      </c>
      <c r="E12" s="34">
        <f t="shared" si="0"/>
        <v>0</v>
      </c>
      <c r="F12" s="35">
        <f t="shared" si="3"/>
        <v>0</v>
      </c>
      <c r="G12" s="40"/>
      <c r="H12" s="24">
        <f t="shared" si="1"/>
        <v>0</v>
      </c>
      <c r="I12" s="24">
        <f>H12/Config!$H$3</f>
        <v>0</v>
      </c>
      <c r="J12" s="24">
        <f>I12/Config!$H$4</f>
        <v>0</v>
      </c>
      <c r="K12" s="1"/>
    </row>
    <row r="13" spans="2:11" ht="14.4" x14ac:dyDescent="0.3">
      <c r="B13" s="32" t="s">
        <v>149</v>
      </c>
      <c r="C13" s="33" t="s">
        <v>150</v>
      </c>
      <c r="D13" s="34">
        <v>0.1</v>
      </c>
      <c r="E13" s="34">
        <f t="shared" si="0"/>
        <v>0</v>
      </c>
      <c r="F13" s="35">
        <f t="shared" si="3"/>
        <v>0</v>
      </c>
      <c r="G13" s="40"/>
      <c r="H13" s="24">
        <f t="shared" si="1"/>
        <v>0</v>
      </c>
      <c r="I13" s="24">
        <f>H13/Config!$H$3</f>
        <v>0</v>
      </c>
      <c r="J13" s="24">
        <f>I13/Config!$H$4</f>
        <v>0</v>
      </c>
      <c r="K13" s="1"/>
    </row>
    <row r="14" spans="2:11" ht="14.4" x14ac:dyDescent="0.3">
      <c r="B14" s="32" t="s">
        <v>151</v>
      </c>
      <c r="C14" s="33" t="s">
        <v>152</v>
      </c>
      <c r="D14" s="34">
        <v>0.1</v>
      </c>
      <c r="E14" s="34">
        <f t="shared" si="0"/>
        <v>0</v>
      </c>
      <c r="F14" s="35">
        <f t="shared" si="3"/>
        <v>0</v>
      </c>
      <c r="G14" s="40"/>
      <c r="H14" s="24">
        <f t="shared" si="1"/>
        <v>0</v>
      </c>
      <c r="I14" s="24">
        <f>H14/Config!$H$3</f>
        <v>0</v>
      </c>
      <c r="J14" s="24">
        <f>I14/Config!$H$4</f>
        <v>0</v>
      </c>
      <c r="K14" s="1"/>
    </row>
    <row r="15" spans="2:11" ht="14.4" x14ac:dyDescent="0.3">
      <c r="B15" s="268" t="s">
        <v>153</v>
      </c>
      <c r="C15" s="269" t="s">
        <v>154</v>
      </c>
      <c r="D15" s="270"/>
      <c r="E15" s="34">
        <f>IF($F$20&gt;0,F15/$F$20,0)</f>
        <v>0</v>
      </c>
      <c r="F15" s="271"/>
      <c r="G15" s="40"/>
      <c r="H15" s="24">
        <f t="shared" si="1"/>
        <v>0</v>
      </c>
      <c r="I15" s="24">
        <f>H15/Config!$H$3</f>
        <v>0</v>
      </c>
      <c r="J15" s="24">
        <f>I15/Config!$H$4</f>
        <v>0</v>
      </c>
      <c r="K15" s="1"/>
    </row>
    <row r="16" spans="2:11" ht="14.4" x14ac:dyDescent="0.3">
      <c r="B16" s="176" t="s">
        <v>155</v>
      </c>
      <c r="C16" s="177"/>
      <c r="D16" s="178">
        <f>SUM(D4:D15)</f>
        <v>2.4500000000000002</v>
      </c>
      <c r="E16" s="178"/>
      <c r="F16" s="175">
        <f>SUM(F4:F15)</f>
        <v>0</v>
      </c>
      <c r="G16" s="179"/>
      <c r="H16" s="174">
        <f>SUM(H4:H15)</f>
        <v>0</v>
      </c>
      <c r="I16" s="174">
        <f t="shared" ref="I16:J16" si="4">SUM(I4:I15)</f>
        <v>0</v>
      </c>
      <c r="J16" s="174">
        <f t="shared" si="4"/>
        <v>0</v>
      </c>
      <c r="K16" s="1"/>
    </row>
    <row r="17" spans="2:11" ht="14.4" x14ac:dyDescent="0.3">
      <c r="B17" s="176" t="s">
        <v>156</v>
      </c>
      <c r="C17" s="180"/>
      <c r="D17" s="181">
        <v>0.2</v>
      </c>
      <c r="E17" s="181">
        <f>IF($F$20&gt;0,F17/$F$20,0)</f>
        <v>0</v>
      </c>
      <c r="F17" s="175">
        <f>F16*$D$17</f>
        <v>0</v>
      </c>
      <c r="G17" s="179"/>
      <c r="H17" s="174">
        <f>H16*$D$17</f>
        <v>0</v>
      </c>
      <c r="I17" s="174">
        <f t="shared" ref="I17:J17" si="5">I16*$D$17</f>
        <v>0</v>
      </c>
      <c r="J17" s="174">
        <f t="shared" si="5"/>
        <v>0</v>
      </c>
      <c r="K17" s="1"/>
    </row>
    <row r="18" spans="2:11" ht="14.4" x14ac:dyDescent="0.3">
      <c r="B18" s="176" t="s">
        <v>157</v>
      </c>
      <c r="C18" s="180"/>
      <c r="D18" s="180"/>
      <c r="E18" s="181">
        <f>IF($F$20&gt;0,F18/$F$20,0)</f>
        <v>0</v>
      </c>
      <c r="F18" s="174">
        <f>SUM(F16:F17)</f>
        <v>0</v>
      </c>
      <c r="G18" s="179"/>
      <c r="H18" s="174">
        <f t="shared" ref="H18:J18" si="6">SUM(H16:H17)</f>
        <v>0</v>
      </c>
      <c r="I18" s="174">
        <f t="shared" si="6"/>
        <v>0</v>
      </c>
      <c r="J18" s="174">
        <f t="shared" si="6"/>
        <v>0</v>
      </c>
      <c r="K18" s="1"/>
    </row>
    <row r="19" spans="2:11" ht="14.4" x14ac:dyDescent="0.3">
      <c r="B19" s="176" t="s">
        <v>158</v>
      </c>
      <c r="C19" s="180"/>
      <c r="D19" s="182">
        <v>10</v>
      </c>
      <c r="E19" s="181">
        <f>IF($F$20&gt;0,F19/$F$20,0)</f>
        <v>0</v>
      </c>
      <c r="F19" s="174">
        <f>F18*$D$19/100</f>
        <v>0</v>
      </c>
      <c r="G19" s="179"/>
      <c r="H19" s="174">
        <f>H18*$D$19/100</f>
        <v>0</v>
      </c>
      <c r="I19" s="174">
        <f>I18*$D$19/100</f>
        <v>0</v>
      </c>
      <c r="J19" s="174">
        <f>J18*$D$19/100</f>
        <v>0</v>
      </c>
      <c r="K19" s="1"/>
    </row>
    <row r="20" spans="2:11" ht="27.6" x14ac:dyDescent="0.3">
      <c r="B20" s="159" t="s">
        <v>159</v>
      </c>
      <c r="C20" s="160"/>
      <c r="D20" s="161"/>
      <c r="E20" s="161"/>
      <c r="F20" s="162">
        <f>F18+F19</f>
        <v>0</v>
      </c>
      <c r="G20" s="160"/>
      <c r="H20" s="162">
        <f t="shared" ref="H20:J20" si="7">H18+H19</f>
        <v>0</v>
      </c>
      <c r="I20" s="162">
        <f t="shared" si="7"/>
        <v>0</v>
      </c>
      <c r="J20" s="162">
        <f t="shared" si="7"/>
        <v>0</v>
      </c>
      <c r="K20" s="163"/>
    </row>
    <row r="21" spans="2:11" ht="37.950000000000003" customHeight="1" thickBot="1" x14ac:dyDescent="0.35">
      <c r="B21" s="2" t="s">
        <v>160</v>
      </c>
      <c r="C21" s="3"/>
      <c r="D21" s="183">
        <v>1</v>
      </c>
      <c r="E21" s="4"/>
      <c r="F21" s="4"/>
      <c r="G21" s="5"/>
      <c r="H21" s="6"/>
      <c r="I21" s="7"/>
      <c r="J21" s="7"/>
      <c r="K21" s="8"/>
    </row>
  </sheetData>
  <mergeCells count="1">
    <mergeCell ref="B2:K2"/>
  </mergeCells>
  <pageMargins left="0.7" right="0.7" top="0.75" bottom="0.75" header="0.3" footer="0.3"/>
  <ignoredErrors>
    <ignoredError sqref="F8" 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AED28F51-8838-46C7-8E2C-79237E8A3851}">
          <x14:formula1>
            <xm:f>Config!$P$3:$P$4</xm:f>
          </x14:formula1>
          <xm:sqref>D19:D20 E20</xm:sqref>
        </x14:dataValidation>
        <x14:dataValidation type="list" allowBlank="1" showInputMessage="1" showErrorMessage="1" xr:uid="{605FE7E6-EAE8-4FE8-A484-A2880FFEC36D}">
          <x14:formula1>
            <xm:f>Config!$R$3:$R$10</xm:f>
          </x14:formula1>
          <xm:sqref>D21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6A49D-A329-46D1-BAFE-A41240BBB19A}">
  <sheetPr>
    <tabColor theme="8"/>
  </sheetPr>
  <dimension ref="B1:O29"/>
  <sheetViews>
    <sheetView showGridLines="0" zoomScaleNormal="100" workbookViewId="0">
      <selection activeCell="E5" sqref="E5"/>
    </sheetView>
  </sheetViews>
  <sheetFormatPr defaultColWidth="8.6640625" defaultRowHeight="13.8" x14ac:dyDescent="0.3"/>
  <cols>
    <col min="1" max="1" width="1.6640625" style="85" customWidth="1"/>
    <col min="2" max="2" width="6.33203125" style="85" customWidth="1"/>
    <col min="3" max="3" width="34.33203125" style="85" customWidth="1"/>
    <col min="4" max="4" width="13.33203125" style="87" customWidth="1"/>
    <col min="5" max="6" width="11.33203125" style="87" customWidth="1"/>
    <col min="7" max="7" width="12.33203125" style="87" customWidth="1"/>
    <col min="8" max="8" width="26.44140625" style="87" hidden="1" customWidth="1"/>
    <col min="9" max="15" width="11.33203125" style="85" customWidth="1"/>
    <col min="16" max="16384" width="8.6640625" style="85"/>
  </cols>
  <sheetData>
    <row r="1" spans="2:15" ht="9" customHeight="1" thickBot="1" x14ac:dyDescent="0.35"/>
    <row r="2" spans="2:15" ht="30" customHeight="1" thickBot="1" x14ac:dyDescent="0.35">
      <c r="B2" s="281" t="s">
        <v>161</v>
      </c>
      <c r="C2" s="282"/>
      <c r="D2" s="282"/>
      <c r="E2" s="283"/>
      <c r="F2" s="283"/>
      <c r="G2" s="283"/>
      <c r="H2" s="282"/>
      <c r="I2" s="282"/>
      <c r="J2" s="282"/>
      <c r="K2" s="282"/>
      <c r="L2" s="283"/>
      <c r="M2" s="283"/>
      <c r="N2" s="283"/>
      <c r="O2" s="284"/>
    </row>
    <row r="3" spans="2:15" ht="41.7" customHeight="1" x14ac:dyDescent="0.3">
      <c r="B3" s="290" t="s">
        <v>162</v>
      </c>
      <c r="C3" s="288" t="s">
        <v>163</v>
      </c>
      <c r="D3" s="292" t="s">
        <v>164</v>
      </c>
      <c r="E3" s="298" t="s">
        <v>165</v>
      </c>
      <c r="F3" s="294"/>
      <c r="G3" s="296"/>
      <c r="H3" s="294" t="s">
        <v>166</v>
      </c>
      <c r="I3" s="285" t="s">
        <v>167</v>
      </c>
      <c r="J3" s="286"/>
      <c r="K3" s="287"/>
      <c r="L3" s="285" t="s">
        <v>168</v>
      </c>
      <c r="M3" s="286"/>
      <c r="N3" s="287"/>
      <c r="O3" s="296" t="s">
        <v>169</v>
      </c>
    </row>
    <row r="4" spans="2:15" ht="14.4" thickBot="1" x14ac:dyDescent="0.35">
      <c r="B4" s="291"/>
      <c r="C4" s="289"/>
      <c r="D4" s="293"/>
      <c r="E4" s="186" t="s">
        <v>170</v>
      </c>
      <c r="F4" s="165" t="s">
        <v>171</v>
      </c>
      <c r="G4" s="187" t="s">
        <v>172</v>
      </c>
      <c r="H4" s="295"/>
      <c r="I4" s="188" t="s">
        <v>173</v>
      </c>
      <c r="J4" s="189" t="s">
        <v>174</v>
      </c>
      <c r="K4" s="190" t="s">
        <v>175</v>
      </c>
      <c r="L4" s="188" t="s">
        <v>173</v>
      </c>
      <c r="M4" s="189" t="s">
        <v>174</v>
      </c>
      <c r="N4" s="190" t="s">
        <v>175</v>
      </c>
      <c r="O4" s="297"/>
    </row>
    <row r="5" spans="2:15" ht="14.4" x14ac:dyDescent="0.3">
      <c r="B5" s="9" t="s">
        <v>176</v>
      </c>
      <c r="C5" s="10"/>
      <c r="D5" s="224" t="s">
        <v>177</v>
      </c>
      <c r="E5" s="197">
        <f>SUM(E6:E29)</f>
        <v>0</v>
      </c>
      <c r="F5" s="11">
        <f>SUM(F6:F29)</f>
        <v>0</v>
      </c>
      <c r="G5" s="198">
        <f>SUM(G6:G29)</f>
        <v>0</v>
      </c>
      <c r="H5" s="194"/>
      <c r="I5" s="203">
        <f t="shared" ref="I5:O5" si="0">SUM(I6:I29)</f>
        <v>0</v>
      </c>
      <c r="J5" s="204">
        <f t="shared" si="0"/>
        <v>0</v>
      </c>
      <c r="K5" s="205">
        <f t="shared" si="0"/>
        <v>0</v>
      </c>
      <c r="L5" s="203">
        <f t="shared" si="0"/>
        <v>0</v>
      </c>
      <c r="M5" s="204">
        <f t="shared" si="0"/>
        <v>0</v>
      </c>
      <c r="N5" s="206">
        <f t="shared" si="0"/>
        <v>0</v>
      </c>
      <c r="O5" s="191">
        <f t="shared" si="0"/>
        <v>0</v>
      </c>
    </row>
    <row r="6" spans="2:15" ht="14.4" x14ac:dyDescent="0.3">
      <c r="B6" s="266">
        <v>1</v>
      </c>
      <c r="C6" s="254"/>
      <c r="D6" s="252"/>
      <c r="E6" s="199"/>
      <c r="F6" s="12"/>
      <c r="G6" s="200"/>
      <c r="H6" s="195" t="str">
        <f t="shared" ref="H6:H29" si="1">C6&amp;"|"&amp;D6</f>
        <v>|</v>
      </c>
      <c r="I6" s="207" cm="1">
        <f t="array" ref="I6:K6">_xlfn.XLOOKUP(H6,'Complexity &amp; Effort'!F:F,'Complexity &amp; Effort'!G:I,0)</f>
        <v>0</v>
      </c>
      <c r="J6" s="208">
        <v>0</v>
      </c>
      <c r="K6" s="209">
        <v>0</v>
      </c>
      <c r="L6" s="210">
        <f t="shared" ref="L6:L29" si="2">E6*I6</f>
        <v>0</v>
      </c>
      <c r="M6" s="211">
        <f t="shared" ref="M6:M29" si="3">F6*J6</f>
        <v>0</v>
      </c>
      <c r="N6" s="212">
        <f t="shared" ref="N6:N29" si="4">G6*K6</f>
        <v>0</v>
      </c>
      <c r="O6" s="192">
        <f t="shared" ref="O6:O29" si="5">SUM(L6:N6)</f>
        <v>0</v>
      </c>
    </row>
    <row r="7" spans="2:15" ht="14.4" x14ac:dyDescent="0.3">
      <c r="B7" s="266">
        <v>2</v>
      </c>
      <c r="C7" s="254"/>
      <c r="D7" s="252"/>
      <c r="E7" s="199"/>
      <c r="F7" s="12"/>
      <c r="G7" s="200"/>
      <c r="H7" s="195" t="str">
        <f t="shared" si="1"/>
        <v>|</v>
      </c>
      <c r="I7" s="207" cm="1">
        <f t="array" ref="I7:K7">_xlfn.XLOOKUP(H7,'Complexity &amp; Effort'!F:F,'Complexity &amp; Effort'!G:I,0)</f>
        <v>0</v>
      </c>
      <c r="J7" s="208">
        <v>0</v>
      </c>
      <c r="K7" s="209">
        <v>0</v>
      </c>
      <c r="L7" s="210">
        <f t="shared" si="2"/>
        <v>0</v>
      </c>
      <c r="M7" s="211">
        <f t="shared" si="3"/>
        <v>0</v>
      </c>
      <c r="N7" s="212">
        <f t="shared" si="4"/>
        <v>0</v>
      </c>
      <c r="O7" s="192">
        <f t="shared" si="5"/>
        <v>0</v>
      </c>
    </row>
    <row r="8" spans="2:15" ht="14.4" x14ac:dyDescent="0.3">
      <c r="B8" s="266">
        <v>3</v>
      </c>
      <c r="C8" s="254"/>
      <c r="D8" s="252"/>
      <c r="E8" s="199"/>
      <c r="F8" s="12"/>
      <c r="G8" s="200"/>
      <c r="H8" s="195" t="str">
        <f t="shared" si="1"/>
        <v>|</v>
      </c>
      <c r="I8" s="207" cm="1">
        <f t="array" ref="I8:K8">_xlfn.XLOOKUP(H8,'Complexity &amp; Effort'!F:F,'Complexity &amp; Effort'!G:I,0)</f>
        <v>0</v>
      </c>
      <c r="J8" s="208">
        <v>0</v>
      </c>
      <c r="K8" s="209">
        <v>0</v>
      </c>
      <c r="L8" s="210">
        <f>E8*I8</f>
        <v>0</v>
      </c>
      <c r="M8" s="211">
        <f t="shared" si="3"/>
        <v>0</v>
      </c>
      <c r="N8" s="212">
        <f t="shared" si="4"/>
        <v>0</v>
      </c>
      <c r="O8" s="192">
        <f t="shared" si="5"/>
        <v>0</v>
      </c>
    </row>
    <row r="9" spans="2:15" ht="14.4" x14ac:dyDescent="0.3">
      <c r="B9" s="266">
        <v>4</v>
      </c>
      <c r="C9" s="254"/>
      <c r="D9" s="252"/>
      <c r="E9" s="199"/>
      <c r="F9" s="12"/>
      <c r="G9" s="200"/>
      <c r="H9" s="195" t="str">
        <f t="shared" si="1"/>
        <v>|</v>
      </c>
      <c r="I9" s="207" cm="1">
        <f t="array" ref="I9:K9">_xlfn.XLOOKUP(H9,'Complexity &amp; Effort'!F:F,'Complexity &amp; Effort'!G:I,0)</f>
        <v>0</v>
      </c>
      <c r="J9" s="208">
        <v>0</v>
      </c>
      <c r="K9" s="209">
        <v>0</v>
      </c>
      <c r="L9" s="210">
        <f t="shared" si="2"/>
        <v>0</v>
      </c>
      <c r="M9" s="211">
        <f t="shared" si="3"/>
        <v>0</v>
      </c>
      <c r="N9" s="212">
        <f t="shared" si="4"/>
        <v>0</v>
      </c>
      <c r="O9" s="192">
        <f t="shared" si="5"/>
        <v>0</v>
      </c>
    </row>
    <row r="10" spans="2:15" ht="14.4" x14ac:dyDescent="0.3">
      <c r="B10" s="266">
        <v>5</v>
      </c>
      <c r="C10" s="254"/>
      <c r="D10" s="252"/>
      <c r="E10" s="199"/>
      <c r="F10" s="12"/>
      <c r="G10" s="200"/>
      <c r="H10" s="195" t="str">
        <f>C10&amp;"|"&amp;D10</f>
        <v>|</v>
      </c>
      <c r="I10" s="207" cm="1">
        <f t="array" ref="I10:K10">_xlfn.XLOOKUP(H10,'Complexity &amp; Effort'!F:F,'Complexity &amp; Effort'!G:I,0)</f>
        <v>0</v>
      </c>
      <c r="J10" s="208">
        <v>0</v>
      </c>
      <c r="K10" s="209">
        <v>0</v>
      </c>
      <c r="L10" s="210">
        <f t="shared" si="2"/>
        <v>0</v>
      </c>
      <c r="M10" s="211">
        <f t="shared" si="3"/>
        <v>0</v>
      </c>
      <c r="N10" s="212">
        <f t="shared" si="4"/>
        <v>0</v>
      </c>
      <c r="O10" s="192">
        <f t="shared" si="5"/>
        <v>0</v>
      </c>
    </row>
    <row r="11" spans="2:15" ht="14.4" x14ac:dyDescent="0.3">
      <c r="B11" s="266">
        <v>6</v>
      </c>
      <c r="C11" s="254"/>
      <c r="D11" s="252"/>
      <c r="E11" s="199"/>
      <c r="F11" s="12"/>
      <c r="G11" s="200"/>
      <c r="H11" s="195" t="str">
        <f t="shared" si="1"/>
        <v>|</v>
      </c>
      <c r="I11" s="207" cm="1">
        <f t="array" ref="I11:K11">_xlfn.XLOOKUP(H11,'Complexity &amp; Effort'!F:F,'Complexity &amp; Effort'!G:I,0)</f>
        <v>0</v>
      </c>
      <c r="J11" s="208">
        <v>0</v>
      </c>
      <c r="K11" s="209">
        <v>0</v>
      </c>
      <c r="L11" s="210">
        <f t="shared" si="2"/>
        <v>0</v>
      </c>
      <c r="M11" s="211">
        <f t="shared" si="3"/>
        <v>0</v>
      </c>
      <c r="N11" s="212">
        <f t="shared" si="4"/>
        <v>0</v>
      </c>
      <c r="O11" s="192">
        <f t="shared" si="5"/>
        <v>0</v>
      </c>
    </row>
    <row r="12" spans="2:15" ht="14.4" x14ac:dyDescent="0.3">
      <c r="B12" s="266">
        <v>7</v>
      </c>
      <c r="C12" s="254"/>
      <c r="D12" s="252"/>
      <c r="E12" s="199"/>
      <c r="F12" s="12"/>
      <c r="G12" s="200"/>
      <c r="H12" s="195" t="str">
        <f t="shared" si="1"/>
        <v>|</v>
      </c>
      <c r="I12" s="207" cm="1">
        <f t="array" ref="I12:K12">_xlfn.XLOOKUP(H12,'Complexity &amp; Effort'!F:F,'Complexity &amp; Effort'!G:I,0)</f>
        <v>0</v>
      </c>
      <c r="J12" s="208">
        <v>0</v>
      </c>
      <c r="K12" s="209">
        <v>0</v>
      </c>
      <c r="L12" s="210">
        <f t="shared" si="2"/>
        <v>0</v>
      </c>
      <c r="M12" s="211">
        <f t="shared" si="3"/>
        <v>0</v>
      </c>
      <c r="N12" s="212">
        <f t="shared" si="4"/>
        <v>0</v>
      </c>
      <c r="O12" s="192">
        <f t="shared" si="5"/>
        <v>0</v>
      </c>
    </row>
    <row r="13" spans="2:15" ht="14.4" x14ac:dyDescent="0.3">
      <c r="B13" s="266">
        <v>8</v>
      </c>
      <c r="C13" s="254"/>
      <c r="D13" s="252"/>
      <c r="E13" s="199"/>
      <c r="F13" s="12"/>
      <c r="G13" s="200"/>
      <c r="H13" s="195" t="str">
        <f t="shared" si="1"/>
        <v>|</v>
      </c>
      <c r="I13" s="207" cm="1">
        <f t="array" ref="I13:K13">_xlfn.XLOOKUP(H13,'Complexity &amp; Effort'!F:F,'Complexity &amp; Effort'!G:I,0)</f>
        <v>0</v>
      </c>
      <c r="J13" s="208">
        <v>0</v>
      </c>
      <c r="K13" s="209">
        <v>0</v>
      </c>
      <c r="L13" s="210">
        <f t="shared" si="2"/>
        <v>0</v>
      </c>
      <c r="M13" s="211">
        <f t="shared" si="3"/>
        <v>0</v>
      </c>
      <c r="N13" s="212">
        <f t="shared" si="4"/>
        <v>0</v>
      </c>
      <c r="O13" s="192">
        <f t="shared" si="5"/>
        <v>0</v>
      </c>
    </row>
    <row r="14" spans="2:15" ht="14.4" x14ac:dyDescent="0.3">
      <c r="B14" s="266">
        <v>9</v>
      </c>
      <c r="C14" s="254"/>
      <c r="D14" s="252"/>
      <c r="E14" s="199"/>
      <c r="F14" s="12"/>
      <c r="G14" s="200"/>
      <c r="H14" s="195" t="str">
        <f t="shared" si="1"/>
        <v>|</v>
      </c>
      <c r="I14" s="207" cm="1">
        <f t="array" ref="I14:K14">_xlfn.XLOOKUP(H14,'Complexity &amp; Effort'!F:F,'Complexity &amp; Effort'!G:I,0)</f>
        <v>0</v>
      </c>
      <c r="J14" s="208">
        <v>0</v>
      </c>
      <c r="K14" s="209">
        <v>0</v>
      </c>
      <c r="L14" s="210">
        <f t="shared" si="2"/>
        <v>0</v>
      </c>
      <c r="M14" s="211">
        <f t="shared" si="3"/>
        <v>0</v>
      </c>
      <c r="N14" s="212">
        <f t="shared" si="4"/>
        <v>0</v>
      </c>
      <c r="O14" s="192">
        <f t="shared" si="5"/>
        <v>0</v>
      </c>
    </row>
    <row r="15" spans="2:15" ht="14.4" x14ac:dyDescent="0.3">
      <c r="B15" s="266">
        <v>10</v>
      </c>
      <c r="C15" s="254"/>
      <c r="D15" s="252"/>
      <c r="E15" s="199"/>
      <c r="F15" s="12"/>
      <c r="G15" s="200"/>
      <c r="H15" s="195" t="str">
        <f t="shared" si="1"/>
        <v>|</v>
      </c>
      <c r="I15" s="207" cm="1">
        <f t="array" ref="I15:K15">_xlfn.XLOOKUP(H15,'Complexity &amp; Effort'!F:F,'Complexity &amp; Effort'!G:I,0)</f>
        <v>0</v>
      </c>
      <c r="J15" s="208">
        <v>0</v>
      </c>
      <c r="K15" s="209">
        <v>0</v>
      </c>
      <c r="L15" s="210">
        <f t="shared" si="2"/>
        <v>0</v>
      </c>
      <c r="M15" s="211">
        <f t="shared" si="3"/>
        <v>0</v>
      </c>
      <c r="N15" s="212">
        <f t="shared" si="4"/>
        <v>0</v>
      </c>
      <c r="O15" s="192">
        <f t="shared" si="5"/>
        <v>0</v>
      </c>
    </row>
    <row r="16" spans="2:15" ht="15" customHeight="1" x14ac:dyDescent="0.3">
      <c r="B16" s="266">
        <v>12</v>
      </c>
      <c r="C16" s="254"/>
      <c r="D16" s="252"/>
      <c r="E16" s="199"/>
      <c r="F16" s="12"/>
      <c r="G16" s="200"/>
      <c r="H16" s="195" t="str">
        <f t="shared" si="1"/>
        <v>|</v>
      </c>
      <c r="I16" s="207" cm="1">
        <f t="array" ref="I16:K16">_xlfn.XLOOKUP(H16,'Complexity &amp; Effort'!F:F,'Complexity &amp; Effort'!G:I,0)</f>
        <v>0</v>
      </c>
      <c r="J16" s="208">
        <v>0</v>
      </c>
      <c r="K16" s="209">
        <v>0</v>
      </c>
      <c r="L16" s="210">
        <f t="shared" si="2"/>
        <v>0</v>
      </c>
      <c r="M16" s="211">
        <f t="shared" si="3"/>
        <v>0</v>
      </c>
      <c r="N16" s="212">
        <f t="shared" si="4"/>
        <v>0</v>
      </c>
      <c r="O16" s="192">
        <f t="shared" si="5"/>
        <v>0</v>
      </c>
    </row>
    <row r="17" spans="2:15" ht="14.4" x14ac:dyDescent="0.3">
      <c r="B17" s="266">
        <v>13</v>
      </c>
      <c r="C17" s="254"/>
      <c r="D17" s="252"/>
      <c r="E17" s="199"/>
      <c r="F17" s="12"/>
      <c r="G17" s="200"/>
      <c r="H17" s="195" t="str">
        <f t="shared" si="1"/>
        <v>|</v>
      </c>
      <c r="I17" s="207" cm="1">
        <f t="array" ref="I17:K17">_xlfn.XLOOKUP(H17,'Complexity &amp; Effort'!F:F,'Complexity &amp; Effort'!G:I,0)</f>
        <v>0</v>
      </c>
      <c r="J17" s="208">
        <v>0</v>
      </c>
      <c r="K17" s="209">
        <v>0</v>
      </c>
      <c r="L17" s="210">
        <f t="shared" si="2"/>
        <v>0</v>
      </c>
      <c r="M17" s="211">
        <f t="shared" si="3"/>
        <v>0</v>
      </c>
      <c r="N17" s="212">
        <f t="shared" si="4"/>
        <v>0</v>
      </c>
      <c r="O17" s="192">
        <f t="shared" si="5"/>
        <v>0</v>
      </c>
    </row>
    <row r="18" spans="2:15" ht="14.4" x14ac:dyDescent="0.3">
      <c r="B18" s="266">
        <v>14</v>
      </c>
      <c r="C18" s="254"/>
      <c r="D18" s="252"/>
      <c r="E18" s="199"/>
      <c r="F18" s="12"/>
      <c r="G18" s="200"/>
      <c r="H18" s="195" t="str">
        <f t="shared" si="1"/>
        <v>|</v>
      </c>
      <c r="I18" s="207" cm="1">
        <f t="array" ref="I18:K18">_xlfn.XLOOKUP(H18,'Complexity &amp; Effort'!F:F,'Complexity &amp; Effort'!G:I,0)</f>
        <v>0</v>
      </c>
      <c r="J18" s="208">
        <v>0</v>
      </c>
      <c r="K18" s="209">
        <v>0</v>
      </c>
      <c r="L18" s="210">
        <f t="shared" si="2"/>
        <v>0</v>
      </c>
      <c r="M18" s="211">
        <f t="shared" si="3"/>
        <v>0</v>
      </c>
      <c r="N18" s="212">
        <f t="shared" si="4"/>
        <v>0</v>
      </c>
      <c r="O18" s="192">
        <f t="shared" si="5"/>
        <v>0</v>
      </c>
    </row>
    <row r="19" spans="2:15" ht="14.4" x14ac:dyDescent="0.3">
      <c r="B19" s="266">
        <v>15</v>
      </c>
      <c r="C19" s="254"/>
      <c r="D19" s="252"/>
      <c r="E19" s="199"/>
      <c r="F19" s="12"/>
      <c r="G19" s="200"/>
      <c r="H19" s="195" t="str">
        <f t="shared" si="1"/>
        <v>|</v>
      </c>
      <c r="I19" s="207" cm="1">
        <f t="array" ref="I19:K19">_xlfn.XLOOKUP(H19,'Complexity &amp; Effort'!F:F,'Complexity &amp; Effort'!G:I,0)</f>
        <v>0</v>
      </c>
      <c r="J19" s="208">
        <v>0</v>
      </c>
      <c r="K19" s="209">
        <v>0</v>
      </c>
      <c r="L19" s="210">
        <f t="shared" si="2"/>
        <v>0</v>
      </c>
      <c r="M19" s="211">
        <f t="shared" si="3"/>
        <v>0</v>
      </c>
      <c r="N19" s="212">
        <f t="shared" si="4"/>
        <v>0</v>
      </c>
      <c r="O19" s="192">
        <f t="shared" si="5"/>
        <v>0</v>
      </c>
    </row>
    <row r="20" spans="2:15" ht="14.4" x14ac:dyDescent="0.3">
      <c r="B20" s="266">
        <v>16</v>
      </c>
      <c r="C20" s="254"/>
      <c r="D20" s="252"/>
      <c r="E20" s="199"/>
      <c r="F20" s="12"/>
      <c r="G20" s="200"/>
      <c r="H20" s="195" t="str">
        <f t="shared" si="1"/>
        <v>|</v>
      </c>
      <c r="I20" s="207" cm="1">
        <f t="array" ref="I20:K20">_xlfn.XLOOKUP(H20,'Complexity &amp; Effort'!F:F,'Complexity &amp; Effort'!G:I,0)</f>
        <v>0</v>
      </c>
      <c r="J20" s="208">
        <v>0</v>
      </c>
      <c r="K20" s="209">
        <v>0</v>
      </c>
      <c r="L20" s="210">
        <f t="shared" si="2"/>
        <v>0</v>
      </c>
      <c r="M20" s="211">
        <f t="shared" si="3"/>
        <v>0</v>
      </c>
      <c r="N20" s="212">
        <f t="shared" si="4"/>
        <v>0</v>
      </c>
      <c r="O20" s="192">
        <f t="shared" si="5"/>
        <v>0</v>
      </c>
    </row>
    <row r="21" spans="2:15" ht="14.4" x14ac:dyDescent="0.3">
      <c r="B21" s="266">
        <v>17</v>
      </c>
      <c r="C21" s="254"/>
      <c r="D21" s="252"/>
      <c r="E21" s="199"/>
      <c r="F21" s="12"/>
      <c r="G21" s="200"/>
      <c r="H21" s="195" t="str">
        <f t="shared" si="1"/>
        <v>|</v>
      </c>
      <c r="I21" s="207" cm="1">
        <f t="array" ref="I21:K21">_xlfn.XLOOKUP(H21,'Complexity &amp; Effort'!F:F,'Complexity &amp; Effort'!G:I,0)</f>
        <v>0</v>
      </c>
      <c r="J21" s="208">
        <v>0</v>
      </c>
      <c r="K21" s="209">
        <v>0</v>
      </c>
      <c r="L21" s="210">
        <f t="shared" si="2"/>
        <v>0</v>
      </c>
      <c r="M21" s="211">
        <f t="shared" si="3"/>
        <v>0</v>
      </c>
      <c r="N21" s="212">
        <f t="shared" si="4"/>
        <v>0</v>
      </c>
      <c r="O21" s="192">
        <f t="shared" si="5"/>
        <v>0</v>
      </c>
    </row>
    <row r="22" spans="2:15" ht="14.4" x14ac:dyDescent="0.3">
      <c r="B22" s="266">
        <v>18</v>
      </c>
      <c r="C22" s="254"/>
      <c r="D22" s="252"/>
      <c r="E22" s="199"/>
      <c r="F22" s="12"/>
      <c r="G22" s="200"/>
      <c r="H22" s="195" t="str">
        <f t="shared" si="1"/>
        <v>|</v>
      </c>
      <c r="I22" s="207" cm="1">
        <f t="array" ref="I22:K22">_xlfn.XLOOKUP(H22,'Complexity &amp; Effort'!F:F,'Complexity &amp; Effort'!G:I,0)</f>
        <v>0</v>
      </c>
      <c r="J22" s="208">
        <v>0</v>
      </c>
      <c r="K22" s="209">
        <v>0</v>
      </c>
      <c r="L22" s="210">
        <f t="shared" si="2"/>
        <v>0</v>
      </c>
      <c r="M22" s="211">
        <f t="shared" si="3"/>
        <v>0</v>
      </c>
      <c r="N22" s="212">
        <f t="shared" si="4"/>
        <v>0</v>
      </c>
      <c r="O22" s="192">
        <f t="shared" si="5"/>
        <v>0</v>
      </c>
    </row>
    <row r="23" spans="2:15" ht="14.4" x14ac:dyDescent="0.3">
      <c r="B23" s="266">
        <v>19</v>
      </c>
      <c r="C23" s="254"/>
      <c r="D23" s="252"/>
      <c r="E23" s="199"/>
      <c r="F23" s="12"/>
      <c r="G23" s="200"/>
      <c r="H23" s="195" t="str">
        <f t="shared" si="1"/>
        <v>|</v>
      </c>
      <c r="I23" s="207" cm="1">
        <f t="array" ref="I23:K23">_xlfn.XLOOKUP(H23,'Complexity &amp; Effort'!F:F,'Complexity &amp; Effort'!G:I,0)</f>
        <v>0</v>
      </c>
      <c r="J23" s="208">
        <v>0</v>
      </c>
      <c r="K23" s="209">
        <v>0</v>
      </c>
      <c r="L23" s="210">
        <f t="shared" si="2"/>
        <v>0</v>
      </c>
      <c r="M23" s="211">
        <f t="shared" si="3"/>
        <v>0</v>
      </c>
      <c r="N23" s="212">
        <f t="shared" si="4"/>
        <v>0</v>
      </c>
      <c r="O23" s="192">
        <f t="shared" si="5"/>
        <v>0</v>
      </c>
    </row>
    <row r="24" spans="2:15" ht="14.4" x14ac:dyDescent="0.3">
      <c r="B24" s="266">
        <v>20</v>
      </c>
      <c r="C24" s="254"/>
      <c r="D24" s="252"/>
      <c r="E24" s="199"/>
      <c r="F24" s="12"/>
      <c r="G24" s="200"/>
      <c r="H24" s="195" t="str">
        <f t="shared" si="1"/>
        <v>|</v>
      </c>
      <c r="I24" s="207" cm="1">
        <f t="array" ref="I24:K24">_xlfn.XLOOKUP(H24,'Complexity &amp; Effort'!F:F,'Complexity &amp; Effort'!G:I,0)</f>
        <v>0</v>
      </c>
      <c r="J24" s="208">
        <v>0</v>
      </c>
      <c r="K24" s="209">
        <v>0</v>
      </c>
      <c r="L24" s="210">
        <f t="shared" si="2"/>
        <v>0</v>
      </c>
      <c r="M24" s="211">
        <f t="shared" si="3"/>
        <v>0</v>
      </c>
      <c r="N24" s="212">
        <f t="shared" si="4"/>
        <v>0</v>
      </c>
      <c r="O24" s="192">
        <f t="shared" si="5"/>
        <v>0</v>
      </c>
    </row>
    <row r="25" spans="2:15" ht="14.4" x14ac:dyDescent="0.3">
      <c r="B25" s="266">
        <v>21</v>
      </c>
      <c r="C25" s="254"/>
      <c r="D25" s="252"/>
      <c r="E25" s="199"/>
      <c r="F25" s="12"/>
      <c r="G25" s="200"/>
      <c r="H25" s="195" t="str">
        <f t="shared" si="1"/>
        <v>|</v>
      </c>
      <c r="I25" s="207" cm="1">
        <f t="array" ref="I25:K25">_xlfn.XLOOKUP(H25,'Complexity &amp; Effort'!F:F,'Complexity &amp; Effort'!G:I,0)</f>
        <v>0</v>
      </c>
      <c r="J25" s="208">
        <v>0</v>
      </c>
      <c r="K25" s="209">
        <v>0</v>
      </c>
      <c r="L25" s="210">
        <f t="shared" si="2"/>
        <v>0</v>
      </c>
      <c r="M25" s="211">
        <f t="shared" si="3"/>
        <v>0</v>
      </c>
      <c r="N25" s="212">
        <f t="shared" si="4"/>
        <v>0</v>
      </c>
      <c r="O25" s="192">
        <f t="shared" si="5"/>
        <v>0</v>
      </c>
    </row>
    <row r="26" spans="2:15" ht="14.4" x14ac:dyDescent="0.3">
      <c r="B26" s="266">
        <v>22</v>
      </c>
      <c r="C26" s="254"/>
      <c r="D26" s="252"/>
      <c r="E26" s="199"/>
      <c r="F26" s="12"/>
      <c r="G26" s="200"/>
      <c r="H26" s="195" t="str">
        <f t="shared" si="1"/>
        <v>|</v>
      </c>
      <c r="I26" s="207" cm="1">
        <f t="array" ref="I26:K26">_xlfn.XLOOKUP(H26,'Complexity &amp; Effort'!F:F,'Complexity &amp; Effort'!G:I,0)</f>
        <v>0</v>
      </c>
      <c r="J26" s="208">
        <v>0</v>
      </c>
      <c r="K26" s="209">
        <v>0</v>
      </c>
      <c r="L26" s="210">
        <f t="shared" si="2"/>
        <v>0</v>
      </c>
      <c r="M26" s="211">
        <f t="shared" si="3"/>
        <v>0</v>
      </c>
      <c r="N26" s="212">
        <f t="shared" si="4"/>
        <v>0</v>
      </c>
      <c r="O26" s="192">
        <f t="shared" si="5"/>
        <v>0</v>
      </c>
    </row>
    <row r="27" spans="2:15" ht="14.4" x14ac:dyDescent="0.3">
      <c r="B27" s="266">
        <v>23</v>
      </c>
      <c r="C27" s="254"/>
      <c r="D27" s="252"/>
      <c r="E27" s="199"/>
      <c r="F27" s="12"/>
      <c r="G27" s="200"/>
      <c r="H27" s="195" t="str">
        <f t="shared" si="1"/>
        <v>|</v>
      </c>
      <c r="I27" s="207" cm="1">
        <f t="array" ref="I27:K27">_xlfn.XLOOKUP(H27,'Complexity &amp; Effort'!F:F,'Complexity &amp; Effort'!G:I,0)</f>
        <v>0</v>
      </c>
      <c r="J27" s="208">
        <v>0</v>
      </c>
      <c r="K27" s="209">
        <v>0</v>
      </c>
      <c r="L27" s="210">
        <f t="shared" si="2"/>
        <v>0</v>
      </c>
      <c r="M27" s="211">
        <f t="shared" si="3"/>
        <v>0</v>
      </c>
      <c r="N27" s="212">
        <f t="shared" si="4"/>
        <v>0</v>
      </c>
      <c r="O27" s="192">
        <f t="shared" si="5"/>
        <v>0</v>
      </c>
    </row>
    <row r="28" spans="2:15" ht="14.4" x14ac:dyDescent="0.3">
      <c r="B28" s="266">
        <v>24</v>
      </c>
      <c r="C28" s="254"/>
      <c r="D28" s="252"/>
      <c r="E28" s="199"/>
      <c r="F28" s="12"/>
      <c r="G28" s="200"/>
      <c r="H28" s="195" t="str">
        <f t="shared" si="1"/>
        <v>|</v>
      </c>
      <c r="I28" s="207" cm="1">
        <f t="array" ref="I28:K28">_xlfn.XLOOKUP(H28,'Complexity &amp; Effort'!F:F,'Complexity &amp; Effort'!G:I,0)</f>
        <v>0</v>
      </c>
      <c r="J28" s="208">
        <v>0</v>
      </c>
      <c r="K28" s="209">
        <v>0</v>
      </c>
      <c r="L28" s="210">
        <f t="shared" si="2"/>
        <v>0</v>
      </c>
      <c r="M28" s="211">
        <f t="shared" si="3"/>
        <v>0</v>
      </c>
      <c r="N28" s="212">
        <f t="shared" si="4"/>
        <v>0</v>
      </c>
      <c r="O28" s="192">
        <f t="shared" si="5"/>
        <v>0</v>
      </c>
    </row>
    <row r="29" spans="2:15" ht="15" thickBot="1" x14ac:dyDescent="0.35">
      <c r="B29" s="267">
        <v>25</v>
      </c>
      <c r="C29" s="255"/>
      <c r="D29" s="253"/>
      <c r="E29" s="201"/>
      <c r="F29" s="13"/>
      <c r="G29" s="202"/>
      <c r="H29" s="196" t="str">
        <f t="shared" si="1"/>
        <v>|</v>
      </c>
      <c r="I29" s="213" cm="1">
        <f t="array" ref="I29:K29">_xlfn.XLOOKUP(H29,'Complexity &amp; Effort'!F:F,'Complexity &amp; Effort'!G:I,0)</f>
        <v>0</v>
      </c>
      <c r="J29" s="214">
        <v>0</v>
      </c>
      <c r="K29" s="215">
        <v>0</v>
      </c>
      <c r="L29" s="216">
        <f t="shared" si="2"/>
        <v>0</v>
      </c>
      <c r="M29" s="217">
        <f t="shared" si="3"/>
        <v>0</v>
      </c>
      <c r="N29" s="218">
        <f t="shared" si="4"/>
        <v>0</v>
      </c>
      <c r="O29" s="193">
        <f t="shared" si="5"/>
        <v>0</v>
      </c>
    </row>
  </sheetData>
  <sheetProtection insertRows="0"/>
  <mergeCells count="9">
    <mergeCell ref="B2:O2"/>
    <mergeCell ref="I3:K3"/>
    <mergeCell ref="C3:C4"/>
    <mergeCell ref="B3:B4"/>
    <mergeCell ref="D3:D4"/>
    <mergeCell ref="H3:H4"/>
    <mergeCell ref="O3:O4"/>
    <mergeCell ref="L3:N3"/>
    <mergeCell ref="E3:G3"/>
  </mergeCells>
  <conditionalFormatting sqref="D6:D29">
    <cfRule type="cellIs" dxfId="7" priority="1" operator="equal">
      <formula>"Very Complex"</formula>
    </cfRule>
    <cfRule type="cellIs" dxfId="6" priority="2" operator="equal">
      <formula>"Complex"</formula>
    </cfRule>
    <cfRule type="cellIs" dxfId="5" priority="3" operator="equal">
      <formula>"Medium"</formula>
    </cfRule>
    <cfRule type="cellIs" dxfId="4" priority="4" operator="equal">
      <formula>"SImple"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error="Please choose a value from the dropdown list." xr:uid="{1EC9DB04-D7A1-42DC-90CC-5BB98CE39D91}">
          <x14:formula1>
            <xm:f>'Complexity &amp; Effort'!$E$3:$E$10</xm:f>
          </x14:formula1>
          <xm:sqref>D6:D29</xm:sqref>
        </x14:dataValidation>
        <x14:dataValidation type="list" allowBlank="1" showInputMessage="1" showErrorMessage="1" error="Please choose a value from the dropdown list." xr:uid="{5CDE3522-6071-4C89-804E-884CCC8EECAD}">
          <x14:formula1>
            <xm:f>'Complexity &amp; Effort'!$B$3:$B$200</xm:f>
          </x14:formula1>
          <xm:sqref>C6:C29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I975"/>
  <sheetViews>
    <sheetView showGridLines="0" zoomScale="98" zoomScaleNormal="98" workbookViewId="0">
      <pane ySplit="2" topLeftCell="A3" activePane="bottomLeft" state="frozen"/>
      <selection pane="bottomLeft" activeCell="G54" sqref="G54"/>
    </sheetView>
  </sheetViews>
  <sheetFormatPr defaultColWidth="12.6640625" defaultRowHeight="13.8" x14ac:dyDescent="0.3"/>
  <cols>
    <col min="1" max="1" width="2" style="85" customWidth="1"/>
    <col min="2" max="2" width="35.6640625" style="116" customWidth="1"/>
    <col min="3" max="3" width="50.5546875" style="117" customWidth="1"/>
    <col min="4" max="4" width="63.44140625" style="85" customWidth="1"/>
    <col min="5" max="5" width="15.6640625" style="116" customWidth="1"/>
    <col min="6" max="6" width="25.6640625" style="120" hidden="1" customWidth="1"/>
    <col min="7" max="16384" width="12.6640625" style="85"/>
  </cols>
  <sheetData>
    <row r="1" spans="2:9" ht="9" customHeight="1" x14ac:dyDescent="0.3"/>
    <row r="2" spans="2:9" ht="35.4" customHeight="1" x14ac:dyDescent="0.3">
      <c r="B2" s="166" t="s">
        <v>178</v>
      </c>
      <c r="C2" s="167" t="s">
        <v>179</v>
      </c>
      <c r="D2" s="277" t="s">
        <v>180</v>
      </c>
      <c r="E2" s="169" t="s">
        <v>164</v>
      </c>
      <c r="F2" s="168" t="s">
        <v>166</v>
      </c>
      <c r="G2" s="169" t="s">
        <v>173</v>
      </c>
      <c r="H2" s="169" t="s">
        <v>174</v>
      </c>
      <c r="I2" s="169" t="s">
        <v>175</v>
      </c>
    </row>
    <row r="3" spans="2:9" ht="25.2" customHeight="1" x14ac:dyDescent="0.3">
      <c r="B3" s="88" t="s">
        <v>181</v>
      </c>
      <c r="C3" s="321" t="s">
        <v>182</v>
      </c>
      <c r="D3" s="278" t="s">
        <v>183</v>
      </c>
      <c r="E3" s="273" t="s">
        <v>184</v>
      </c>
      <c r="F3" s="219" t="str">
        <f t="shared" ref="F3:F19" si="0">B3&amp;"|"&amp;E3</f>
        <v>Database|Simple</v>
      </c>
      <c r="G3" s="89">
        <v>2</v>
      </c>
      <c r="H3" s="89">
        <v>1</v>
      </c>
      <c r="I3" s="90">
        <v>0.5</v>
      </c>
    </row>
    <row r="4" spans="2:9" ht="25.2" customHeight="1" x14ac:dyDescent="0.3">
      <c r="B4" s="88" t="s">
        <v>181</v>
      </c>
      <c r="C4" s="322"/>
      <c r="D4" s="279" t="s">
        <v>185</v>
      </c>
      <c r="E4" s="274" t="s">
        <v>186</v>
      </c>
      <c r="F4" s="219" t="str">
        <f t="shared" si="0"/>
        <v>Database|Medium</v>
      </c>
      <c r="G4" s="89">
        <v>4</v>
      </c>
      <c r="H4" s="89">
        <v>2</v>
      </c>
      <c r="I4" s="89">
        <v>0.5</v>
      </c>
    </row>
    <row r="5" spans="2:9" ht="25.2" customHeight="1" x14ac:dyDescent="0.3">
      <c r="B5" s="88" t="s">
        <v>181</v>
      </c>
      <c r="C5" s="322"/>
      <c r="D5" s="279" t="s">
        <v>187</v>
      </c>
      <c r="E5" s="275" t="s">
        <v>188</v>
      </c>
      <c r="F5" s="219" t="str">
        <f t="shared" si="0"/>
        <v>Database|Complex</v>
      </c>
      <c r="G5" s="89">
        <v>4</v>
      </c>
      <c r="H5" s="89">
        <v>2</v>
      </c>
      <c r="I5" s="89">
        <v>0.5</v>
      </c>
    </row>
    <row r="6" spans="2:9" ht="41.4" x14ac:dyDescent="0.3">
      <c r="B6" s="88" t="s">
        <v>181</v>
      </c>
      <c r="C6" s="323"/>
      <c r="D6" s="279" t="s">
        <v>189</v>
      </c>
      <c r="E6" s="276" t="s">
        <v>190</v>
      </c>
      <c r="F6" s="219" t="str">
        <f t="shared" si="0"/>
        <v>Database|Very Complex</v>
      </c>
      <c r="G6" s="89">
        <v>6</v>
      </c>
      <c r="H6" s="89">
        <v>3</v>
      </c>
      <c r="I6" s="89">
        <v>0.5</v>
      </c>
    </row>
    <row r="7" spans="2:9" ht="25.2" customHeight="1" x14ac:dyDescent="0.3">
      <c r="B7" s="94" t="s">
        <v>191</v>
      </c>
      <c r="C7" s="324" t="s">
        <v>192</v>
      </c>
      <c r="D7" s="221" t="s">
        <v>193</v>
      </c>
      <c r="E7" s="272" t="s">
        <v>184</v>
      </c>
      <c r="F7" s="219" t="str">
        <f t="shared" si="0"/>
        <v>Database Stored Procedures|Simple</v>
      </c>
      <c r="G7" s="96">
        <v>4</v>
      </c>
      <c r="H7" s="96">
        <v>2</v>
      </c>
      <c r="I7" s="97">
        <v>0.5</v>
      </c>
    </row>
    <row r="8" spans="2:9" ht="25.2" customHeight="1" x14ac:dyDescent="0.3">
      <c r="B8" s="94" t="s">
        <v>191</v>
      </c>
      <c r="C8" s="325"/>
      <c r="D8" s="95" t="s">
        <v>194</v>
      </c>
      <c r="E8" s="91" t="s">
        <v>186</v>
      </c>
      <c r="F8" s="219" t="str">
        <f t="shared" si="0"/>
        <v>Database Stored Procedures|Medium</v>
      </c>
      <c r="G8" s="96">
        <v>8</v>
      </c>
      <c r="H8" s="96">
        <v>4</v>
      </c>
      <c r="I8" s="97">
        <v>0.5</v>
      </c>
    </row>
    <row r="9" spans="2:9" ht="25.2" customHeight="1" x14ac:dyDescent="0.3">
      <c r="B9" s="94" t="s">
        <v>191</v>
      </c>
      <c r="C9" s="325"/>
      <c r="D9" s="98" t="s">
        <v>195</v>
      </c>
      <c r="E9" s="92" t="s">
        <v>188</v>
      </c>
      <c r="F9" s="219" t="str">
        <f t="shared" si="0"/>
        <v>Database Stored Procedures|Complex</v>
      </c>
      <c r="G9" s="99">
        <v>16</v>
      </c>
      <c r="H9" s="99">
        <v>8</v>
      </c>
      <c r="I9" s="100">
        <v>0.5</v>
      </c>
    </row>
    <row r="10" spans="2:9" ht="25.2" customHeight="1" x14ac:dyDescent="0.3">
      <c r="B10" s="94" t="s">
        <v>191</v>
      </c>
      <c r="C10" s="326"/>
      <c r="D10" s="101" t="s">
        <v>196</v>
      </c>
      <c r="E10" s="93" t="s">
        <v>190</v>
      </c>
      <c r="F10" s="219" t="str">
        <f t="shared" si="0"/>
        <v>Database Stored Procedures|Very Complex</v>
      </c>
      <c r="G10" s="102">
        <v>32</v>
      </c>
      <c r="H10" s="102">
        <v>16</v>
      </c>
      <c r="I10" s="103">
        <v>0.5</v>
      </c>
    </row>
    <row r="11" spans="2:9" ht="55.2" x14ac:dyDescent="0.3">
      <c r="B11" s="104" t="s">
        <v>197</v>
      </c>
      <c r="C11" s="330" t="s">
        <v>198</v>
      </c>
      <c r="D11" s="105" t="s">
        <v>199</v>
      </c>
      <c r="E11" s="272" t="s">
        <v>184</v>
      </c>
      <c r="F11" s="220" t="str">
        <f t="shared" si="0"/>
        <v>Database Tables|Simple</v>
      </c>
      <c r="G11" s="106">
        <v>2</v>
      </c>
      <c r="H11" s="106">
        <v>1</v>
      </c>
      <c r="I11" s="107">
        <v>0.5</v>
      </c>
    </row>
    <row r="12" spans="2:9" ht="55.2" x14ac:dyDescent="0.3">
      <c r="B12" s="104" t="s">
        <v>197</v>
      </c>
      <c r="C12" s="331"/>
      <c r="D12" s="108" t="s">
        <v>200</v>
      </c>
      <c r="E12" s="91" t="s">
        <v>186</v>
      </c>
      <c r="F12" s="220" t="str">
        <f t="shared" si="0"/>
        <v>Database Tables|Medium</v>
      </c>
      <c r="G12" s="89">
        <v>4</v>
      </c>
      <c r="H12" s="89">
        <v>2</v>
      </c>
      <c r="I12" s="109">
        <v>0.5</v>
      </c>
    </row>
    <row r="13" spans="2:9" ht="55.2" x14ac:dyDescent="0.3">
      <c r="B13" s="104" t="s">
        <v>197</v>
      </c>
      <c r="C13" s="331"/>
      <c r="D13" s="110" t="s">
        <v>201</v>
      </c>
      <c r="E13" s="92" t="s">
        <v>188</v>
      </c>
      <c r="F13" s="220" t="str">
        <f t="shared" si="0"/>
        <v>Database Tables|Complex</v>
      </c>
      <c r="G13" s="89">
        <v>8</v>
      </c>
      <c r="H13" s="89">
        <v>4</v>
      </c>
      <c r="I13" s="109">
        <v>0.5</v>
      </c>
    </row>
    <row r="14" spans="2:9" ht="69" x14ac:dyDescent="0.3">
      <c r="B14" s="104" t="s">
        <v>197</v>
      </c>
      <c r="C14" s="332"/>
      <c r="D14" s="110" t="s">
        <v>202</v>
      </c>
      <c r="E14" s="93" t="s">
        <v>190</v>
      </c>
      <c r="F14" s="220" t="str">
        <f t="shared" si="0"/>
        <v>Database Tables|Very Complex</v>
      </c>
      <c r="G14" s="89">
        <v>16</v>
      </c>
      <c r="H14" s="89">
        <v>8</v>
      </c>
      <c r="I14" s="109">
        <v>0.5</v>
      </c>
    </row>
    <row r="15" spans="2:9" ht="41.4" x14ac:dyDescent="0.3">
      <c r="B15" s="94" t="s">
        <v>203</v>
      </c>
      <c r="C15" s="333" t="s">
        <v>204</v>
      </c>
      <c r="D15" s="111" t="s">
        <v>205</v>
      </c>
      <c r="E15" s="272" t="s">
        <v>184</v>
      </c>
      <c r="F15" s="220" t="str">
        <f t="shared" si="0"/>
        <v>Data mart|Simple</v>
      </c>
      <c r="G15" s="112">
        <v>16</v>
      </c>
      <c r="H15" s="112">
        <v>8</v>
      </c>
      <c r="I15" s="97">
        <v>0.5</v>
      </c>
    </row>
    <row r="16" spans="2:9" ht="41.4" x14ac:dyDescent="0.3">
      <c r="B16" s="94" t="s">
        <v>203</v>
      </c>
      <c r="C16" s="334"/>
      <c r="D16" s="111" t="s">
        <v>206</v>
      </c>
      <c r="E16" s="91" t="s">
        <v>186</v>
      </c>
      <c r="F16" s="220" t="str">
        <f t="shared" si="0"/>
        <v>Data mart|Medium</v>
      </c>
      <c r="G16" s="112">
        <v>32</v>
      </c>
      <c r="H16" s="112">
        <v>16</v>
      </c>
      <c r="I16" s="97">
        <v>0.5</v>
      </c>
    </row>
    <row r="17" spans="2:9" ht="69" x14ac:dyDescent="0.3">
      <c r="B17" s="94" t="s">
        <v>203</v>
      </c>
      <c r="C17" s="334"/>
      <c r="D17" s="111" t="s">
        <v>207</v>
      </c>
      <c r="E17" s="92" t="s">
        <v>188</v>
      </c>
      <c r="F17" s="220" t="str">
        <f t="shared" si="0"/>
        <v>Data mart|Complex</v>
      </c>
      <c r="G17" s="112">
        <v>64</v>
      </c>
      <c r="H17" s="112">
        <v>32</v>
      </c>
      <c r="I17" s="97">
        <v>0.5</v>
      </c>
    </row>
    <row r="18" spans="2:9" ht="69" x14ac:dyDescent="0.3">
      <c r="B18" s="94" t="s">
        <v>203</v>
      </c>
      <c r="C18" s="335"/>
      <c r="D18" s="111" t="s">
        <v>208</v>
      </c>
      <c r="E18" s="93" t="s">
        <v>190</v>
      </c>
      <c r="F18" s="220" t="str">
        <f t="shared" si="0"/>
        <v>Data mart|Very Complex</v>
      </c>
      <c r="G18" s="112">
        <v>128</v>
      </c>
      <c r="H18" s="112">
        <v>64</v>
      </c>
      <c r="I18" s="97">
        <v>0.5</v>
      </c>
    </row>
    <row r="19" spans="2:9" ht="82.8" x14ac:dyDescent="0.3">
      <c r="B19" s="88" t="s">
        <v>209</v>
      </c>
      <c r="C19" s="336" t="s">
        <v>210</v>
      </c>
      <c r="D19" s="113" t="s">
        <v>211</v>
      </c>
      <c r="E19" s="272" t="s">
        <v>184</v>
      </c>
      <c r="F19" s="220" t="str">
        <f t="shared" si="0"/>
        <v>Extract Transform Load-ETL|Simple</v>
      </c>
      <c r="G19" s="89">
        <v>8</v>
      </c>
      <c r="H19" s="89">
        <v>4</v>
      </c>
      <c r="I19" s="109">
        <v>0.5</v>
      </c>
    </row>
    <row r="20" spans="2:9" ht="69" x14ac:dyDescent="0.3">
      <c r="B20" s="88" t="s">
        <v>209</v>
      </c>
      <c r="C20" s="337"/>
      <c r="D20" s="113" t="s">
        <v>212</v>
      </c>
      <c r="E20" s="91" t="s">
        <v>186</v>
      </c>
      <c r="F20" s="220" t="str">
        <f t="shared" ref="F20:F22" si="1">B20&amp;"|"&amp;E20</f>
        <v>Extract Transform Load-ETL|Medium</v>
      </c>
      <c r="G20" s="89">
        <v>16</v>
      </c>
      <c r="H20" s="89">
        <v>8</v>
      </c>
      <c r="I20" s="109">
        <v>0.5</v>
      </c>
    </row>
    <row r="21" spans="2:9" ht="82.8" x14ac:dyDescent="0.3">
      <c r="B21" s="88" t="s">
        <v>209</v>
      </c>
      <c r="C21" s="337"/>
      <c r="D21" s="154" t="s">
        <v>213</v>
      </c>
      <c r="E21" s="92" t="s">
        <v>188</v>
      </c>
      <c r="F21" s="220" t="str">
        <f t="shared" si="1"/>
        <v>Extract Transform Load-ETL|Complex</v>
      </c>
      <c r="G21" s="89">
        <v>32</v>
      </c>
      <c r="H21" s="89">
        <v>16</v>
      </c>
      <c r="I21" s="109">
        <v>0.5</v>
      </c>
    </row>
    <row r="22" spans="2:9" ht="55.2" x14ac:dyDescent="0.3">
      <c r="B22" s="88" t="s">
        <v>209</v>
      </c>
      <c r="C22" s="338"/>
      <c r="D22" s="113" t="s">
        <v>214</v>
      </c>
      <c r="E22" s="93" t="s">
        <v>190</v>
      </c>
      <c r="F22" s="220" t="str">
        <f t="shared" si="1"/>
        <v>Extract Transform Load-ETL|Very Complex</v>
      </c>
      <c r="G22" s="89">
        <v>64</v>
      </c>
      <c r="H22" s="89">
        <v>32</v>
      </c>
      <c r="I22" s="109">
        <v>0.5</v>
      </c>
    </row>
    <row r="23" spans="2:9" ht="22.2" customHeight="1" x14ac:dyDescent="0.3">
      <c r="B23" s="114" t="s">
        <v>215</v>
      </c>
      <c r="C23" s="327" t="s">
        <v>216</v>
      </c>
      <c r="D23" s="95" t="s">
        <v>217</v>
      </c>
      <c r="E23" s="272" t="s">
        <v>184</v>
      </c>
      <c r="F23" s="220" t="str">
        <f>B23&amp;"|"&amp;E23</f>
        <v>Power Exchange (CDC)|Simple</v>
      </c>
      <c r="G23" s="112">
        <v>8</v>
      </c>
      <c r="H23" s="112">
        <v>4</v>
      </c>
      <c r="I23" s="97">
        <v>0.5</v>
      </c>
    </row>
    <row r="24" spans="2:9" ht="27.6" x14ac:dyDescent="0.3">
      <c r="B24" s="114" t="s">
        <v>215</v>
      </c>
      <c r="C24" s="328"/>
      <c r="D24" s="95" t="s">
        <v>218</v>
      </c>
      <c r="E24" s="91" t="s">
        <v>186</v>
      </c>
      <c r="F24" s="220" t="str">
        <f t="shared" ref="F24:F26" si="2">B24&amp;"|"&amp;E24</f>
        <v>Power Exchange (CDC)|Medium</v>
      </c>
      <c r="G24" s="112">
        <v>16</v>
      </c>
      <c r="H24" s="112">
        <v>8</v>
      </c>
      <c r="I24" s="97">
        <v>0.5</v>
      </c>
    </row>
    <row r="25" spans="2:9" ht="27.6" x14ac:dyDescent="0.3">
      <c r="B25" s="114" t="s">
        <v>215</v>
      </c>
      <c r="C25" s="328"/>
      <c r="D25" s="95" t="s">
        <v>219</v>
      </c>
      <c r="E25" s="92" t="s">
        <v>188</v>
      </c>
      <c r="F25" s="220" t="str">
        <f t="shared" si="2"/>
        <v>Power Exchange (CDC)|Complex</v>
      </c>
      <c r="G25" s="112">
        <v>32</v>
      </c>
      <c r="H25" s="112">
        <v>16</v>
      </c>
      <c r="I25" s="97">
        <v>0.5</v>
      </c>
    </row>
    <row r="26" spans="2:9" ht="27.6" x14ac:dyDescent="0.3">
      <c r="B26" s="114" t="s">
        <v>215</v>
      </c>
      <c r="C26" s="329"/>
      <c r="D26" s="95" t="s">
        <v>220</v>
      </c>
      <c r="E26" s="93" t="s">
        <v>190</v>
      </c>
      <c r="F26" s="220" t="str">
        <f t="shared" si="2"/>
        <v>Power Exchange (CDC)|Very Complex</v>
      </c>
      <c r="G26" s="112">
        <v>64</v>
      </c>
      <c r="H26" s="112">
        <v>32</v>
      </c>
      <c r="I26" s="97">
        <v>0.5</v>
      </c>
    </row>
    <row r="27" spans="2:9" ht="25.2" customHeight="1" x14ac:dyDescent="0.3">
      <c r="B27" s="115" t="s">
        <v>221</v>
      </c>
      <c r="C27" s="318" t="s">
        <v>222</v>
      </c>
      <c r="D27" s="113" t="s">
        <v>223</v>
      </c>
      <c r="E27" s="272" t="s">
        <v>184</v>
      </c>
      <c r="F27" s="220" t="str">
        <f>B27&amp;"|"&amp;E27</f>
        <v>Unix Shell Scripts|Simple</v>
      </c>
      <c r="G27" s="89">
        <v>1</v>
      </c>
      <c r="H27" s="89">
        <v>1</v>
      </c>
      <c r="I27" s="109">
        <v>0.5</v>
      </c>
    </row>
    <row r="28" spans="2:9" ht="25.2" customHeight="1" x14ac:dyDescent="0.3">
      <c r="B28" s="115" t="s">
        <v>221</v>
      </c>
      <c r="C28" s="319"/>
      <c r="D28" s="113" t="s">
        <v>224</v>
      </c>
      <c r="E28" s="91" t="s">
        <v>186</v>
      </c>
      <c r="F28" s="220" t="str">
        <f t="shared" ref="F28:F30" si="3">B28&amp;"|"&amp;E28</f>
        <v>Unix Shell Scripts|Medium</v>
      </c>
      <c r="G28" s="89">
        <v>2</v>
      </c>
      <c r="H28" s="89">
        <v>2</v>
      </c>
      <c r="I28" s="109">
        <v>0.5</v>
      </c>
    </row>
    <row r="29" spans="2:9" ht="25.2" customHeight="1" x14ac:dyDescent="0.3">
      <c r="B29" s="115" t="s">
        <v>221</v>
      </c>
      <c r="C29" s="319"/>
      <c r="D29" s="113" t="s">
        <v>225</v>
      </c>
      <c r="E29" s="92" t="s">
        <v>188</v>
      </c>
      <c r="F29" s="220" t="str">
        <f t="shared" si="3"/>
        <v>Unix Shell Scripts|Complex</v>
      </c>
      <c r="G29" s="89">
        <v>4</v>
      </c>
      <c r="H29" s="89">
        <v>4</v>
      </c>
      <c r="I29" s="109">
        <v>0.5</v>
      </c>
    </row>
    <row r="30" spans="2:9" ht="25.2" customHeight="1" x14ac:dyDescent="0.3">
      <c r="B30" s="115" t="s">
        <v>221</v>
      </c>
      <c r="C30" s="320"/>
      <c r="D30" s="113" t="s">
        <v>226</v>
      </c>
      <c r="E30" s="93" t="s">
        <v>190</v>
      </c>
      <c r="F30" s="220" t="str">
        <f t="shared" si="3"/>
        <v>Unix Shell Scripts|Very Complex</v>
      </c>
      <c r="G30" s="89">
        <v>8</v>
      </c>
      <c r="H30" s="89">
        <v>8</v>
      </c>
      <c r="I30" s="109">
        <v>0.5</v>
      </c>
    </row>
    <row r="31" spans="2:9" ht="27.6" x14ac:dyDescent="0.3">
      <c r="B31" s="114" t="s">
        <v>227</v>
      </c>
      <c r="C31" s="327" t="s">
        <v>228</v>
      </c>
      <c r="D31" s="95" t="s">
        <v>229</v>
      </c>
      <c r="E31" s="272" t="s">
        <v>184</v>
      </c>
      <c r="F31" s="220" t="str">
        <f>B31&amp;"|"&amp;E31</f>
        <v>Configuration Objects|Simple</v>
      </c>
      <c r="G31" s="112">
        <v>8</v>
      </c>
      <c r="H31" s="112">
        <v>4</v>
      </c>
      <c r="I31" s="97">
        <v>0.5</v>
      </c>
    </row>
    <row r="32" spans="2:9" ht="41.4" x14ac:dyDescent="0.3">
      <c r="B32" s="114" t="s">
        <v>227</v>
      </c>
      <c r="C32" s="328"/>
      <c r="D32" s="95" t="s">
        <v>230</v>
      </c>
      <c r="E32" s="91" t="s">
        <v>186</v>
      </c>
      <c r="F32" s="220" t="str">
        <f t="shared" ref="F32:F34" si="4">B32&amp;"|"&amp;E32</f>
        <v>Configuration Objects|Medium</v>
      </c>
      <c r="G32" s="112">
        <v>16</v>
      </c>
      <c r="H32" s="112">
        <v>8</v>
      </c>
      <c r="I32" s="97">
        <v>0.5</v>
      </c>
    </row>
    <row r="33" spans="2:9" ht="41.4" x14ac:dyDescent="0.3">
      <c r="B33" s="114" t="s">
        <v>227</v>
      </c>
      <c r="C33" s="328"/>
      <c r="D33" s="95" t="s">
        <v>231</v>
      </c>
      <c r="E33" s="92" t="s">
        <v>188</v>
      </c>
      <c r="F33" s="220" t="str">
        <f t="shared" si="4"/>
        <v>Configuration Objects|Complex</v>
      </c>
      <c r="G33" s="112">
        <v>32</v>
      </c>
      <c r="H33" s="112">
        <v>16</v>
      </c>
      <c r="I33" s="97">
        <v>0.5</v>
      </c>
    </row>
    <row r="34" spans="2:9" ht="41.4" x14ac:dyDescent="0.3">
      <c r="B34" s="114" t="s">
        <v>227</v>
      </c>
      <c r="C34" s="329"/>
      <c r="D34" s="95" t="s">
        <v>232</v>
      </c>
      <c r="E34" s="93" t="s">
        <v>190</v>
      </c>
      <c r="F34" s="220" t="str">
        <f t="shared" si="4"/>
        <v>Configuration Objects|Very Complex</v>
      </c>
      <c r="G34" s="112">
        <v>64</v>
      </c>
      <c r="H34" s="112">
        <v>32</v>
      </c>
      <c r="I34" s="97">
        <v>0.5</v>
      </c>
    </row>
    <row r="35" spans="2:9" ht="27.6" x14ac:dyDescent="0.3">
      <c r="B35" s="115" t="s">
        <v>233</v>
      </c>
      <c r="C35" s="318" t="s">
        <v>234</v>
      </c>
      <c r="D35" s="113" t="s">
        <v>235</v>
      </c>
      <c r="E35" s="272" t="s">
        <v>184</v>
      </c>
      <c r="F35" s="220" t="str">
        <f>B35&amp;"|"&amp;E35</f>
        <v>Database Views|Simple</v>
      </c>
      <c r="G35" s="89">
        <v>4</v>
      </c>
      <c r="H35" s="89">
        <v>2</v>
      </c>
      <c r="I35" s="109">
        <v>0.5</v>
      </c>
    </row>
    <row r="36" spans="2:9" ht="27.6" x14ac:dyDescent="0.3">
      <c r="B36" s="115" t="s">
        <v>233</v>
      </c>
      <c r="C36" s="319"/>
      <c r="D36" s="113" t="s">
        <v>236</v>
      </c>
      <c r="E36" s="91" t="s">
        <v>186</v>
      </c>
      <c r="F36" s="220" t="str">
        <f t="shared" ref="F36:F38" si="5">B36&amp;"|"&amp;E36</f>
        <v>Database Views|Medium</v>
      </c>
      <c r="G36" s="89">
        <v>8</v>
      </c>
      <c r="H36" s="89">
        <v>4</v>
      </c>
      <c r="I36" s="109">
        <v>0.5</v>
      </c>
    </row>
    <row r="37" spans="2:9" ht="41.4" x14ac:dyDescent="0.3">
      <c r="B37" s="115" t="s">
        <v>233</v>
      </c>
      <c r="C37" s="319"/>
      <c r="D37" s="113" t="s">
        <v>237</v>
      </c>
      <c r="E37" s="92" t="s">
        <v>188</v>
      </c>
      <c r="F37" s="220" t="str">
        <f t="shared" si="5"/>
        <v>Database Views|Complex</v>
      </c>
      <c r="G37" s="89">
        <v>24</v>
      </c>
      <c r="H37" s="89">
        <v>8</v>
      </c>
      <c r="I37" s="109">
        <v>0.5</v>
      </c>
    </row>
    <row r="38" spans="2:9" ht="41.4" x14ac:dyDescent="0.3">
      <c r="B38" s="115" t="s">
        <v>233</v>
      </c>
      <c r="C38" s="320"/>
      <c r="D38" s="113" t="s">
        <v>238</v>
      </c>
      <c r="E38" s="93" t="s">
        <v>190</v>
      </c>
      <c r="F38" s="220" t="str">
        <f t="shared" si="5"/>
        <v>Database Views|Very Complex</v>
      </c>
      <c r="G38" s="89">
        <v>32</v>
      </c>
      <c r="H38" s="89">
        <v>16</v>
      </c>
      <c r="I38" s="109">
        <v>0.5</v>
      </c>
    </row>
    <row r="39" spans="2:9" ht="27.6" x14ac:dyDescent="0.3">
      <c r="B39" s="94" t="s">
        <v>239</v>
      </c>
      <c r="C39" s="315" t="s">
        <v>240</v>
      </c>
      <c r="D39" s="95" t="s">
        <v>241</v>
      </c>
      <c r="E39" s="272" t="s">
        <v>184</v>
      </c>
      <c r="F39" s="220" t="str">
        <f>B39&amp;"|"&amp;E39</f>
        <v>Database Functions|Simple</v>
      </c>
      <c r="G39" s="112">
        <v>8</v>
      </c>
      <c r="H39" s="112">
        <v>4</v>
      </c>
      <c r="I39" s="97">
        <v>0.5</v>
      </c>
    </row>
    <row r="40" spans="2:9" ht="41.4" x14ac:dyDescent="0.3">
      <c r="B40" s="94" t="s">
        <v>239</v>
      </c>
      <c r="C40" s="316"/>
      <c r="D40" s="95" t="s">
        <v>242</v>
      </c>
      <c r="E40" s="91" t="s">
        <v>186</v>
      </c>
      <c r="F40" s="220" t="str">
        <f t="shared" ref="F40:F42" si="6">B40&amp;"|"&amp;E40</f>
        <v>Database Functions|Medium</v>
      </c>
      <c r="G40" s="112">
        <v>16</v>
      </c>
      <c r="H40" s="112">
        <v>8</v>
      </c>
      <c r="I40" s="97">
        <v>0.5</v>
      </c>
    </row>
    <row r="41" spans="2:9" ht="41.4" x14ac:dyDescent="0.3">
      <c r="B41" s="94" t="s">
        <v>239</v>
      </c>
      <c r="C41" s="316"/>
      <c r="D41" s="95" t="s">
        <v>243</v>
      </c>
      <c r="E41" s="92" t="s">
        <v>188</v>
      </c>
      <c r="F41" s="220" t="str">
        <f t="shared" si="6"/>
        <v>Database Functions|Complex</v>
      </c>
      <c r="G41" s="112">
        <v>32</v>
      </c>
      <c r="H41" s="112">
        <v>16</v>
      </c>
      <c r="I41" s="97">
        <v>0.5</v>
      </c>
    </row>
    <row r="42" spans="2:9" ht="41.4" x14ac:dyDescent="0.3">
      <c r="B42" s="94" t="s">
        <v>239</v>
      </c>
      <c r="C42" s="317"/>
      <c r="D42" s="95" t="s">
        <v>244</v>
      </c>
      <c r="E42" s="93" t="s">
        <v>190</v>
      </c>
      <c r="F42" s="220" t="str">
        <f t="shared" si="6"/>
        <v>Database Functions|Very Complex</v>
      </c>
      <c r="G42" s="112">
        <v>40</v>
      </c>
      <c r="H42" s="112">
        <v>24</v>
      </c>
      <c r="I42" s="97">
        <v>0.5</v>
      </c>
    </row>
    <row r="43" spans="2:9" ht="27.6" x14ac:dyDescent="0.3">
      <c r="B43" s="115" t="s">
        <v>245</v>
      </c>
      <c r="C43" s="318" t="s">
        <v>246</v>
      </c>
      <c r="D43" s="113" t="s">
        <v>247</v>
      </c>
      <c r="E43" s="272" t="s">
        <v>184</v>
      </c>
      <c r="F43" s="220" t="str">
        <f>B43&amp;"|"&amp;E43</f>
        <v>Power BI-Dashboards|Simple</v>
      </c>
      <c r="G43" s="89">
        <v>16</v>
      </c>
      <c r="H43" s="89">
        <v>8</v>
      </c>
      <c r="I43" s="109">
        <v>0.5</v>
      </c>
    </row>
    <row r="44" spans="2:9" ht="41.4" x14ac:dyDescent="0.3">
      <c r="B44" s="115" t="s">
        <v>245</v>
      </c>
      <c r="C44" s="319"/>
      <c r="D44" s="113" t="s">
        <v>248</v>
      </c>
      <c r="E44" s="91" t="s">
        <v>186</v>
      </c>
      <c r="F44" s="220" t="str">
        <f t="shared" ref="F44:F46" si="7">B44&amp;"|"&amp;E44</f>
        <v>Power BI-Dashboards|Medium</v>
      </c>
      <c r="G44" s="89">
        <v>32</v>
      </c>
      <c r="H44" s="89">
        <v>16</v>
      </c>
      <c r="I44" s="109">
        <v>0.5</v>
      </c>
    </row>
    <row r="45" spans="2:9" ht="41.4" x14ac:dyDescent="0.3">
      <c r="B45" s="115" t="s">
        <v>245</v>
      </c>
      <c r="C45" s="319"/>
      <c r="D45" s="113" t="s">
        <v>249</v>
      </c>
      <c r="E45" s="92" t="s">
        <v>188</v>
      </c>
      <c r="F45" s="220" t="str">
        <f t="shared" si="7"/>
        <v>Power BI-Dashboards|Complex</v>
      </c>
      <c r="G45" s="89">
        <v>64</v>
      </c>
      <c r="H45" s="89">
        <v>32</v>
      </c>
      <c r="I45" s="109">
        <v>0.5</v>
      </c>
    </row>
    <row r="46" spans="2:9" ht="41.4" x14ac:dyDescent="0.3">
      <c r="B46" s="115" t="s">
        <v>245</v>
      </c>
      <c r="C46" s="320"/>
      <c r="D46" s="113" t="s">
        <v>250</v>
      </c>
      <c r="E46" s="93" t="s">
        <v>190</v>
      </c>
      <c r="F46" s="220" t="str">
        <f t="shared" si="7"/>
        <v>Power BI-Dashboards|Very Complex</v>
      </c>
      <c r="G46" s="89">
        <v>128</v>
      </c>
      <c r="H46" s="89">
        <v>64</v>
      </c>
      <c r="I46" s="109">
        <v>0.5</v>
      </c>
    </row>
    <row r="47" spans="2:9" ht="27.6" x14ac:dyDescent="0.3">
      <c r="B47" s="94" t="s">
        <v>251</v>
      </c>
      <c r="C47" s="315" t="s">
        <v>252</v>
      </c>
      <c r="D47" s="95" t="s">
        <v>253</v>
      </c>
      <c r="E47" s="272" t="s">
        <v>184</v>
      </c>
      <c r="F47" s="220" t="str">
        <f>B47&amp;"|"&amp;E47</f>
        <v>Power BI-Paginated|Simple</v>
      </c>
      <c r="G47" s="112">
        <v>8</v>
      </c>
      <c r="H47" s="112">
        <v>4</v>
      </c>
      <c r="I47" s="97">
        <v>0.5</v>
      </c>
    </row>
    <row r="48" spans="2:9" ht="27.6" x14ac:dyDescent="0.3">
      <c r="B48" s="94" t="s">
        <v>251</v>
      </c>
      <c r="C48" s="316"/>
      <c r="D48" s="95" t="s">
        <v>254</v>
      </c>
      <c r="E48" s="91" t="s">
        <v>186</v>
      </c>
      <c r="F48" s="220" t="str">
        <f t="shared" ref="F48:F50" si="8">B48&amp;"|"&amp;E48</f>
        <v>Power BI-Paginated|Medium</v>
      </c>
      <c r="G48" s="112">
        <v>16</v>
      </c>
      <c r="H48" s="112">
        <v>8</v>
      </c>
      <c r="I48" s="97">
        <v>0.5</v>
      </c>
    </row>
    <row r="49" spans="2:9" ht="41.4" x14ac:dyDescent="0.3">
      <c r="B49" s="94" t="s">
        <v>251</v>
      </c>
      <c r="C49" s="316"/>
      <c r="D49" s="95" t="s">
        <v>255</v>
      </c>
      <c r="E49" s="92" t="s">
        <v>188</v>
      </c>
      <c r="F49" s="220" t="str">
        <f t="shared" si="8"/>
        <v>Power BI-Paginated|Complex</v>
      </c>
      <c r="G49" s="112">
        <v>32</v>
      </c>
      <c r="H49" s="112">
        <v>16</v>
      </c>
      <c r="I49" s="97">
        <v>0.5</v>
      </c>
    </row>
    <row r="50" spans="2:9" ht="41.4" x14ac:dyDescent="0.3">
      <c r="B50" s="94" t="s">
        <v>251</v>
      </c>
      <c r="C50" s="317"/>
      <c r="D50" s="95" t="s">
        <v>256</v>
      </c>
      <c r="E50" s="93" t="s">
        <v>190</v>
      </c>
      <c r="F50" s="220" t="str">
        <f t="shared" si="8"/>
        <v>Power BI-Paginated|Very Complex</v>
      </c>
      <c r="G50" s="112">
        <v>64</v>
      </c>
      <c r="H50" s="112">
        <v>32</v>
      </c>
      <c r="I50" s="97">
        <v>0.5</v>
      </c>
    </row>
    <row r="51" spans="2:9" ht="27.6" x14ac:dyDescent="0.3">
      <c r="B51" s="115" t="s">
        <v>257</v>
      </c>
      <c r="C51" s="318" t="s">
        <v>258</v>
      </c>
      <c r="D51" s="113" t="s">
        <v>259</v>
      </c>
      <c r="E51" s="272" t="s">
        <v>184</v>
      </c>
      <c r="F51" s="220" t="str">
        <f>B51&amp;"|"&amp;E51</f>
        <v>Qlik-Dashboards|Simple</v>
      </c>
      <c r="G51" s="89">
        <v>10</v>
      </c>
      <c r="H51" s="89">
        <v>6</v>
      </c>
      <c r="I51" s="109">
        <v>0.5</v>
      </c>
    </row>
    <row r="52" spans="2:9" ht="27.6" x14ac:dyDescent="0.3">
      <c r="B52" s="115" t="s">
        <v>257</v>
      </c>
      <c r="C52" s="319"/>
      <c r="D52" s="113" t="s">
        <v>260</v>
      </c>
      <c r="E52" s="91" t="s">
        <v>186</v>
      </c>
      <c r="F52" s="220" t="str">
        <f t="shared" ref="F52:F54" si="9">B52&amp;"|"&amp;E52</f>
        <v>Qlik-Dashboards|Medium</v>
      </c>
      <c r="G52" s="89">
        <v>20</v>
      </c>
      <c r="H52" s="89">
        <v>12</v>
      </c>
      <c r="I52" s="109">
        <v>0.5</v>
      </c>
    </row>
    <row r="53" spans="2:9" ht="41.4" x14ac:dyDescent="0.3">
      <c r="B53" s="115" t="s">
        <v>257</v>
      </c>
      <c r="C53" s="319"/>
      <c r="D53" s="113" t="s">
        <v>261</v>
      </c>
      <c r="E53" s="92" t="s">
        <v>188</v>
      </c>
      <c r="F53" s="220" t="str">
        <f t="shared" si="9"/>
        <v>Qlik-Dashboards|Complex</v>
      </c>
      <c r="G53" s="89">
        <v>80</v>
      </c>
      <c r="H53" s="89">
        <v>32</v>
      </c>
      <c r="I53" s="109">
        <v>0.5</v>
      </c>
    </row>
    <row r="54" spans="2:9" ht="41.4" x14ac:dyDescent="0.3">
      <c r="B54" s="115" t="s">
        <v>257</v>
      </c>
      <c r="C54" s="320"/>
      <c r="D54" s="113" t="s">
        <v>262</v>
      </c>
      <c r="E54" s="93" t="s">
        <v>190</v>
      </c>
      <c r="F54" s="220" t="str">
        <f t="shared" si="9"/>
        <v>Qlik-Dashboards|Very Complex</v>
      </c>
      <c r="G54" s="89">
        <v>120</v>
      </c>
      <c r="H54" s="89">
        <v>40</v>
      </c>
      <c r="I54" s="109">
        <v>0.5</v>
      </c>
    </row>
    <row r="55" spans="2:9" ht="27.6" x14ac:dyDescent="0.3">
      <c r="B55" s="94" t="s">
        <v>263</v>
      </c>
      <c r="C55" s="315" t="s">
        <v>264</v>
      </c>
      <c r="D55" s="95" t="s">
        <v>265</v>
      </c>
      <c r="E55" s="272" t="s">
        <v>184</v>
      </c>
      <c r="F55" s="220" t="str">
        <f>B55&amp;"|"&amp;E55</f>
        <v>Qlik-Nprinting|Simple</v>
      </c>
      <c r="G55" s="112">
        <v>8</v>
      </c>
      <c r="H55" s="112">
        <v>4</v>
      </c>
      <c r="I55" s="97">
        <v>0.5</v>
      </c>
    </row>
    <row r="56" spans="2:9" ht="41.4" x14ac:dyDescent="0.3">
      <c r="B56" s="94" t="s">
        <v>263</v>
      </c>
      <c r="C56" s="316"/>
      <c r="D56" s="95" t="s">
        <v>266</v>
      </c>
      <c r="E56" s="91" t="s">
        <v>186</v>
      </c>
      <c r="F56" s="220" t="str">
        <f t="shared" ref="F56:F66" si="10">B56&amp;"|"&amp;E56</f>
        <v>Qlik-Nprinting|Medium</v>
      </c>
      <c r="G56" s="112">
        <v>16</v>
      </c>
      <c r="H56" s="112">
        <v>8</v>
      </c>
      <c r="I56" s="97">
        <v>0.5</v>
      </c>
    </row>
    <row r="57" spans="2:9" ht="41.4" x14ac:dyDescent="0.3">
      <c r="B57" s="94" t="s">
        <v>263</v>
      </c>
      <c r="C57" s="316"/>
      <c r="D57" s="95" t="s">
        <v>267</v>
      </c>
      <c r="E57" s="92" t="s">
        <v>188</v>
      </c>
      <c r="F57" s="220" t="str">
        <f t="shared" si="10"/>
        <v>Qlik-Nprinting|Complex</v>
      </c>
      <c r="G57" s="112">
        <v>32</v>
      </c>
      <c r="H57" s="112">
        <v>16</v>
      </c>
      <c r="I57" s="97">
        <v>0.5</v>
      </c>
    </row>
    <row r="58" spans="2:9" ht="55.2" x14ac:dyDescent="0.3">
      <c r="B58" s="94" t="s">
        <v>263</v>
      </c>
      <c r="C58" s="317"/>
      <c r="D58" s="95" t="s">
        <v>268</v>
      </c>
      <c r="E58" s="93" t="s">
        <v>190</v>
      </c>
      <c r="F58" s="220" t="str">
        <f t="shared" si="10"/>
        <v>Qlik-Nprinting|Very Complex</v>
      </c>
      <c r="G58" s="112">
        <v>64</v>
      </c>
      <c r="H58" s="112">
        <v>32</v>
      </c>
      <c r="I58" s="97">
        <v>0.5</v>
      </c>
    </row>
    <row r="59" spans="2:9" ht="27.6" x14ac:dyDescent="0.3">
      <c r="B59" s="115" t="s">
        <v>269</v>
      </c>
      <c r="C59" s="318" t="s">
        <v>270</v>
      </c>
      <c r="D59" s="113" t="s">
        <v>271</v>
      </c>
      <c r="E59" s="272" t="s">
        <v>184</v>
      </c>
      <c r="F59" s="220" t="str">
        <f t="shared" si="10"/>
        <v>Tableau-Dashboards|Simple</v>
      </c>
      <c r="G59" s="89">
        <v>12</v>
      </c>
      <c r="H59" s="89">
        <v>6</v>
      </c>
      <c r="I59" s="109">
        <v>0.5</v>
      </c>
    </row>
    <row r="60" spans="2:9" ht="27.6" x14ac:dyDescent="0.3">
      <c r="B60" s="115" t="s">
        <v>269</v>
      </c>
      <c r="C60" s="319"/>
      <c r="D60" s="113" t="s">
        <v>272</v>
      </c>
      <c r="E60" s="91" t="s">
        <v>186</v>
      </c>
      <c r="F60" s="220" t="str">
        <f t="shared" si="10"/>
        <v>Tableau-Dashboards|Medium</v>
      </c>
      <c r="G60" s="89">
        <v>24</v>
      </c>
      <c r="H60" s="89">
        <v>12</v>
      </c>
      <c r="I60" s="109">
        <v>0.5</v>
      </c>
    </row>
    <row r="61" spans="2:9" ht="27.6" x14ac:dyDescent="0.3">
      <c r="B61" s="115" t="s">
        <v>269</v>
      </c>
      <c r="C61" s="319"/>
      <c r="D61" s="113" t="s">
        <v>273</v>
      </c>
      <c r="E61" s="92" t="s">
        <v>188</v>
      </c>
      <c r="F61" s="220" t="str">
        <f t="shared" si="10"/>
        <v>Tableau-Dashboards|Complex</v>
      </c>
      <c r="G61" s="89">
        <v>48</v>
      </c>
      <c r="H61" s="89">
        <v>24</v>
      </c>
      <c r="I61" s="109">
        <v>0.5</v>
      </c>
    </row>
    <row r="62" spans="2:9" ht="27.6" x14ac:dyDescent="0.3">
      <c r="B62" s="115" t="s">
        <v>269</v>
      </c>
      <c r="C62" s="320"/>
      <c r="D62" s="113" t="s">
        <v>274</v>
      </c>
      <c r="E62" s="93" t="s">
        <v>190</v>
      </c>
      <c r="F62" s="220" t="str">
        <f t="shared" si="10"/>
        <v>Tableau-Dashboards|Very Complex</v>
      </c>
      <c r="G62" s="89">
        <v>80</v>
      </c>
      <c r="H62" s="89">
        <v>32</v>
      </c>
      <c r="I62" s="109">
        <v>0.5</v>
      </c>
    </row>
    <row r="63" spans="2:9" ht="27.6" x14ac:dyDescent="0.3">
      <c r="B63" s="94" t="s">
        <v>275</v>
      </c>
      <c r="C63" s="315" t="s">
        <v>276</v>
      </c>
      <c r="D63" s="95" t="s">
        <v>277</v>
      </c>
      <c r="E63" s="272" t="s">
        <v>184</v>
      </c>
      <c r="F63" s="220" t="str">
        <f t="shared" si="10"/>
        <v>UI-UX-Figma Design|Simple</v>
      </c>
      <c r="G63" s="112">
        <v>8</v>
      </c>
      <c r="H63" s="112">
        <v>2</v>
      </c>
      <c r="I63" s="97">
        <v>0.5</v>
      </c>
    </row>
    <row r="64" spans="2:9" ht="27.6" x14ac:dyDescent="0.3">
      <c r="B64" s="94" t="s">
        <v>275</v>
      </c>
      <c r="C64" s="316"/>
      <c r="D64" s="95" t="s">
        <v>278</v>
      </c>
      <c r="E64" s="91" t="s">
        <v>186</v>
      </c>
      <c r="F64" s="220" t="str">
        <f t="shared" si="10"/>
        <v>UI-UX-Figma Design|Medium</v>
      </c>
      <c r="G64" s="112">
        <v>16</v>
      </c>
      <c r="H64" s="112">
        <v>4</v>
      </c>
      <c r="I64" s="97">
        <v>0.5</v>
      </c>
    </row>
    <row r="65" spans="2:9" ht="27.6" x14ac:dyDescent="0.3">
      <c r="B65" s="94" t="s">
        <v>275</v>
      </c>
      <c r="C65" s="316"/>
      <c r="D65" s="95" t="s">
        <v>279</v>
      </c>
      <c r="E65" s="92" t="s">
        <v>188</v>
      </c>
      <c r="F65" s="220" t="str">
        <f t="shared" si="10"/>
        <v>UI-UX-Figma Design|Complex</v>
      </c>
      <c r="G65" s="112">
        <v>32</v>
      </c>
      <c r="H65" s="112">
        <v>6</v>
      </c>
      <c r="I65" s="97">
        <v>0.5</v>
      </c>
    </row>
    <row r="66" spans="2:9" ht="27.6" x14ac:dyDescent="0.3">
      <c r="B66" s="94" t="s">
        <v>275</v>
      </c>
      <c r="C66" s="317"/>
      <c r="D66" s="95" t="s">
        <v>280</v>
      </c>
      <c r="E66" s="93" t="s">
        <v>190</v>
      </c>
      <c r="F66" s="220" t="str">
        <f t="shared" si="10"/>
        <v>UI-UX-Figma Design|Very Complex</v>
      </c>
      <c r="G66" s="112">
        <v>64</v>
      </c>
      <c r="H66" s="112">
        <v>12</v>
      </c>
      <c r="I66" s="97">
        <v>0.5</v>
      </c>
    </row>
    <row r="67" spans="2:9" ht="27.6" x14ac:dyDescent="0.3">
      <c r="B67" s="115" t="s">
        <v>281</v>
      </c>
      <c r="C67" s="318" t="s">
        <v>282</v>
      </c>
      <c r="D67" s="113" t="s">
        <v>283</v>
      </c>
      <c r="E67" s="272" t="s">
        <v>184</v>
      </c>
      <c r="F67" s="220" t="str">
        <f>B67&amp;"|"&amp;E67</f>
        <v>Data Science|Simple</v>
      </c>
      <c r="G67" s="89">
        <v>16</v>
      </c>
      <c r="H67" s="89">
        <v>8</v>
      </c>
      <c r="I67" s="109">
        <v>0.5</v>
      </c>
    </row>
    <row r="68" spans="2:9" ht="41.4" x14ac:dyDescent="0.3">
      <c r="B68" s="115" t="s">
        <v>281</v>
      </c>
      <c r="C68" s="319"/>
      <c r="D68" s="113" t="s">
        <v>284</v>
      </c>
      <c r="E68" s="91" t="s">
        <v>186</v>
      </c>
      <c r="F68" s="220" t="str">
        <f>B68&amp;"|"&amp;E68</f>
        <v>Data Science|Medium</v>
      </c>
      <c r="G68" s="89">
        <v>32</v>
      </c>
      <c r="H68" s="89">
        <v>16</v>
      </c>
      <c r="I68" s="109">
        <v>0.5</v>
      </c>
    </row>
    <row r="69" spans="2:9" ht="41.4" x14ac:dyDescent="0.3">
      <c r="B69" s="115" t="s">
        <v>281</v>
      </c>
      <c r="C69" s="319"/>
      <c r="D69" s="113" t="s">
        <v>285</v>
      </c>
      <c r="E69" s="92" t="s">
        <v>188</v>
      </c>
      <c r="F69" s="220" t="str">
        <f>B69&amp;"|"&amp;E69</f>
        <v>Data Science|Complex</v>
      </c>
      <c r="G69" s="89">
        <v>64</v>
      </c>
      <c r="H69" s="89">
        <v>32</v>
      </c>
      <c r="I69" s="109">
        <v>0.5</v>
      </c>
    </row>
    <row r="70" spans="2:9" ht="27.6" x14ac:dyDescent="0.3">
      <c r="B70" s="115" t="s">
        <v>281</v>
      </c>
      <c r="C70" s="320"/>
      <c r="D70" s="113" t="s">
        <v>286</v>
      </c>
      <c r="E70" s="93" t="s">
        <v>190</v>
      </c>
      <c r="F70" s="220" t="str">
        <f>B70&amp;"|"&amp;E70</f>
        <v>Data Science|Very Complex</v>
      </c>
      <c r="G70" s="89">
        <v>120</v>
      </c>
      <c r="H70" s="89">
        <v>60</v>
      </c>
      <c r="I70" s="109">
        <v>0.5</v>
      </c>
    </row>
    <row r="71" spans="2:9" ht="41.4" x14ac:dyDescent="0.3">
      <c r="B71" s="94" t="s">
        <v>287</v>
      </c>
      <c r="C71" s="315" t="s">
        <v>288</v>
      </c>
      <c r="D71" s="95" t="s">
        <v>289</v>
      </c>
      <c r="E71" s="272" t="s">
        <v>184</v>
      </c>
      <c r="F71" s="220" t="str">
        <f t="shared" ref="F71:F134" si="11">B71&amp;"|"&amp;E71</f>
        <v>MS Power Apps|Simple</v>
      </c>
      <c r="G71" s="112">
        <v>12</v>
      </c>
      <c r="H71" s="112">
        <v>6</v>
      </c>
      <c r="I71" s="97">
        <v>0.5</v>
      </c>
    </row>
    <row r="72" spans="2:9" ht="41.4" x14ac:dyDescent="0.3">
      <c r="B72" s="94" t="s">
        <v>287</v>
      </c>
      <c r="C72" s="316"/>
      <c r="D72" s="95" t="s">
        <v>290</v>
      </c>
      <c r="E72" s="91" t="s">
        <v>186</v>
      </c>
      <c r="F72" s="220" t="str">
        <f t="shared" si="11"/>
        <v>MS Power Apps|Medium</v>
      </c>
      <c r="G72" s="112">
        <v>24</v>
      </c>
      <c r="H72" s="112">
        <v>12</v>
      </c>
      <c r="I72" s="97">
        <v>0.5</v>
      </c>
    </row>
    <row r="73" spans="2:9" ht="41.4" x14ac:dyDescent="0.3">
      <c r="B73" s="94" t="s">
        <v>287</v>
      </c>
      <c r="C73" s="316"/>
      <c r="D73" s="95" t="s">
        <v>291</v>
      </c>
      <c r="E73" s="92" t="s">
        <v>188</v>
      </c>
      <c r="F73" s="220" t="str">
        <f t="shared" si="11"/>
        <v>MS Power Apps|Complex</v>
      </c>
      <c r="G73" s="112">
        <v>48</v>
      </c>
      <c r="H73" s="112">
        <v>24</v>
      </c>
      <c r="I73" s="97">
        <v>0.5</v>
      </c>
    </row>
    <row r="74" spans="2:9" ht="41.4" x14ac:dyDescent="0.3">
      <c r="B74" s="94" t="s">
        <v>287</v>
      </c>
      <c r="C74" s="317"/>
      <c r="D74" s="95" t="s">
        <v>292</v>
      </c>
      <c r="E74" s="93" t="s">
        <v>190</v>
      </c>
      <c r="F74" s="220" t="str">
        <f t="shared" si="11"/>
        <v>MS Power Apps|Very Complex</v>
      </c>
      <c r="G74" s="112">
        <v>80</v>
      </c>
      <c r="H74" s="112">
        <v>40</v>
      </c>
      <c r="I74" s="97">
        <v>0.5</v>
      </c>
    </row>
    <row r="75" spans="2:9" ht="27.6" x14ac:dyDescent="0.3">
      <c r="B75" s="115" t="s">
        <v>293</v>
      </c>
      <c r="C75" s="318" t="s">
        <v>294</v>
      </c>
      <c r="D75" s="113" t="s">
        <v>295</v>
      </c>
      <c r="E75" s="272" t="s">
        <v>184</v>
      </c>
      <c r="F75" s="220" t="str">
        <f t="shared" si="11"/>
        <v>MS Power Automate|Simple</v>
      </c>
      <c r="G75" s="89">
        <v>8</v>
      </c>
      <c r="H75" s="89">
        <v>4</v>
      </c>
      <c r="I75" s="109">
        <v>0.5</v>
      </c>
    </row>
    <row r="76" spans="2:9" ht="41.4" x14ac:dyDescent="0.3">
      <c r="B76" s="115" t="s">
        <v>293</v>
      </c>
      <c r="C76" s="319"/>
      <c r="D76" s="113" t="s">
        <v>296</v>
      </c>
      <c r="E76" s="91" t="s">
        <v>186</v>
      </c>
      <c r="F76" s="220" t="str">
        <f t="shared" si="11"/>
        <v>MS Power Automate|Medium</v>
      </c>
      <c r="G76" s="89">
        <v>16</v>
      </c>
      <c r="H76" s="89">
        <v>8</v>
      </c>
      <c r="I76" s="109">
        <v>0.5</v>
      </c>
    </row>
    <row r="77" spans="2:9" ht="27.6" x14ac:dyDescent="0.3">
      <c r="B77" s="115" t="s">
        <v>293</v>
      </c>
      <c r="C77" s="319"/>
      <c r="D77" s="113" t="s">
        <v>297</v>
      </c>
      <c r="E77" s="92" t="s">
        <v>188</v>
      </c>
      <c r="F77" s="220" t="str">
        <f t="shared" si="11"/>
        <v>MS Power Automate|Complex</v>
      </c>
      <c r="G77" s="89">
        <v>32</v>
      </c>
      <c r="H77" s="89">
        <v>16</v>
      </c>
      <c r="I77" s="109">
        <v>0.5</v>
      </c>
    </row>
    <row r="78" spans="2:9" ht="55.2" x14ac:dyDescent="0.3">
      <c r="B78" s="115" t="s">
        <v>293</v>
      </c>
      <c r="C78" s="320"/>
      <c r="D78" s="113" t="s">
        <v>298</v>
      </c>
      <c r="E78" s="93" t="s">
        <v>190</v>
      </c>
      <c r="F78" s="220" t="str">
        <f t="shared" si="11"/>
        <v>MS Power Automate|Very Complex</v>
      </c>
      <c r="G78" s="89">
        <v>64</v>
      </c>
      <c r="H78" s="89">
        <v>32</v>
      </c>
      <c r="I78" s="109">
        <v>0.5</v>
      </c>
    </row>
    <row r="79" spans="2:9" ht="41.4" x14ac:dyDescent="0.3">
      <c r="B79" s="94" t="s">
        <v>299</v>
      </c>
      <c r="C79" s="315" t="s">
        <v>300</v>
      </c>
      <c r="D79" s="95" t="s">
        <v>301</v>
      </c>
      <c r="E79" s="272" t="s">
        <v>184</v>
      </c>
      <c r="F79" s="220" t="str">
        <f t="shared" si="11"/>
        <v>MS CoPilot|Simple</v>
      </c>
      <c r="G79" s="112">
        <v>10</v>
      </c>
      <c r="H79" s="112">
        <v>5</v>
      </c>
      <c r="I79" s="97">
        <v>0.5</v>
      </c>
    </row>
    <row r="80" spans="2:9" ht="41.4" x14ac:dyDescent="0.3">
      <c r="B80" s="94" t="s">
        <v>299</v>
      </c>
      <c r="C80" s="316"/>
      <c r="D80" s="95" t="s">
        <v>302</v>
      </c>
      <c r="E80" s="91" t="s">
        <v>186</v>
      </c>
      <c r="F80" s="220" t="str">
        <f t="shared" si="11"/>
        <v>MS CoPilot|Medium</v>
      </c>
      <c r="G80" s="112">
        <v>20</v>
      </c>
      <c r="H80" s="112">
        <v>10</v>
      </c>
      <c r="I80" s="97">
        <v>0.5</v>
      </c>
    </row>
    <row r="81" spans="2:9" ht="41.4" x14ac:dyDescent="0.3">
      <c r="B81" s="94" t="s">
        <v>299</v>
      </c>
      <c r="C81" s="316"/>
      <c r="D81" s="95" t="s">
        <v>303</v>
      </c>
      <c r="E81" s="92" t="s">
        <v>188</v>
      </c>
      <c r="F81" s="220" t="str">
        <f t="shared" si="11"/>
        <v>MS CoPilot|Complex</v>
      </c>
      <c r="G81" s="112">
        <v>40</v>
      </c>
      <c r="H81" s="112">
        <v>20</v>
      </c>
      <c r="I81" s="97">
        <v>0.5</v>
      </c>
    </row>
    <row r="82" spans="2:9" ht="41.4" x14ac:dyDescent="0.3">
      <c r="B82" s="94" t="s">
        <v>299</v>
      </c>
      <c r="C82" s="317"/>
      <c r="D82" s="95" t="s">
        <v>304</v>
      </c>
      <c r="E82" s="93" t="s">
        <v>190</v>
      </c>
      <c r="F82" s="220" t="str">
        <f t="shared" si="11"/>
        <v>MS CoPilot|Very Complex</v>
      </c>
      <c r="G82" s="112">
        <v>80</v>
      </c>
      <c r="H82" s="112">
        <v>40</v>
      </c>
      <c r="I82" s="97">
        <v>0.5</v>
      </c>
    </row>
    <row r="83" spans="2:9" ht="27.6" customHeight="1" x14ac:dyDescent="0.3">
      <c r="B83" s="115" t="s">
        <v>305</v>
      </c>
      <c r="C83" s="318" t="s">
        <v>306</v>
      </c>
      <c r="D83" s="113" t="s">
        <v>307</v>
      </c>
      <c r="E83" s="272" t="s">
        <v>184</v>
      </c>
      <c r="F83" s="220" t="str">
        <f t="shared" si="11"/>
        <v>Gen-AI Knowledge Base|Simple</v>
      </c>
      <c r="G83" s="89">
        <v>4</v>
      </c>
      <c r="H83" s="89">
        <v>2</v>
      </c>
      <c r="I83" s="109">
        <v>0.5</v>
      </c>
    </row>
    <row r="84" spans="2:9" ht="27.6" customHeight="1" x14ac:dyDescent="0.3">
      <c r="B84" s="115" t="s">
        <v>305</v>
      </c>
      <c r="C84" s="319"/>
      <c r="D84" s="113" t="s">
        <v>308</v>
      </c>
      <c r="E84" s="91" t="s">
        <v>186</v>
      </c>
      <c r="F84" s="220" t="str">
        <f t="shared" si="11"/>
        <v>Gen-AI Knowledge Base|Medium</v>
      </c>
      <c r="G84" s="89">
        <v>8</v>
      </c>
      <c r="H84" s="89">
        <v>4</v>
      </c>
      <c r="I84" s="109">
        <v>2</v>
      </c>
    </row>
    <row r="85" spans="2:9" ht="27.6" customHeight="1" x14ac:dyDescent="0.3">
      <c r="B85" s="115" t="s">
        <v>305</v>
      </c>
      <c r="C85" s="319"/>
      <c r="D85" s="113" t="s">
        <v>309</v>
      </c>
      <c r="E85" s="92" t="s">
        <v>188</v>
      </c>
      <c r="F85" s="220" t="str">
        <f t="shared" si="11"/>
        <v>Gen-AI Knowledge Base|Complex</v>
      </c>
      <c r="G85" s="89">
        <v>16</v>
      </c>
      <c r="H85" s="89">
        <v>8</v>
      </c>
      <c r="I85" s="109">
        <v>4</v>
      </c>
    </row>
    <row r="86" spans="2:9" ht="27.6" customHeight="1" x14ac:dyDescent="0.3">
      <c r="B86" s="115" t="s">
        <v>305</v>
      </c>
      <c r="C86" s="320"/>
      <c r="D86" s="113" t="s">
        <v>310</v>
      </c>
      <c r="E86" s="93" t="s">
        <v>190</v>
      </c>
      <c r="F86" s="220" t="str">
        <f t="shared" si="11"/>
        <v>Gen-AI Knowledge Base|Very Complex</v>
      </c>
      <c r="G86" s="89">
        <v>32</v>
      </c>
      <c r="H86" s="89">
        <v>16</v>
      </c>
      <c r="I86" s="109">
        <v>4</v>
      </c>
    </row>
    <row r="87" spans="2:9" ht="27.6" customHeight="1" x14ac:dyDescent="0.3">
      <c r="B87" s="94" t="s">
        <v>311</v>
      </c>
      <c r="C87" s="315" t="s">
        <v>312</v>
      </c>
      <c r="D87" s="95" t="s">
        <v>313</v>
      </c>
      <c r="E87" s="272" t="s">
        <v>184</v>
      </c>
      <c r="F87" s="220" t="str">
        <f t="shared" si="11"/>
        <v>Gen-AI API Development|Simple</v>
      </c>
      <c r="G87" s="112">
        <v>8</v>
      </c>
      <c r="H87" s="112">
        <v>2</v>
      </c>
      <c r="I87" s="97">
        <v>0.5</v>
      </c>
    </row>
    <row r="88" spans="2:9" ht="27.6" customHeight="1" x14ac:dyDescent="0.3">
      <c r="B88" s="94" t="s">
        <v>311</v>
      </c>
      <c r="C88" s="316"/>
      <c r="D88" s="95" t="s">
        <v>314</v>
      </c>
      <c r="E88" s="91" t="s">
        <v>186</v>
      </c>
      <c r="F88" s="220" t="str">
        <f t="shared" si="11"/>
        <v>Gen-AI API Development|Medium</v>
      </c>
      <c r="G88" s="112">
        <v>16</v>
      </c>
      <c r="H88" s="112">
        <v>4</v>
      </c>
      <c r="I88" s="97">
        <v>0.5</v>
      </c>
    </row>
    <row r="89" spans="2:9" ht="27.6" customHeight="1" x14ac:dyDescent="0.3">
      <c r="B89" s="94" t="s">
        <v>311</v>
      </c>
      <c r="C89" s="316"/>
      <c r="D89" s="95" t="s">
        <v>315</v>
      </c>
      <c r="E89" s="92" t="s">
        <v>188</v>
      </c>
      <c r="F89" s="220" t="str">
        <f t="shared" si="11"/>
        <v>Gen-AI API Development|Complex</v>
      </c>
      <c r="G89" s="112">
        <v>32</v>
      </c>
      <c r="H89" s="112">
        <v>8</v>
      </c>
      <c r="I89" s="97">
        <v>2</v>
      </c>
    </row>
    <row r="90" spans="2:9" ht="27.6" customHeight="1" x14ac:dyDescent="0.3">
      <c r="B90" s="94" t="s">
        <v>311</v>
      </c>
      <c r="C90" s="317"/>
      <c r="D90" s="95" t="s">
        <v>316</v>
      </c>
      <c r="E90" s="93" t="s">
        <v>190</v>
      </c>
      <c r="F90" s="220" t="str">
        <f t="shared" si="11"/>
        <v>Gen-AI API Development|Very Complex</v>
      </c>
      <c r="G90" s="112">
        <v>64</v>
      </c>
      <c r="H90" s="112">
        <v>16</v>
      </c>
      <c r="I90" s="97">
        <v>8</v>
      </c>
    </row>
    <row r="91" spans="2:9" ht="27.6" customHeight="1" x14ac:dyDescent="0.3">
      <c r="B91" s="115" t="s">
        <v>317</v>
      </c>
      <c r="C91" s="318" t="s">
        <v>318</v>
      </c>
      <c r="D91" s="113" t="s">
        <v>319</v>
      </c>
      <c r="E91" s="272" t="s">
        <v>184</v>
      </c>
      <c r="F91" s="220" t="str">
        <f t="shared" si="11"/>
        <v>Gen-AI Prompt Engineering|Simple</v>
      </c>
      <c r="G91" s="89">
        <v>4</v>
      </c>
      <c r="H91" s="89">
        <v>2</v>
      </c>
      <c r="I91" s="109">
        <v>0.5</v>
      </c>
    </row>
    <row r="92" spans="2:9" ht="27.6" customHeight="1" x14ac:dyDescent="0.3">
      <c r="B92" s="115" t="s">
        <v>317</v>
      </c>
      <c r="C92" s="319"/>
      <c r="D92" s="113" t="s">
        <v>320</v>
      </c>
      <c r="E92" s="91" t="s">
        <v>186</v>
      </c>
      <c r="F92" s="220" t="str">
        <f t="shared" si="11"/>
        <v>Gen-AI Prompt Engineering|Medium</v>
      </c>
      <c r="G92" s="89">
        <v>8</v>
      </c>
      <c r="H92" s="89">
        <v>4</v>
      </c>
      <c r="I92" s="109">
        <v>2</v>
      </c>
    </row>
    <row r="93" spans="2:9" ht="27.6" customHeight="1" x14ac:dyDescent="0.3">
      <c r="B93" s="115" t="s">
        <v>317</v>
      </c>
      <c r="C93" s="319"/>
      <c r="D93" s="113" t="s">
        <v>321</v>
      </c>
      <c r="E93" s="92" t="s">
        <v>188</v>
      </c>
      <c r="F93" s="220" t="str">
        <f t="shared" si="11"/>
        <v>Gen-AI Prompt Engineering|Complex</v>
      </c>
      <c r="G93" s="89">
        <v>16</v>
      </c>
      <c r="H93" s="89">
        <v>8</v>
      </c>
      <c r="I93" s="109">
        <v>4</v>
      </c>
    </row>
    <row r="94" spans="2:9" ht="27.6" customHeight="1" x14ac:dyDescent="0.3">
      <c r="B94" s="115" t="s">
        <v>317</v>
      </c>
      <c r="C94" s="320"/>
      <c r="D94" s="113" t="s">
        <v>322</v>
      </c>
      <c r="E94" s="93" t="s">
        <v>190</v>
      </c>
      <c r="F94" s="220" t="str">
        <f t="shared" si="11"/>
        <v>Gen-AI Prompt Engineering|Very Complex</v>
      </c>
      <c r="G94" s="89">
        <v>32</v>
      </c>
      <c r="H94" s="89">
        <v>16</v>
      </c>
      <c r="I94" s="109">
        <v>4</v>
      </c>
    </row>
    <row r="95" spans="2:9" ht="27.6" customHeight="1" x14ac:dyDescent="0.3">
      <c r="B95" s="94" t="s">
        <v>323</v>
      </c>
      <c r="C95" s="315" t="s">
        <v>324</v>
      </c>
      <c r="D95" s="95" t="s">
        <v>325</v>
      </c>
      <c r="E95" s="272" t="s">
        <v>184</v>
      </c>
      <c r="F95" s="220" t="str">
        <f t="shared" si="11"/>
        <v>Gen-AI Security &amp; Access Control|Simple</v>
      </c>
      <c r="G95" s="112">
        <v>8</v>
      </c>
      <c r="H95" s="112">
        <v>4</v>
      </c>
      <c r="I95" s="97">
        <v>1</v>
      </c>
    </row>
    <row r="96" spans="2:9" ht="27.6" customHeight="1" x14ac:dyDescent="0.3">
      <c r="B96" s="94" t="s">
        <v>323</v>
      </c>
      <c r="C96" s="316"/>
      <c r="D96" s="95" t="s">
        <v>326</v>
      </c>
      <c r="E96" s="91" t="s">
        <v>186</v>
      </c>
      <c r="F96" s="220" t="str">
        <f t="shared" si="11"/>
        <v>Gen-AI Security &amp; Access Control|Medium</v>
      </c>
      <c r="G96" s="112">
        <v>16</v>
      </c>
      <c r="H96" s="112">
        <v>8</v>
      </c>
      <c r="I96" s="97">
        <v>2</v>
      </c>
    </row>
    <row r="97" spans="2:9" ht="27.6" customHeight="1" x14ac:dyDescent="0.3">
      <c r="B97" s="94" t="s">
        <v>323</v>
      </c>
      <c r="C97" s="316"/>
      <c r="D97" s="95" t="s">
        <v>327</v>
      </c>
      <c r="E97" s="92" t="s">
        <v>188</v>
      </c>
      <c r="F97" s="220" t="str">
        <f t="shared" si="11"/>
        <v>Gen-AI Security &amp; Access Control|Complex</v>
      </c>
      <c r="G97" s="112">
        <v>32</v>
      </c>
      <c r="H97" s="112">
        <v>16</v>
      </c>
      <c r="I97" s="97">
        <v>4</v>
      </c>
    </row>
    <row r="98" spans="2:9" ht="27.6" customHeight="1" x14ac:dyDescent="0.3">
      <c r="B98" s="94" t="s">
        <v>323</v>
      </c>
      <c r="C98" s="317"/>
      <c r="D98" s="95" t="s">
        <v>328</v>
      </c>
      <c r="E98" s="93" t="s">
        <v>190</v>
      </c>
      <c r="F98" s="220" t="str">
        <f t="shared" si="11"/>
        <v>Gen-AI Security &amp; Access Control|Very Complex</v>
      </c>
      <c r="G98" s="112">
        <v>64</v>
      </c>
      <c r="H98" s="112">
        <v>32</v>
      </c>
      <c r="I98" s="97">
        <v>8</v>
      </c>
    </row>
    <row r="99" spans="2:9" ht="27.6" customHeight="1" x14ac:dyDescent="0.3">
      <c r="B99" s="115" t="s">
        <v>329</v>
      </c>
      <c r="C99" s="318" t="s">
        <v>330</v>
      </c>
      <c r="D99" s="113" t="s">
        <v>331</v>
      </c>
      <c r="E99" s="272" t="s">
        <v>184</v>
      </c>
      <c r="F99" s="220" t="str">
        <f t="shared" si="11"/>
        <v>Gen-AI Performance &amp; Opt|Simple</v>
      </c>
      <c r="G99" s="89">
        <v>4</v>
      </c>
      <c r="H99" s="89">
        <v>2</v>
      </c>
      <c r="I99" s="109">
        <v>1</v>
      </c>
    </row>
    <row r="100" spans="2:9" ht="27.6" customHeight="1" x14ac:dyDescent="0.3">
      <c r="B100" s="115" t="s">
        <v>329</v>
      </c>
      <c r="C100" s="319"/>
      <c r="D100" s="113" t="s">
        <v>332</v>
      </c>
      <c r="E100" s="91" t="s">
        <v>186</v>
      </c>
      <c r="F100" s="220" t="str">
        <f t="shared" si="11"/>
        <v>Gen-AI Performance &amp; Opt|Medium</v>
      </c>
      <c r="G100" s="89">
        <v>8</v>
      </c>
      <c r="H100" s="89">
        <v>4</v>
      </c>
      <c r="I100" s="109">
        <v>2</v>
      </c>
    </row>
    <row r="101" spans="2:9" ht="27.6" customHeight="1" x14ac:dyDescent="0.3">
      <c r="B101" s="115" t="s">
        <v>329</v>
      </c>
      <c r="C101" s="319"/>
      <c r="D101" s="113" t="s">
        <v>333</v>
      </c>
      <c r="E101" s="92" t="s">
        <v>188</v>
      </c>
      <c r="F101" s="220" t="str">
        <f t="shared" si="11"/>
        <v>Gen-AI Performance &amp; Opt|Complex</v>
      </c>
      <c r="G101" s="89">
        <v>12</v>
      </c>
      <c r="H101" s="89">
        <v>6</v>
      </c>
      <c r="I101" s="109">
        <v>2</v>
      </c>
    </row>
    <row r="102" spans="2:9" ht="27.6" customHeight="1" x14ac:dyDescent="0.3">
      <c r="B102" s="115" t="s">
        <v>329</v>
      </c>
      <c r="C102" s="320"/>
      <c r="D102" s="113" t="s">
        <v>334</v>
      </c>
      <c r="E102" s="93" t="s">
        <v>190</v>
      </c>
      <c r="F102" s="220" t="str">
        <f t="shared" si="11"/>
        <v>Gen-AI Performance &amp; Opt|Very Complex</v>
      </c>
      <c r="G102" s="89">
        <v>32</v>
      </c>
      <c r="H102" s="89">
        <v>16</v>
      </c>
      <c r="I102" s="109">
        <v>2</v>
      </c>
    </row>
    <row r="103" spans="2:9" ht="27.6" customHeight="1" x14ac:dyDescent="0.3">
      <c r="B103" s="94" t="s">
        <v>335</v>
      </c>
      <c r="C103" s="315" t="s">
        <v>336</v>
      </c>
      <c r="D103" s="95" t="s">
        <v>337</v>
      </c>
      <c r="E103" s="272" t="s">
        <v>184</v>
      </c>
      <c r="F103" s="220" t="str">
        <f t="shared" ref="F103:F106" si="12">B103&amp;"|"&amp;E103</f>
        <v>Gen-AI Chat Interface Development|Simple</v>
      </c>
      <c r="G103" s="112">
        <v>8</v>
      </c>
      <c r="H103" s="112">
        <v>4</v>
      </c>
      <c r="I103" s="97">
        <v>1</v>
      </c>
    </row>
    <row r="104" spans="2:9" ht="27.6" customHeight="1" x14ac:dyDescent="0.3">
      <c r="B104" s="94" t="s">
        <v>335</v>
      </c>
      <c r="C104" s="316"/>
      <c r="D104" s="95" t="s">
        <v>338</v>
      </c>
      <c r="E104" s="91" t="s">
        <v>186</v>
      </c>
      <c r="F104" s="220" t="str">
        <f t="shared" si="12"/>
        <v>Gen-AI Chat Interface Development|Medium</v>
      </c>
      <c r="G104" s="112">
        <v>16</v>
      </c>
      <c r="H104" s="112">
        <v>8</v>
      </c>
      <c r="I104" s="97">
        <v>1</v>
      </c>
    </row>
    <row r="105" spans="2:9" ht="27.6" customHeight="1" x14ac:dyDescent="0.3">
      <c r="B105" s="94" t="s">
        <v>335</v>
      </c>
      <c r="C105" s="316"/>
      <c r="D105" s="95" t="s">
        <v>339</v>
      </c>
      <c r="E105" s="92" t="s">
        <v>188</v>
      </c>
      <c r="F105" s="220" t="str">
        <f t="shared" si="12"/>
        <v>Gen-AI Chat Interface Development|Complex</v>
      </c>
      <c r="G105" s="112">
        <v>32</v>
      </c>
      <c r="H105" s="112">
        <v>16</v>
      </c>
      <c r="I105" s="97">
        <v>1</v>
      </c>
    </row>
    <row r="106" spans="2:9" ht="27.6" customHeight="1" x14ac:dyDescent="0.3">
      <c r="B106" s="94" t="s">
        <v>335</v>
      </c>
      <c r="C106" s="317"/>
      <c r="D106" s="95" t="s">
        <v>340</v>
      </c>
      <c r="E106" s="93" t="s">
        <v>190</v>
      </c>
      <c r="F106" s="220" t="str">
        <f t="shared" si="12"/>
        <v>Gen-AI Chat Interface Development|Very Complex</v>
      </c>
      <c r="G106" s="112">
        <v>64</v>
      </c>
      <c r="H106" s="112">
        <v>32</v>
      </c>
      <c r="I106" s="97">
        <v>1</v>
      </c>
    </row>
    <row r="107" spans="2:9" x14ac:dyDescent="0.3">
      <c r="D107" s="118"/>
      <c r="F107" s="220" t="str">
        <f t="shared" si="11"/>
        <v>|</v>
      </c>
    </row>
    <row r="108" spans="2:9" x14ac:dyDescent="0.3">
      <c r="D108" s="118"/>
      <c r="F108" s="220" t="str">
        <f t="shared" si="11"/>
        <v>|</v>
      </c>
    </row>
    <row r="109" spans="2:9" x14ac:dyDescent="0.3">
      <c r="D109" s="118"/>
      <c r="F109" s="220" t="str">
        <f t="shared" si="11"/>
        <v>|</v>
      </c>
    </row>
    <row r="110" spans="2:9" x14ac:dyDescent="0.3">
      <c r="D110" s="118"/>
      <c r="F110" s="220" t="str">
        <f t="shared" si="11"/>
        <v>|</v>
      </c>
    </row>
    <row r="111" spans="2:9" x14ac:dyDescent="0.3">
      <c r="D111" s="118"/>
      <c r="F111" s="220" t="str">
        <f t="shared" si="11"/>
        <v>|</v>
      </c>
    </row>
    <row r="112" spans="2:9" x14ac:dyDescent="0.3">
      <c r="D112" s="118"/>
      <c r="F112" s="220" t="str">
        <f t="shared" si="11"/>
        <v>|</v>
      </c>
    </row>
    <row r="113" spans="4:6" x14ac:dyDescent="0.3">
      <c r="D113" s="118"/>
      <c r="F113" s="220" t="str">
        <f t="shared" si="11"/>
        <v>|</v>
      </c>
    </row>
    <row r="114" spans="4:6" x14ac:dyDescent="0.3">
      <c r="D114" s="118"/>
      <c r="F114" s="220" t="str">
        <f t="shared" si="11"/>
        <v>|</v>
      </c>
    </row>
    <row r="115" spans="4:6" x14ac:dyDescent="0.3">
      <c r="D115" s="118"/>
      <c r="F115" s="220" t="str">
        <f t="shared" si="11"/>
        <v>|</v>
      </c>
    </row>
    <row r="116" spans="4:6" x14ac:dyDescent="0.3">
      <c r="D116" s="118"/>
      <c r="F116" s="220" t="str">
        <f t="shared" si="11"/>
        <v>|</v>
      </c>
    </row>
    <row r="117" spans="4:6" x14ac:dyDescent="0.3">
      <c r="D117" s="118"/>
      <c r="F117" s="220" t="str">
        <f t="shared" si="11"/>
        <v>|</v>
      </c>
    </row>
    <row r="118" spans="4:6" x14ac:dyDescent="0.3">
      <c r="D118" s="118"/>
      <c r="F118" s="220" t="str">
        <f t="shared" si="11"/>
        <v>|</v>
      </c>
    </row>
    <row r="119" spans="4:6" x14ac:dyDescent="0.3">
      <c r="D119" s="118"/>
      <c r="F119" s="220" t="str">
        <f t="shared" si="11"/>
        <v>|</v>
      </c>
    </row>
    <row r="120" spans="4:6" x14ac:dyDescent="0.3">
      <c r="D120" s="118"/>
      <c r="F120" s="220" t="str">
        <f t="shared" si="11"/>
        <v>|</v>
      </c>
    </row>
    <row r="121" spans="4:6" x14ac:dyDescent="0.3">
      <c r="D121" s="118"/>
      <c r="F121" s="220" t="str">
        <f t="shared" si="11"/>
        <v>|</v>
      </c>
    </row>
    <row r="122" spans="4:6" x14ac:dyDescent="0.3">
      <c r="D122" s="118"/>
      <c r="F122" s="220" t="str">
        <f t="shared" si="11"/>
        <v>|</v>
      </c>
    </row>
    <row r="123" spans="4:6" x14ac:dyDescent="0.3">
      <c r="D123" s="118"/>
      <c r="F123" s="220" t="str">
        <f t="shared" si="11"/>
        <v>|</v>
      </c>
    </row>
    <row r="124" spans="4:6" x14ac:dyDescent="0.3">
      <c r="D124" s="118"/>
      <c r="F124" s="220" t="str">
        <f t="shared" si="11"/>
        <v>|</v>
      </c>
    </row>
    <row r="125" spans="4:6" x14ac:dyDescent="0.3">
      <c r="D125" s="118"/>
      <c r="F125" s="220" t="str">
        <f t="shared" si="11"/>
        <v>|</v>
      </c>
    </row>
    <row r="126" spans="4:6" x14ac:dyDescent="0.3">
      <c r="D126" s="118"/>
      <c r="F126" s="220" t="str">
        <f t="shared" si="11"/>
        <v>|</v>
      </c>
    </row>
    <row r="127" spans="4:6" x14ac:dyDescent="0.3">
      <c r="D127" s="118"/>
      <c r="F127" s="220" t="str">
        <f t="shared" si="11"/>
        <v>|</v>
      </c>
    </row>
    <row r="128" spans="4:6" x14ac:dyDescent="0.3">
      <c r="D128" s="118"/>
      <c r="F128" s="220" t="str">
        <f t="shared" si="11"/>
        <v>|</v>
      </c>
    </row>
    <row r="129" spans="4:6" x14ac:dyDescent="0.3">
      <c r="D129" s="118"/>
      <c r="F129" s="220" t="str">
        <f t="shared" si="11"/>
        <v>|</v>
      </c>
    </row>
    <row r="130" spans="4:6" x14ac:dyDescent="0.3">
      <c r="D130" s="118"/>
      <c r="F130" s="220" t="str">
        <f t="shared" si="11"/>
        <v>|</v>
      </c>
    </row>
    <row r="131" spans="4:6" x14ac:dyDescent="0.3">
      <c r="D131" s="118"/>
      <c r="F131" s="220" t="str">
        <f t="shared" si="11"/>
        <v>|</v>
      </c>
    </row>
    <row r="132" spans="4:6" x14ac:dyDescent="0.3">
      <c r="D132" s="118"/>
      <c r="F132" s="220" t="str">
        <f t="shared" si="11"/>
        <v>|</v>
      </c>
    </row>
    <row r="133" spans="4:6" x14ac:dyDescent="0.3">
      <c r="D133" s="118"/>
      <c r="F133" s="220" t="str">
        <f t="shared" si="11"/>
        <v>|</v>
      </c>
    </row>
    <row r="134" spans="4:6" x14ac:dyDescent="0.3">
      <c r="D134" s="118"/>
      <c r="F134" s="220" t="str">
        <f t="shared" si="11"/>
        <v>|</v>
      </c>
    </row>
    <row r="135" spans="4:6" x14ac:dyDescent="0.3">
      <c r="D135" s="118"/>
      <c r="F135" s="220" t="str">
        <f t="shared" ref="F135:F141" si="13">B135&amp;"|"&amp;E135</f>
        <v>|</v>
      </c>
    </row>
    <row r="136" spans="4:6" x14ac:dyDescent="0.3">
      <c r="D136" s="118"/>
      <c r="F136" s="220" t="str">
        <f t="shared" si="13"/>
        <v>|</v>
      </c>
    </row>
    <row r="137" spans="4:6" x14ac:dyDescent="0.3">
      <c r="D137" s="118"/>
      <c r="F137" s="220" t="str">
        <f t="shared" si="13"/>
        <v>|</v>
      </c>
    </row>
    <row r="138" spans="4:6" x14ac:dyDescent="0.3">
      <c r="D138" s="118"/>
      <c r="F138" s="220" t="str">
        <f t="shared" si="13"/>
        <v>|</v>
      </c>
    </row>
    <row r="139" spans="4:6" x14ac:dyDescent="0.3">
      <c r="D139" s="118"/>
      <c r="F139" s="220" t="str">
        <f t="shared" si="13"/>
        <v>|</v>
      </c>
    </row>
    <row r="140" spans="4:6" x14ac:dyDescent="0.3">
      <c r="D140" s="118"/>
      <c r="F140" s="220" t="str">
        <f t="shared" si="13"/>
        <v>|</v>
      </c>
    </row>
    <row r="141" spans="4:6" x14ac:dyDescent="0.3">
      <c r="D141" s="118"/>
      <c r="F141" s="220" t="str">
        <f t="shared" si="13"/>
        <v>|</v>
      </c>
    </row>
    <row r="142" spans="4:6" x14ac:dyDescent="0.3">
      <c r="D142" s="118"/>
      <c r="F142" s="119"/>
    </row>
    <row r="143" spans="4:6" x14ac:dyDescent="0.3">
      <c r="D143" s="118"/>
      <c r="F143" s="119"/>
    </row>
    <row r="144" spans="4:6" x14ac:dyDescent="0.3">
      <c r="D144" s="118"/>
      <c r="F144" s="119"/>
    </row>
    <row r="145" spans="4:6" x14ac:dyDescent="0.3">
      <c r="D145" s="118"/>
      <c r="F145" s="119"/>
    </row>
    <row r="146" spans="4:6" x14ac:dyDescent="0.3">
      <c r="D146" s="118"/>
      <c r="F146" s="119"/>
    </row>
    <row r="147" spans="4:6" x14ac:dyDescent="0.3">
      <c r="D147" s="118"/>
      <c r="F147" s="119"/>
    </row>
    <row r="148" spans="4:6" x14ac:dyDescent="0.3">
      <c r="D148" s="118"/>
      <c r="F148" s="119"/>
    </row>
    <row r="149" spans="4:6" x14ac:dyDescent="0.3">
      <c r="D149" s="118"/>
      <c r="F149" s="119"/>
    </row>
    <row r="150" spans="4:6" x14ac:dyDescent="0.3">
      <c r="D150" s="118"/>
      <c r="F150" s="119"/>
    </row>
    <row r="151" spans="4:6" x14ac:dyDescent="0.3">
      <c r="D151" s="118"/>
      <c r="F151" s="119"/>
    </row>
    <row r="152" spans="4:6" x14ac:dyDescent="0.3">
      <c r="D152" s="118"/>
      <c r="F152" s="119"/>
    </row>
    <row r="153" spans="4:6" x14ac:dyDescent="0.3">
      <c r="D153" s="118"/>
      <c r="F153" s="119"/>
    </row>
    <row r="154" spans="4:6" x14ac:dyDescent="0.3">
      <c r="D154" s="118"/>
      <c r="F154" s="119"/>
    </row>
    <row r="155" spans="4:6" x14ac:dyDescent="0.3">
      <c r="D155" s="118"/>
      <c r="F155" s="119"/>
    </row>
    <row r="156" spans="4:6" x14ac:dyDescent="0.3">
      <c r="D156" s="118"/>
      <c r="F156" s="119"/>
    </row>
    <row r="157" spans="4:6" x14ac:dyDescent="0.3">
      <c r="D157" s="118"/>
      <c r="F157" s="119"/>
    </row>
    <row r="158" spans="4:6" x14ac:dyDescent="0.3">
      <c r="D158" s="118"/>
      <c r="F158" s="119"/>
    </row>
    <row r="159" spans="4:6" x14ac:dyDescent="0.3">
      <c r="D159" s="118"/>
      <c r="F159" s="119"/>
    </row>
    <row r="160" spans="4:6" x14ac:dyDescent="0.3">
      <c r="D160" s="118"/>
      <c r="F160" s="119"/>
    </row>
    <row r="161" spans="4:6" x14ac:dyDescent="0.3">
      <c r="D161" s="118"/>
      <c r="F161" s="119"/>
    </row>
    <row r="162" spans="4:6" x14ac:dyDescent="0.3">
      <c r="D162" s="118"/>
      <c r="F162" s="119"/>
    </row>
    <row r="163" spans="4:6" x14ac:dyDescent="0.3">
      <c r="D163" s="118"/>
      <c r="F163" s="119"/>
    </row>
    <row r="164" spans="4:6" x14ac:dyDescent="0.3">
      <c r="D164" s="118"/>
      <c r="F164" s="119"/>
    </row>
    <row r="165" spans="4:6" x14ac:dyDescent="0.3">
      <c r="D165" s="118"/>
      <c r="F165" s="119"/>
    </row>
    <row r="166" spans="4:6" x14ac:dyDescent="0.3">
      <c r="D166" s="118"/>
      <c r="F166" s="119"/>
    </row>
    <row r="167" spans="4:6" x14ac:dyDescent="0.3">
      <c r="D167" s="118"/>
      <c r="F167" s="119"/>
    </row>
    <row r="168" spans="4:6" x14ac:dyDescent="0.3">
      <c r="D168" s="118"/>
      <c r="F168" s="119"/>
    </row>
    <row r="169" spans="4:6" x14ac:dyDescent="0.3">
      <c r="D169" s="118"/>
      <c r="F169" s="119"/>
    </row>
    <row r="170" spans="4:6" x14ac:dyDescent="0.3">
      <c r="D170" s="118"/>
      <c r="F170" s="119"/>
    </row>
    <row r="171" spans="4:6" x14ac:dyDescent="0.3">
      <c r="D171" s="118"/>
      <c r="F171" s="119"/>
    </row>
    <row r="172" spans="4:6" x14ac:dyDescent="0.3">
      <c r="D172" s="118"/>
      <c r="F172" s="119"/>
    </row>
    <row r="173" spans="4:6" x14ac:dyDescent="0.3">
      <c r="D173" s="118"/>
      <c r="F173" s="119"/>
    </row>
    <row r="174" spans="4:6" x14ac:dyDescent="0.3">
      <c r="D174" s="118"/>
      <c r="F174" s="119"/>
    </row>
    <row r="175" spans="4:6" x14ac:dyDescent="0.3">
      <c r="D175" s="118"/>
      <c r="F175" s="119"/>
    </row>
    <row r="176" spans="4:6" x14ac:dyDescent="0.3">
      <c r="D176" s="118"/>
      <c r="F176" s="119"/>
    </row>
    <row r="177" spans="4:6" x14ac:dyDescent="0.3">
      <c r="D177" s="118"/>
      <c r="F177" s="119"/>
    </row>
    <row r="178" spans="4:6" x14ac:dyDescent="0.3">
      <c r="D178" s="118"/>
      <c r="F178" s="119"/>
    </row>
    <row r="179" spans="4:6" x14ac:dyDescent="0.3">
      <c r="D179" s="118"/>
      <c r="F179" s="119"/>
    </row>
    <row r="180" spans="4:6" x14ac:dyDescent="0.3">
      <c r="D180" s="118"/>
      <c r="F180" s="119"/>
    </row>
    <row r="181" spans="4:6" x14ac:dyDescent="0.3">
      <c r="D181" s="118"/>
      <c r="F181" s="119"/>
    </row>
    <row r="182" spans="4:6" x14ac:dyDescent="0.3">
      <c r="D182" s="118"/>
      <c r="F182" s="119"/>
    </row>
    <row r="183" spans="4:6" x14ac:dyDescent="0.3">
      <c r="D183" s="118"/>
      <c r="F183" s="119"/>
    </row>
    <row r="184" spans="4:6" x14ac:dyDescent="0.3">
      <c r="D184" s="118"/>
      <c r="F184" s="119"/>
    </row>
    <row r="185" spans="4:6" x14ac:dyDescent="0.3">
      <c r="D185" s="118"/>
      <c r="F185" s="119"/>
    </row>
    <row r="186" spans="4:6" x14ac:dyDescent="0.3">
      <c r="D186" s="118"/>
      <c r="F186" s="119"/>
    </row>
    <row r="187" spans="4:6" x14ac:dyDescent="0.3">
      <c r="D187" s="118"/>
      <c r="F187" s="119"/>
    </row>
    <row r="188" spans="4:6" x14ac:dyDescent="0.3">
      <c r="D188" s="118"/>
      <c r="F188" s="119"/>
    </row>
    <row r="189" spans="4:6" x14ac:dyDescent="0.3">
      <c r="D189" s="118"/>
      <c r="F189" s="119"/>
    </row>
    <row r="190" spans="4:6" x14ac:dyDescent="0.3">
      <c r="D190" s="118"/>
      <c r="F190" s="119"/>
    </row>
    <row r="191" spans="4:6" x14ac:dyDescent="0.3">
      <c r="D191" s="118"/>
      <c r="F191" s="119"/>
    </row>
    <row r="192" spans="4:6" x14ac:dyDescent="0.3">
      <c r="D192" s="118"/>
      <c r="F192" s="119"/>
    </row>
    <row r="193" spans="4:6" x14ac:dyDescent="0.3">
      <c r="D193" s="118"/>
      <c r="F193" s="119"/>
    </row>
    <row r="194" spans="4:6" x14ac:dyDescent="0.3">
      <c r="D194" s="118"/>
      <c r="F194" s="119"/>
    </row>
    <row r="195" spans="4:6" x14ac:dyDescent="0.3">
      <c r="D195" s="118"/>
      <c r="F195" s="119"/>
    </row>
    <row r="196" spans="4:6" x14ac:dyDescent="0.3">
      <c r="D196" s="118"/>
      <c r="F196" s="119"/>
    </row>
    <row r="197" spans="4:6" x14ac:dyDescent="0.3">
      <c r="D197" s="118"/>
      <c r="F197" s="119"/>
    </row>
    <row r="198" spans="4:6" x14ac:dyDescent="0.3">
      <c r="D198" s="118"/>
      <c r="F198" s="119"/>
    </row>
    <row r="199" spans="4:6" x14ac:dyDescent="0.3">
      <c r="D199" s="118"/>
      <c r="F199" s="119"/>
    </row>
    <row r="200" spans="4:6" x14ac:dyDescent="0.3">
      <c r="D200" s="118"/>
      <c r="F200" s="119"/>
    </row>
    <row r="201" spans="4:6" x14ac:dyDescent="0.3">
      <c r="D201" s="118"/>
      <c r="F201" s="119"/>
    </row>
    <row r="202" spans="4:6" x14ac:dyDescent="0.3">
      <c r="D202" s="118"/>
      <c r="F202" s="119"/>
    </row>
    <row r="203" spans="4:6" x14ac:dyDescent="0.3">
      <c r="D203" s="118"/>
      <c r="F203" s="119"/>
    </row>
    <row r="204" spans="4:6" x14ac:dyDescent="0.3">
      <c r="D204" s="118"/>
      <c r="F204" s="119"/>
    </row>
    <row r="205" spans="4:6" x14ac:dyDescent="0.3">
      <c r="D205" s="118"/>
      <c r="F205" s="119"/>
    </row>
    <row r="206" spans="4:6" x14ac:dyDescent="0.3">
      <c r="D206" s="118"/>
      <c r="F206" s="119"/>
    </row>
    <row r="207" spans="4:6" x14ac:dyDescent="0.3">
      <c r="D207" s="118"/>
      <c r="F207" s="119"/>
    </row>
    <row r="208" spans="4:6" x14ac:dyDescent="0.3">
      <c r="D208" s="118"/>
      <c r="F208" s="119"/>
    </row>
    <row r="209" spans="4:6" x14ac:dyDescent="0.3">
      <c r="D209" s="118"/>
      <c r="F209" s="119"/>
    </row>
    <row r="210" spans="4:6" x14ac:dyDescent="0.3">
      <c r="D210" s="118"/>
      <c r="F210" s="119"/>
    </row>
    <row r="211" spans="4:6" x14ac:dyDescent="0.3">
      <c r="D211" s="118"/>
      <c r="F211" s="119"/>
    </row>
    <row r="212" spans="4:6" x14ac:dyDescent="0.3">
      <c r="D212" s="118"/>
      <c r="F212" s="119"/>
    </row>
    <row r="213" spans="4:6" x14ac:dyDescent="0.3">
      <c r="D213" s="118"/>
      <c r="F213" s="119"/>
    </row>
    <row r="214" spans="4:6" x14ac:dyDescent="0.3">
      <c r="D214" s="118"/>
      <c r="F214" s="119"/>
    </row>
    <row r="215" spans="4:6" x14ac:dyDescent="0.3">
      <c r="D215" s="118"/>
      <c r="F215" s="119"/>
    </row>
    <row r="216" spans="4:6" x14ac:dyDescent="0.3">
      <c r="D216" s="118"/>
      <c r="F216" s="119"/>
    </row>
    <row r="217" spans="4:6" x14ac:dyDescent="0.3">
      <c r="D217" s="118"/>
      <c r="F217" s="119"/>
    </row>
    <row r="218" spans="4:6" x14ac:dyDescent="0.3">
      <c r="D218" s="118"/>
      <c r="F218" s="119"/>
    </row>
    <row r="219" spans="4:6" x14ac:dyDescent="0.3">
      <c r="D219" s="118"/>
      <c r="F219" s="119"/>
    </row>
    <row r="220" spans="4:6" x14ac:dyDescent="0.3">
      <c r="D220" s="118"/>
      <c r="F220" s="119"/>
    </row>
    <row r="221" spans="4:6" x14ac:dyDescent="0.3">
      <c r="D221" s="118"/>
      <c r="F221" s="119"/>
    </row>
    <row r="222" spans="4:6" x14ac:dyDescent="0.3">
      <c r="D222" s="118"/>
      <c r="F222" s="119"/>
    </row>
    <row r="223" spans="4:6" x14ac:dyDescent="0.3">
      <c r="D223" s="118"/>
      <c r="F223" s="119"/>
    </row>
    <row r="224" spans="4:6" x14ac:dyDescent="0.3">
      <c r="D224" s="118"/>
      <c r="F224" s="119"/>
    </row>
    <row r="225" spans="4:6" x14ac:dyDescent="0.3">
      <c r="D225" s="118"/>
      <c r="F225" s="119"/>
    </row>
    <row r="226" spans="4:6" x14ac:dyDescent="0.3">
      <c r="D226" s="118"/>
      <c r="F226" s="119"/>
    </row>
    <row r="227" spans="4:6" x14ac:dyDescent="0.3">
      <c r="D227" s="118"/>
      <c r="F227" s="119"/>
    </row>
    <row r="228" spans="4:6" x14ac:dyDescent="0.3">
      <c r="D228" s="118"/>
      <c r="F228" s="119"/>
    </row>
    <row r="229" spans="4:6" x14ac:dyDescent="0.3">
      <c r="D229" s="118"/>
      <c r="F229" s="119"/>
    </row>
    <row r="230" spans="4:6" x14ac:dyDescent="0.3">
      <c r="D230" s="118"/>
      <c r="F230" s="119"/>
    </row>
    <row r="231" spans="4:6" x14ac:dyDescent="0.3">
      <c r="D231" s="118"/>
      <c r="F231" s="119"/>
    </row>
    <row r="232" spans="4:6" x14ac:dyDescent="0.3">
      <c r="D232" s="118"/>
      <c r="F232" s="119"/>
    </row>
    <row r="233" spans="4:6" x14ac:dyDescent="0.3">
      <c r="D233" s="118"/>
      <c r="F233" s="119"/>
    </row>
    <row r="234" spans="4:6" x14ac:dyDescent="0.3">
      <c r="D234" s="118"/>
      <c r="F234" s="119"/>
    </row>
    <row r="235" spans="4:6" x14ac:dyDescent="0.3">
      <c r="D235" s="118"/>
      <c r="F235" s="119"/>
    </row>
    <row r="236" spans="4:6" x14ac:dyDescent="0.3">
      <c r="D236" s="118"/>
      <c r="F236" s="119"/>
    </row>
    <row r="237" spans="4:6" x14ac:dyDescent="0.3">
      <c r="D237" s="118"/>
      <c r="F237" s="119"/>
    </row>
    <row r="238" spans="4:6" x14ac:dyDescent="0.3">
      <c r="D238" s="118"/>
      <c r="F238" s="119"/>
    </row>
    <row r="239" spans="4:6" x14ac:dyDescent="0.3">
      <c r="D239" s="118"/>
      <c r="F239" s="119"/>
    </row>
    <row r="240" spans="4:6" x14ac:dyDescent="0.3">
      <c r="D240" s="118"/>
      <c r="F240" s="119"/>
    </row>
    <row r="241" spans="4:6" x14ac:dyDescent="0.3">
      <c r="D241" s="118"/>
      <c r="F241" s="119"/>
    </row>
    <row r="242" spans="4:6" x14ac:dyDescent="0.3">
      <c r="D242" s="118"/>
      <c r="F242" s="119"/>
    </row>
    <row r="243" spans="4:6" x14ac:dyDescent="0.3">
      <c r="D243" s="118"/>
      <c r="F243" s="119"/>
    </row>
    <row r="244" spans="4:6" x14ac:dyDescent="0.3">
      <c r="D244" s="118"/>
      <c r="F244" s="119"/>
    </row>
    <row r="245" spans="4:6" x14ac:dyDescent="0.3">
      <c r="D245" s="118"/>
      <c r="F245" s="119"/>
    </row>
    <row r="246" spans="4:6" x14ac:dyDescent="0.3">
      <c r="D246" s="118"/>
      <c r="F246" s="119"/>
    </row>
    <row r="247" spans="4:6" x14ac:dyDescent="0.3">
      <c r="D247" s="118"/>
      <c r="F247" s="119"/>
    </row>
    <row r="248" spans="4:6" x14ac:dyDescent="0.3">
      <c r="D248" s="118"/>
      <c r="F248" s="119"/>
    </row>
    <row r="249" spans="4:6" x14ac:dyDescent="0.3">
      <c r="D249" s="118"/>
      <c r="F249" s="119"/>
    </row>
    <row r="250" spans="4:6" x14ac:dyDescent="0.3">
      <c r="D250" s="118"/>
      <c r="F250" s="119"/>
    </row>
    <row r="251" spans="4:6" x14ac:dyDescent="0.3">
      <c r="D251" s="118"/>
      <c r="F251" s="119"/>
    </row>
    <row r="252" spans="4:6" x14ac:dyDescent="0.3">
      <c r="D252" s="118"/>
      <c r="F252" s="119"/>
    </row>
    <row r="253" spans="4:6" x14ac:dyDescent="0.3">
      <c r="D253" s="118"/>
      <c r="F253" s="119"/>
    </row>
    <row r="254" spans="4:6" x14ac:dyDescent="0.3">
      <c r="D254" s="118"/>
      <c r="F254" s="119"/>
    </row>
    <row r="255" spans="4:6" x14ac:dyDescent="0.3">
      <c r="D255" s="118"/>
      <c r="F255" s="119"/>
    </row>
    <row r="256" spans="4:6" x14ac:dyDescent="0.3">
      <c r="D256" s="118"/>
      <c r="F256" s="119"/>
    </row>
    <row r="257" spans="4:6" x14ac:dyDescent="0.3">
      <c r="D257" s="118"/>
      <c r="F257" s="119"/>
    </row>
    <row r="258" spans="4:6" x14ac:dyDescent="0.3">
      <c r="D258" s="118"/>
      <c r="F258" s="119"/>
    </row>
    <row r="259" spans="4:6" x14ac:dyDescent="0.3">
      <c r="D259" s="118"/>
      <c r="F259" s="119"/>
    </row>
    <row r="260" spans="4:6" x14ac:dyDescent="0.3">
      <c r="D260" s="118"/>
      <c r="F260" s="119"/>
    </row>
    <row r="261" spans="4:6" x14ac:dyDescent="0.3">
      <c r="D261" s="118"/>
      <c r="F261" s="119"/>
    </row>
    <row r="262" spans="4:6" x14ac:dyDescent="0.3">
      <c r="D262" s="118"/>
      <c r="F262" s="119"/>
    </row>
    <row r="263" spans="4:6" x14ac:dyDescent="0.3">
      <c r="D263" s="118"/>
      <c r="F263" s="119"/>
    </row>
    <row r="264" spans="4:6" x14ac:dyDescent="0.3">
      <c r="D264" s="118"/>
      <c r="F264" s="119"/>
    </row>
    <row r="265" spans="4:6" x14ac:dyDescent="0.3">
      <c r="D265" s="118"/>
      <c r="F265" s="119"/>
    </row>
    <row r="266" spans="4:6" x14ac:dyDescent="0.3">
      <c r="D266" s="118"/>
      <c r="F266" s="119"/>
    </row>
    <row r="267" spans="4:6" x14ac:dyDescent="0.3">
      <c r="D267" s="118"/>
      <c r="F267" s="119"/>
    </row>
    <row r="268" spans="4:6" x14ac:dyDescent="0.3">
      <c r="D268" s="118"/>
      <c r="F268" s="119"/>
    </row>
    <row r="269" spans="4:6" x14ac:dyDescent="0.3">
      <c r="D269" s="118"/>
      <c r="F269" s="119"/>
    </row>
    <row r="270" spans="4:6" x14ac:dyDescent="0.3">
      <c r="D270" s="118"/>
      <c r="F270" s="119"/>
    </row>
    <row r="271" spans="4:6" x14ac:dyDescent="0.3">
      <c r="D271" s="118"/>
      <c r="F271" s="119"/>
    </row>
    <row r="272" spans="4:6" x14ac:dyDescent="0.3">
      <c r="D272" s="118"/>
      <c r="F272" s="119"/>
    </row>
    <row r="273" spans="4:6" x14ac:dyDescent="0.3">
      <c r="D273" s="118"/>
      <c r="F273" s="119"/>
    </row>
    <row r="274" spans="4:6" x14ac:dyDescent="0.3">
      <c r="D274" s="118"/>
      <c r="F274" s="119"/>
    </row>
    <row r="275" spans="4:6" x14ac:dyDescent="0.3">
      <c r="D275" s="118"/>
      <c r="F275" s="119"/>
    </row>
    <row r="276" spans="4:6" x14ac:dyDescent="0.3">
      <c r="D276" s="118"/>
      <c r="F276" s="119"/>
    </row>
    <row r="277" spans="4:6" x14ac:dyDescent="0.3">
      <c r="D277" s="118"/>
      <c r="F277" s="119"/>
    </row>
    <row r="278" spans="4:6" x14ac:dyDescent="0.3">
      <c r="D278" s="118"/>
      <c r="F278" s="119"/>
    </row>
    <row r="279" spans="4:6" x14ac:dyDescent="0.3">
      <c r="D279" s="118"/>
      <c r="F279" s="119"/>
    </row>
    <row r="280" spans="4:6" x14ac:dyDescent="0.3">
      <c r="D280" s="118"/>
      <c r="F280" s="119"/>
    </row>
    <row r="281" spans="4:6" x14ac:dyDescent="0.3">
      <c r="D281" s="118"/>
      <c r="F281" s="119"/>
    </row>
    <row r="282" spans="4:6" x14ac:dyDescent="0.3">
      <c r="D282" s="118"/>
      <c r="F282" s="119"/>
    </row>
    <row r="283" spans="4:6" x14ac:dyDescent="0.3">
      <c r="D283" s="118"/>
      <c r="F283" s="119"/>
    </row>
    <row r="284" spans="4:6" x14ac:dyDescent="0.3">
      <c r="D284" s="118"/>
      <c r="F284" s="119"/>
    </row>
    <row r="285" spans="4:6" x14ac:dyDescent="0.3">
      <c r="D285" s="118"/>
      <c r="F285" s="119"/>
    </row>
    <row r="286" spans="4:6" x14ac:dyDescent="0.3">
      <c r="D286" s="118"/>
      <c r="F286" s="119"/>
    </row>
    <row r="287" spans="4:6" x14ac:dyDescent="0.3">
      <c r="D287" s="118"/>
      <c r="F287" s="119"/>
    </row>
    <row r="288" spans="4:6" x14ac:dyDescent="0.3">
      <c r="D288" s="118"/>
      <c r="F288" s="119"/>
    </row>
    <row r="289" spans="4:6" x14ac:dyDescent="0.3">
      <c r="D289" s="118"/>
      <c r="F289" s="119"/>
    </row>
    <row r="290" spans="4:6" x14ac:dyDescent="0.3">
      <c r="D290" s="118"/>
      <c r="F290" s="119"/>
    </row>
    <row r="291" spans="4:6" x14ac:dyDescent="0.3">
      <c r="D291" s="118"/>
      <c r="F291" s="119"/>
    </row>
    <row r="292" spans="4:6" x14ac:dyDescent="0.3">
      <c r="D292" s="118"/>
      <c r="F292" s="119"/>
    </row>
    <row r="293" spans="4:6" x14ac:dyDescent="0.3">
      <c r="D293" s="118"/>
      <c r="F293" s="119"/>
    </row>
    <row r="294" spans="4:6" x14ac:dyDescent="0.3">
      <c r="D294" s="118"/>
      <c r="F294" s="119"/>
    </row>
    <row r="295" spans="4:6" x14ac:dyDescent="0.3">
      <c r="D295" s="118"/>
      <c r="F295" s="119"/>
    </row>
    <row r="296" spans="4:6" x14ac:dyDescent="0.3">
      <c r="D296" s="118"/>
      <c r="F296" s="119"/>
    </row>
    <row r="297" spans="4:6" x14ac:dyDescent="0.3">
      <c r="D297" s="118"/>
      <c r="F297" s="119"/>
    </row>
    <row r="298" spans="4:6" x14ac:dyDescent="0.3">
      <c r="D298" s="118"/>
      <c r="F298" s="119"/>
    </row>
    <row r="299" spans="4:6" x14ac:dyDescent="0.3">
      <c r="D299" s="118"/>
      <c r="F299" s="119"/>
    </row>
    <row r="300" spans="4:6" x14ac:dyDescent="0.3">
      <c r="D300" s="118"/>
      <c r="F300" s="119"/>
    </row>
    <row r="301" spans="4:6" x14ac:dyDescent="0.3">
      <c r="D301" s="118"/>
      <c r="F301" s="119"/>
    </row>
    <row r="302" spans="4:6" x14ac:dyDescent="0.3">
      <c r="D302" s="118"/>
      <c r="F302" s="119"/>
    </row>
    <row r="303" spans="4:6" x14ac:dyDescent="0.3">
      <c r="D303" s="118"/>
      <c r="F303" s="119"/>
    </row>
    <row r="304" spans="4:6" x14ac:dyDescent="0.3">
      <c r="D304" s="118"/>
      <c r="F304" s="119"/>
    </row>
    <row r="305" spans="4:6" x14ac:dyDescent="0.3">
      <c r="D305" s="118"/>
      <c r="F305" s="119"/>
    </row>
    <row r="306" spans="4:6" x14ac:dyDescent="0.3">
      <c r="D306" s="118"/>
      <c r="F306" s="119"/>
    </row>
    <row r="307" spans="4:6" x14ac:dyDescent="0.3">
      <c r="D307" s="118"/>
      <c r="F307" s="119"/>
    </row>
    <row r="308" spans="4:6" x14ac:dyDescent="0.3">
      <c r="D308" s="118"/>
      <c r="F308" s="119"/>
    </row>
    <row r="309" spans="4:6" x14ac:dyDescent="0.3">
      <c r="D309" s="118"/>
      <c r="F309" s="119"/>
    </row>
    <row r="310" spans="4:6" x14ac:dyDescent="0.3">
      <c r="D310" s="118"/>
      <c r="F310" s="119"/>
    </row>
    <row r="311" spans="4:6" x14ac:dyDescent="0.3">
      <c r="D311" s="118"/>
      <c r="F311" s="119"/>
    </row>
    <row r="312" spans="4:6" x14ac:dyDescent="0.3">
      <c r="D312" s="118"/>
      <c r="F312" s="119"/>
    </row>
    <row r="313" spans="4:6" x14ac:dyDescent="0.3">
      <c r="D313" s="118"/>
      <c r="F313" s="119"/>
    </row>
    <row r="314" spans="4:6" x14ac:dyDescent="0.3">
      <c r="D314" s="118"/>
      <c r="F314" s="119"/>
    </row>
    <row r="315" spans="4:6" x14ac:dyDescent="0.3">
      <c r="D315" s="118"/>
      <c r="F315" s="119"/>
    </row>
    <row r="316" spans="4:6" x14ac:dyDescent="0.3">
      <c r="D316" s="118"/>
      <c r="F316" s="119"/>
    </row>
    <row r="317" spans="4:6" x14ac:dyDescent="0.3">
      <c r="D317" s="118"/>
      <c r="F317" s="119"/>
    </row>
    <row r="318" spans="4:6" x14ac:dyDescent="0.3">
      <c r="D318" s="118"/>
      <c r="F318" s="119"/>
    </row>
    <row r="319" spans="4:6" x14ac:dyDescent="0.3">
      <c r="D319" s="118"/>
      <c r="F319" s="119"/>
    </row>
    <row r="320" spans="4:6" x14ac:dyDescent="0.3">
      <c r="D320" s="118"/>
      <c r="F320" s="119"/>
    </row>
    <row r="321" spans="4:6" x14ac:dyDescent="0.3">
      <c r="D321" s="118"/>
      <c r="F321" s="119"/>
    </row>
    <row r="322" spans="4:6" x14ac:dyDescent="0.3">
      <c r="D322" s="118"/>
      <c r="F322" s="119"/>
    </row>
    <row r="323" spans="4:6" x14ac:dyDescent="0.3">
      <c r="D323" s="118"/>
      <c r="F323" s="119"/>
    </row>
    <row r="324" spans="4:6" x14ac:dyDescent="0.3">
      <c r="D324" s="118"/>
      <c r="F324" s="119"/>
    </row>
    <row r="325" spans="4:6" x14ac:dyDescent="0.3">
      <c r="D325" s="118"/>
      <c r="F325" s="119"/>
    </row>
    <row r="326" spans="4:6" x14ac:dyDescent="0.3">
      <c r="D326" s="118"/>
      <c r="F326" s="119"/>
    </row>
    <row r="327" spans="4:6" x14ac:dyDescent="0.3">
      <c r="D327" s="118"/>
      <c r="F327" s="119"/>
    </row>
    <row r="328" spans="4:6" x14ac:dyDescent="0.3">
      <c r="D328" s="118"/>
      <c r="F328" s="119"/>
    </row>
    <row r="329" spans="4:6" x14ac:dyDescent="0.3">
      <c r="D329" s="118"/>
      <c r="F329" s="119"/>
    </row>
    <row r="330" spans="4:6" x14ac:dyDescent="0.3">
      <c r="D330" s="118"/>
      <c r="F330" s="119"/>
    </row>
    <row r="331" spans="4:6" x14ac:dyDescent="0.3">
      <c r="D331" s="118"/>
      <c r="F331" s="119"/>
    </row>
    <row r="332" spans="4:6" x14ac:dyDescent="0.3">
      <c r="D332" s="118"/>
      <c r="F332" s="119"/>
    </row>
    <row r="333" spans="4:6" x14ac:dyDescent="0.3">
      <c r="D333" s="118"/>
      <c r="F333" s="119"/>
    </row>
    <row r="334" spans="4:6" x14ac:dyDescent="0.3">
      <c r="D334" s="118"/>
      <c r="F334" s="119"/>
    </row>
    <row r="335" spans="4:6" x14ac:dyDescent="0.3">
      <c r="D335" s="118"/>
      <c r="F335" s="119"/>
    </row>
    <row r="336" spans="4:6" x14ac:dyDescent="0.3">
      <c r="D336" s="118"/>
      <c r="F336" s="119"/>
    </row>
    <row r="337" spans="4:6" x14ac:dyDescent="0.3">
      <c r="D337" s="118"/>
      <c r="F337" s="119"/>
    </row>
    <row r="338" spans="4:6" x14ac:dyDescent="0.3">
      <c r="D338" s="118"/>
      <c r="F338" s="119"/>
    </row>
    <row r="339" spans="4:6" x14ac:dyDescent="0.3">
      <c r="D339" s="118"/>
      <c r="F339" s="119"/>
    </row>
    <row r="340" spans="4:6" x14ac:dyDescent="0.3">
      <c r="D340" s="118"/>
      <c r="F340" s="119"/>
    </row>
    <row r="341" spans="4:6" x14ac:dyDescent="0.3">
      <c r="D341" s="118"/>
      <c r="F341" s="119"/>
    </row>
    <row r="342" spans="4:6" x14ac:dyDescent="0.3">
      <c r="D342" s="118"/>
      <c r="F342" s="119"/>
    </row>
    <row r="343" spans="4:6" x14ac:dyDescent="0.3">
      <c r="D343" s="118"/>
      <c r="F343" s="119"/>
    </row>
    <row r="344" spans="4:6" x14ac:dyDescent="0.3">
      <c r="D344" s="118"/>
      <c r="F344" s="119"/>
    </row>
    <row r="345" spans="4:6" x14ac:dyDescent="0.3">
      <c r="D345" s="118"/>
      <c r="F345" s="119"/>
    </row>
    <row r="346" spans="4:6" x14ac:dyDescent="0.3">
      <c r="D346" s="118"/>
      <c r="F346" s="119"/>
    </row>
    <row r="347" spans="4:6" x14ac:dyDescent="0.3">
      <c r="D347" s="118"/>
      <c r="F347" s="119"/>
    </row>
    <row r="348" spans="4:6" x14ac:dyDescent="0.3">
      <c r="D348" s="118"/>
      <c r="F348" s="119"/>
    </row>
    <row r="349" spans="4:6" x14ac:dyDescent="0.3">
      <c r="D349" s="118"/>
      <c r="F349" s="119"/>
    </row>
    <row r="350" spans="4:6" x14ac:dyDescent="0.3">
      <c r="D350" s="118"/>
      <c r="F350" s="119"/>
    </row>
    <row r="351" spans="4:6" x14ac:dyDescent="0.3">
      <c r="D351" s="118"/>
      <c r="F351" s="119"/>
    </row>
    <row r="352" spans="4:6" x14ac:dyDescent="0.3">
      <c r="D352" s="118"/>
      <c r="F352" s="119"/>
    </row>
    <row r="353" spans="4:6" x14ac:dyDescent="0.3">
      <c r="D353" s="118"/>
      <c r="F353" s="119"/>
    </row>
    <row r="354" spans="4:6" x14ac:dyDescent="0.3">
      <c r="D354" s="118"/>
      <c r="F354" s="119"/>
    </row>
    <row r="355" spans="4:6" x14ac:dyDescent="0.3">
      <c r="D355" s="118"/>
      <c r="F355" s="119"/>
    </row>
    <row r="356" spans="4:6" x14ac:dyDescent="0.3">
      <c r="D356" s="118"/>
      <c r="F356" s="119"/>
    </row>
    <row r="357" spans="4:6" x14ac:dyDescent="0.3">
      <c r="D357" s="118"/>
      <c r="F357" s="119"/>
    </row>
    <row r="358" spans="4:6" x14ac:dyDescent="0.3">
      <c r="D358" s="118"/>
      <c r="F358" s="119"/>
    </row>
    <row r="359" spans="4:6" x14ac:dyDescent="0.3">
      <c r="D359" s="118"/>
      <c r="F359" s="119"/>
    </row>
    <row r="360" spans="4:6" x14ac:dyDescent="0.3">
      <c r="D360" s="118"/>
      <c r="F360" s="119"/>
    </row>
    <row r="361" spans="4:6" x14ac:dyDescent="0.3">
      <c r="D361" s="118"/>
      <c r="F361" s="119"/>
    </row>
    <row r="362" spans="4:6" x14ac:dyDescent="0.3">
      <c r="D362" s="118"/>
      <c r="F362" s="119"/>
    </row>
    <row r="363" spans="4:6" x14ac:dyDescent="0.3">
      <c r="D363" s="118"/>
      <c r="F363" s="119"/>
    </row>
    <row r="364" spans="4:6" x14ac:dyDescent="0.3">
      <c r="D364" s="118"/>
      <c r="F364" s="119"/>
    </row>
    <row r="365" spans="4:6" x14ac:dyDescent="0.3">
      <c r="D365" s="118"/>
      <c r="F365" s="119"/>
    </row>
    <row r="366" spans="4:6" x14ac:dyDescent="0.3">
      <c r="D366" s="118"/>
      <c r="F366" s="119"/>
    </row>
    <row r="367" spans="4:6" x14ac:dyDescent="0.3">
      <c r="D367" s="118"/>
      <c r="F367" s="119"/>
    </row>
    <row r="368" spans="4:6" x14ac:dyDescent="0.3">
      <c r="D368" s="118"/>
      <c r="F368" s="119"/>
    </row>
    <row r="369" spans="4:6" x14ac:dyDescent="0.3">
      <c r="D369" s="118"/>
      <c r="F369" s="119"/>
    </row>
    <row r="370" spans="4:6" x14ac:dyDescent="0.3">
      <c r="D370" s="118"/>
      <c r="F370" s="119"/>
    </row>
    <row r="371" spans="4:6" x14ac:dyDescent="0.3">
      <c r="D371" s="118"/>
      <c r="F371" s="119"/>
    </row>
    <row r="372" spans="4:6" x14ac:dyDescent="0.3">
      <c r="D372" s="118"/>
      <c r="F372" s="119"/>
    </row>
    <row r="373" spans="4:6" x14ac:dyDescent="0.3">
      <c r="D373" s="118"/>
      <c r="F373" s="119"/>
    </row>
    <row r="374" spans="4:6" x14ac:dyDescent="0.3">
      <c r="D374" s="118"/>
      <c r="F374" s="119"/>
    </row>
    <row r="375" spans="4:6" x14ac:dyDescent="0.3">
      <c r="D375" s="118"/>
      <c r="F375" s="119"/>
    </row>
    <row r="376" spans="4:6" x14ac:dyDescent="0.3">
      <c r="D376" s="118"/>
      <c r="F376" s="119"/>
    </row>
    <row r="377" spans="4:6" x14ac:dyDescent="0.3">
      <c r="D377" s="118"/>
      <c r="F377" s="119"/>
    </row>
    <row r="378" spans="4:6" x14ac:dyDescent="0.3">
      <c r="D378" s="118"/>
      <c r="F378" s="119"/>
    </row>
    <row r="379" spans="4:6" x14ac:dyDescent="0.3">
      <c r="D379" s="118"/>
      <c r="F379" s="119"/>
    </row>
    <row r="380" spans="4:6" x14ac:dyDescent="0.3">
      <c r="D380" s="118"/>
      <c r="F380" s="119"/>
    </row>
    <row r="381" spans="4:6" x14ac:dyDescent="0.3">
      <c r="D381" s="118"/>
      <c r="F381" s="119"/>
    </row>
    <row r="382" spans="4:6" x14ac:dyDescent="0.3">
      <c r="D382" s="118"/>
      <c r="F382" s="119"/>
    </row>
    <row r="383" spans="4:6" x14ac:dyDescent="0.3">
      <c r="D383" s="118"/>
      <c r="F383" s="119"/>
    </row>
    <row r="384" spans="4:6" x14ac:dyDescent="0.3">
      <c r="D384" s="118"/>
      <c r="F384" s="119"/>
    </row>
    <row r="385" spans="4:6" x14ac:dyDescent="0.3">
      <c r="D385" s="118"/>
      <c r="F385" s="119"/>
    </row>
    <row r="386" spans="4:6" x14ac:dyDescent="0.3">
      <c r="D386" s="118"/>
      <c r="F386" s="119"/>
    </row>
    <row r="387" spans="4:6" x14ac:dyDescent="0.3">
      <c r="D387" s="118"/>
      <c r="F387" s="119"/>
    </row>
    <row r="388" spans="4:6" x14ac:dyDescent="0.3">
      <c r="D388" s="118"/>
      <c r="F388" s="119"/>
    </row>
    <row r="389" spans="4:6" x14ac:dyDescent="0.3">
      <c r="D389" s="118"/>
      <c r="F389" s="119"/>
    </row>
    <row r="390" spans="4:6" x14ac:dyDescent="0.3">
      <c r="D390" s="118"/>
      <c r="F390" s="119"/>
    </row>
    <row r="391" spans="4:6" x14ac:dyDescent="0.3">
      <c r="D391" s="118"/>
      <c r="F391" s="119"/>
    </row>
    <row r="392" spans="4:6" x14ac:dyDescent="0.3">
      <c r="D392" s="118"/>
      <c r="F392" s="119"/>
    </row>
    <row r="393" spans="4:6" x14ac:dyDescent="0.3">
      <c r="D393" s="118"/>
      <c r="F393" s="119"/>
    </row>
    <row r="394" spans="4:6" x14ac:dyDescent="0.3">
      <c r="D394" s="118"/>
      <c r="F394" s="119"/>
    </row>
    <row r="395" spans="4:6" x14ac:dyDescent="0.3">
      <c r="D395" s="118"/>
      <c r="F395" s="119"/>
    </row>
    <row r="396" spans="4:6" x14ac:dyDescent="0.3">
      <c r="D396" s="118"/>
      <c r="F396" s="119"/>
    </row>
    <row r="397" spans="4:6" x14ac:dyDescent="0.3">
      <c r="D397" s="118"/>
      <c r="F397" s="119"/>
    </row>
    <row r="398" spans="4:6" x14ac:dyDescent="0.3">
      <c r="D398" s="118"/>
      <c r="F398" s="119"/>
    </row>
    <row r="399" spans="4:6" x14ac:dyDescent="0.3">
      <c r="D399" s="118"/>
      <c r="F399" s="119"/>
    </row>
    <row r="400" spans="4:6" x14ac:dyDescent="0.3">
      <c r="D400" s="118"/>
      <c r="F400" s="119"/>
    </row>
    <row r="401" spans="4:6" x14ac:dyDescent="0.3">
      <c r="D401" s="118"/>
      <c r="F401" s="119"/>
    </row>
    <row r="402" spans="4:6" x14ac:dyDescent="0.3">
      <c r="D402" s="118"/>
      <c r="F402" s="119"/>
    </row>
    <row r="403" spans="4:6" x14ac:dyDescent="0.3">
      <c r="D403" s="118"/>
      <c r="F403" s="119"/>
    </row>
    <row r="404" spans="4:6" x14ac:dyDescent="0.3">
      <c r="D404" s="118"/>
      <c r="F404" s="119"/>
    </row>
    <row r="405" spans="4:6" x14ac:dyDescent="0.3">
      <c r="D405" s="118"/>
      <c r="F405" s="119"/>
    </row>
    <row r="406" spans="4:6" x14ac:dyDescent="0.3">
      <c r="D406" s="118"/>
      <c r="F406" s="119"/>
    </row>
    <row r="407" spans="4:6" x14ac:dyDescent="0.3">
      <c r="D407" s="118"/>
      <c r="F407" s="119"/>
    </row>
    <row r="408" spans="4:6" x14ac:dyDescent="0.3">
      <c r="D408" s="118"/>
      <c r="F408" s="119"/>
    </row>
    <row r="409" spans="4:6" x14ac:dyDescent="0.3">
      <c r="D409" s="118"/>
      <c r="F409" s="119"/>
    </row>
    <row r="410" spans="4:6" x14ac:dyDescent="0.3">
      <c r="D410" s="118"/>
      <c r="F410" s="119"/>
    </row>
    <row r="411" spans="4:6" x14ac:dyDescent="0.3">
      <c r="D411" s="118"/>
      <c r="F411" s="119"/>
    </row>
    <row r="412" spans="4:6" x14ac:dyDescent="0.3">
      <c r="D412" s="118"/>
      <c r="F412" s="119"/>
    </row>
    <row r="413" spans="4:6" x14ac:dyDescent="0.3">
      <c r="D413" s="118"/>
      <c r="F413" s="119"/>
    </row>
    <row r="414" spans="4:6" x14ac:dyDescent="0.3">
      <c r="D414" s="118"/>
      <c r="F414" s="119"/>
    </row>
    <row r="415" spans="4:6" x14ac:dyDescent="0.3">
      <c r="D415" s="118"/>
      <c r="F415" s="119"/>
    </row>
    <row r="416" spans="4:6" x14ac:dyDescent="0.3">
      <c r="D416" s="118"/>
      <c r="F416" s="119"/>
    </row>
    <row r="417" spans="4:6" x14ac:dyDescent="0.3">
      <c r="D417" s="118"/>
      <c r="F417" s="119"/>
    </row>
    <row r="418" spans="4:6" x14ac:dyDescent="0.3">
      <c r="D418" s="118"/>
      <c r="F418" s="119"/>
    </row>
    <row r="419" spans="4:6" x14ac:dyDescent="0.3">
      <c r="D419" s="118"/>
      <c r="F419" s="119"/>
    </row>
    <row r="420" spans="4:6" x14ac:dyDescent="0.3">
      <c r="D420" s="118"/>
      <c r="F420" s="119"/>
    </row>
    <row r="421" spans="4:6" x14ac:dyDescent="0.3">
      <c r="D421" s="118"/>
      <c r="F421" s="119"/>
    </row>
    <row r="422" spans="4:6" x14ac:dyDescent="0.3">
      <c r="D422" s="118"/>
      <c r="F422" s="119"/>
    </row>
    <row r="423" spans="4:6" x14ac:dyDescent="0.3">
      <c r="D423" s="118"/>
      <c r="F423" s="119"/>
    </row>
    <row r="424" spans="4:6" x14ac:dyDescent="0.3">
      <c r="D424" s="118"/>
      <c r="F424" s="119"/>
    </row>
    <row r="425" spans="4:6" x14ac:dyDescent="0.3">
      <c r="D425" s="118"/>
      <c r="F425" s="119"/>
    </row>
    <row r="426" spans="4:6" x14ac:dyDescent="0.3">
      <c r="D426" s="118"/>
      <c r="F426" s="119"/>
    </row>
    <row r="427" spans="4:6" x14ac:dyDescent="0.3">
      <c r="D427" s="118"/>
      <c r="F427" s="119"/>
    </row>
    <row r="428" spans="4:6" x14ac:dyDescent="0.3">
      <c r="D428" s="118"/>
      <c r="F428" s="119"/>
    </row>
    <row r="429" spans="4:6" x14ac:dyDescent="0.3">
      <c r="D429" s="118"/>
      <c r="F429" s="119"/>
    </row>
    <row r="430" spans="4:6" x14ac:dyDescent="0.3">
      <c r="D430" s="118"/>
      <c r="F430" s="119"/>
    </row>
    <row r="431" spans="4:6" x14ac:dyDescent="0.3">
      <c r="D431" s="118"/>
      <c r="F431" s="119"/>
    </row>
    <row r="432" spans="4:6" x14ac:dyDescent="0.3">
      <c r="D432" s="118"/>
      <c r="F432" s="119"/>
    </row>
    <row r="433" spans="4:6" x14ac:dyDescent="0.3">
      <c r="D433" s="118"/>
      <c r="F433" s="119"/>
    </row>
    <row r="434" spans="4:6" x14ac:dyDescent="0.3">
      <c r="D434" s="118"/>
      <c r="F434" s="119"/>
    </row>
    <row r="435" spans="4:6" x14ac:dyDescent="0.3">
      <c r="D435" s="118"/>
      <c r="F435" s="119"/>
    </row>
    <row r="436" spans="4:6" x14ac:dyDescent="0.3">
      <c r="D436" s="118"/>
      <c r="F436" s="119"/>
    </row>
    <row r="437" spans="4:6" x14ac:dyDescent="0.3">
      <c r="D437" s="118"/>
      <c r="F437" s="119"/>
    </row>
    <row r="438" spans="4:6" x14ac:dyDescent="0.3">
      <c r="D438" s="118"/>
      <c r="F438" s="119"/>
    </row>
    <row r="439" spans="4:6" x14ac:dyDescent="0.3">
      <c r="D439" s="118"/>
      <c r="F439" s="119"/>
    </row>
    <row r="440" spans="4:6" x14ac:dyDescent="0.3">
      <c r="D440" s="118"/>
      <c r="F440" s="119"/>
    </row>
    <row r="441" spans="4:6" x14ac:dyDescent="0.3">
      <c r="D441" s="118"/>
      <c r="F441" s="119"/>
    </row>
    <row r="442" spans="4:6" x14ac:dyDescent="0.3">
      <c r="D442" s="118"/>
      <c r="F442" s="119"/>
    </row>
    <row r="443" spans="4:6" x14ac:dyDescent="0.3">
      <c r="D443" s="118"/>
      <c r="F443" s="119"/>
    </row>
    <row r="444" spans="4:6" x14ac:dyDescent="0.3">
      <c r="D444" s="118"/>
      <c r="F444" s="119"/>
    </row>
    <row r="445" spans="4:6" x14ac:dyDescent="0.3">
      <c r="D445" s="118"/>
      <c r="F445" s="119"/>
    </row>
    <row r="446" spans="4:6" x14ac:dyDescent="0.3">
      <c r="D446" s="118"/>
      <c r="F446" s="119"/>
    </row>
    <row r="447" spans="4:6" x14ac:dyDescent="0.3">
      <c r="D447" s="118"/>
      <c r="F447" s="119"/>
    </row>
    <row r="448" spans="4:6" x14ac:dyDescent="0.3">
      <c r="D448" s="118"/>
      <c r="F448" s="119"/>
    </row>
    <row r="449" spans="4:6" x14ac:dyDescent="0.3">
      <c r="D449" s="118"/>
      <c r="F449" s="119"/>
    </row>
    <row r="450" spans="4:6" x14ac:dyDescent="0.3">
      <c r="D450" s="118"/>
      <c r="F450" s="119"/>
    </row>
    <row r="451" spans="4:6" x14ac:dyDescent="0.3">
      <c r="D451" s="118"/>
      <c r="F451" s="119"/>
    </row>
    <row r="452" spans="4:6" x14ac:dyDescent="0.3">
      <c r="D452" s="118"/>
      <c r="F452" s="119"/>
    </row>
    <row r="453" spans="4:6" x14ac:dyDescent="0.3">
      <c r="D453" s="118"/>
      <c r="F453" s="119"/>
    </row>
    <row r="454" spans="4:6" x14ac:dyDescent="0.3">
      <c r="D454" s="118"/>
      <c r="F454" s="119"/>
    </row>
    <row r="455" spans="4:6" x14ac:dyDescent="0.3">
      <c r="D455" s="118"/>
      <c r="F455" s="119"/>
    </row>
    <row r="456" spans="4:6" x14ac:dyDescent="0.3">
      <c r="D456" s="118"/>
      <c r="F456" s="119"/>
    </row>
    <row r="457" spans="4:6" x14ac:dyDescent="0.3">
      <c r="D457" s="118"/>
      <c r="F457" s="119"/>
    </row>
    <row r="458" spans="4:6" x14ac:dyDescent="0.3">
      <c r="D458" s="118"/>
      <c r="F458" s="119"/>
    </row>
    <row r="459" spans="4:6" x14ac:dyDescent="0.3">
      <c r="D459" s="118"/>
      <c r="F459" s="119"/>
    </row>
    <row r="460" spans="4:6" x14ac:dyDescent="0.3">
      <c r="D460" s="118"/>
      <c r="F460" s="119"/>
    </row>
    <row r="461" spans="4:6" x14ac:dyDescent="0.3">
      <c r="D461" s="118"/>
      <c r="F461" s="119"/>
    </row>
    <row r="462" spans="4:6" x14ac:dyDescent="0.3">
      <c r="D462" s="118"/>
      <c r="F462" s="119"/>
    </row>
    <row r="463" spans="4:6" x14ac:dyDescent="0.3">
      <c r="D463" s="118"/>
      <c r="F463" s="119"/>
    </row>
    <row r="464" spans="4:6" x14ac:dyDescent="0.3">
      <c r="D464" s="118"/>
      <c r="F464" s="119"/>
    </row>
    <row r="465" spans="4:6" x14ac:dyDescent="0.3">
      <c r="D465" s="118"/>
      <c r="F465" s="119"/>
    </row>
    <row r="466" spans="4:6" x14ac:dyDescent="0.3">
      <c r="D466" s="118"/>
      <c r="F466" s="119"/>
    </row>
    <row r="467" spans="4:6" x14ac:dyDescent="0.3">
      <c r="D467" s="118"/>
      <c r="F467" s="119"/>
    </row>
    <row r="468" spans="4:6" x14ac:dyDescent="0.3">
      <c r="D468" s="118"/>
      <c r="F468" s="119"/>
    </row>
    <row r="469" spans="4:6" x14ac:dyDescent="0.3">
      <c r="D469" s="118"/>
      <c r="F469" s="119"/>
    </row>
    <row r="470" spans="4:6" x14ac:dyDescent="0.3">
      <c r="D470" s="118"/>
      <c r="F470" s="119"/>
    </row>
    <row r="471" spans="4:6" x14ac:dyDescent="0.3">
      <c r="D471" s="118"/>
      <c r="F471" s="119"/>
    </row>
    <row r="472" spans="4:6" x14ac:dyDescent="0.3">
      <c r="D472" s="118"/>
      <c r="F472" s="119"/>
    </row>
    <row r="473" spans="4:6" x14ac:dyDescent="0.3">
      <c r="D473" s="118"/>
      <c r="F473" s="119"/>
    </row>
    <row r="474" spans="4:6" x14ac:dyDescent="0.3">
      <c r="D474" s="118"/>
      <c r="F474" s="119"/>
    </row>
    <row r="475" spans="4:6" x14ac:dyDescent="0.3">
      <c r="D475" s="118"/>
      <c r="F475" s="119"/>
    </row>
    <row r="476" spans="4:6" x14ac:dyDescent="0.3">
      <c r="D476" s="118"/>
      <c r="F476" s="119"/>
    </row>
    <row r="477" spans="4:6" x14ac:dyDescent="0.3">
      <c r="D477" s="118"/>
      <c r="F477" s="119"/>
    </row>
    <row r="478" spans="4:6" x14ac:dyDescent="0.3">
      <c r="D478" s="118"/>
      <c r="F478" s="119"/>
    </row>
    <row r="479" spans="4:6" x14ac:dyDescent="0.3">
      <c r="D479" s="118"/>
      <c r="F479" s="119"/>
    </row>
    <row r="480" spans="4:6" x14ac:dyDescent="0.3">
      <c r="D480" s="118"/>
      <c r="F480" s="119"/>
    </row>
    <row r="481" spans="4:6" x14ac:dyDescent="0.3">
      <c r="D481" s="118"/>
      <c r="F481" s="119"/>
    </row>
    <row r="482" spans="4:6" x14ac:dyDescent="0.3">
      <c r="D482" s="118"/>
      <c r="F482" s="119"/>
    </row>
    <row r="483" spans="4:6" x14ac:dyDescent="0.3">
      <c r="D483" s="118"/>
      <c r="F483" s="119"/>
    </row>
    <row r="484" spans="4:6" x14ac:dyDescent="0.3">
      <c r="D484" s="118"/>
      <c r="F484" s="119"/>
    </row>
    <row r="485" spans="4:6" x14ac:dyDescent="0.3">
      <c r="D485" s="118"/>
      <c r="F485" s="119"/>
    </row>
    <row r="486" spans="4:6" x14ac:dyDescent="0.3">
      <c r="D486" s="118"/>
      <c r="F486" s="119"/>
    </row>
    <row r="487" spans="4:6" x14ac:dyDescent="0.3">
      <c r="D487" s="118"/>
      <c r="F487" s="119"/>
    </row>
    <row r="488" spans="4:6" x14ac:dyDescent="0.3">
      <c r="D488" s="118"/>
      <c r="F488" s="119"/>
    </row>
    <row r="489" spans="4:6" x14ac:dyDescent="0.3">
      <c r="D489" s="118"/>
      <c r="F489" s="119"/>
    </row>
    <row r="490" spans="4:6" x14ac:dyDescent="0.3">
      <c r="D490" s="118"/>
      <c r="F490" s="119"/>
    </row>
    <row r="491" spans="4:6" x14ac:dyDescent="0.3">
      <c r="D491" s="118"/>
      <c r="F491" s="119"/>
    </row>
    <row r="492" spans="4:6" x14ac:dyDescent="0.3">
      <c r="D492" s="118"/>
      <c r="F492" s="119"/>
    </row>
    <row r="493" spans="4:6" x14ac:dyDescent="0.3">
      <c r="D493" s="118"/>
      <c r="F493" s="119"/>
    </row>
    <row r="494" spans="4:6" x14ac:dyDescent="0.3">
      <c r="D494" s="118"/>
      <c r="F494" s="119"/>
    </row>
    <row r="495" spans="4:6" x14ac:dyDescent="0.3">
      <c r="D495" s="118"/>
      <c r="F495" s="119"/>
    </row>
    <row r="496" spans="4:6" x14ac:dyDescent="0.3">
      <c r="D496" s="118"/>
      <c r="F496" s="119"/>
    </row>
    <row r="497" spans="4:6" x14ac:dyDescent="0.3">
      <c r="D497" s="118"/>
      <c r="F497" s="119"/>
    </row>
    <row r="498" spans="4:6" x14ac:dyDescent="0.3">
      <c r="D498" s="118"/>
      <c r="F498" s="119"/>
    </row>
    <row r="499" spans="4:6" x14ac:dyDescent="0.3">
      <c r="D499" s="118"/>
      <c r="F499" s="119"/>
    </row>
    <row r="500" spans="4:6" x14ac:dyDescent="0.3">
      <c r="D500" s="118"/>
      <c r="F500" s="119"/>
    </row>
    <row r="501" spans="4:6" x14ac:dyDescent="0.3">
      <c r="D501" s="118"/>
      <c r="F501" s="119"/>
    </row>
    <row r="502" spans="4:6" x14ac:dyDescent="0.3">
      <c r="D502" s="118"/>
      <c r="F502" s="119"/>
    </row>
    <row r="503" spans="4:6" x14ac:dyDescent="0.3">
      <c r="D503" s="118"/>
      <c r="F503" s="119"/>
    </row>
    <row r="504" spans="4:6" x14ac:dyDescent="0.3">
      <c r="D504" s="118"/>
      <c r="F504" s="119"/>
    </row>
    <row r="505" spans="4:6" x14ac:dyDescent="0.3">
      <c r="D505" s="118"/>
      <c r="F505" s="119"/>
    </row>
    <row r="506" spans="4:6" x14ac:dyDescent="0.3">
      <c r="D506" s="118"/>
      <c r="F506" s="119"/>
    </row>
    <row r="507" spans="4:6" x14ac:dyDescent="0.3">
      <c r="D507" s="118"/>
      <c r="F507" s="119"/>
    </row>
    <row r="508" spans="4:6" x14ac:dyDescent="0.3">
      <c r="D508" s="118"/>
      <c r="F508" s="119"/>
    </row>
    <row r="509" spans="4:6" x14ac:dyDescent="0.3">
      <c r="D509" s="118"/>
      <c r="F509" s="119"/>
    </row>
    <row r="510" spans="4:6" x14ac:dyDescent="0.3">
      <c r="D510" s="118"/>
      <c r="F510" s="119"/>
    </row>
    <row r="511" spans="4:6" x14ac:dyDescent="0.3">
      <c r="D511" s="118"/>
      <c r="F511" s="119"/>
    </row>
    <row r="512" spans="4:6" x14ac:dyDescent="0.3">
      <c r="D512" s="118"/>
      <c r="F512" s="119"/>
    </row>
    <row r="513" spans="4:6" x14ac:dyDescent="0.3">
      <c r="D513" s="118"/>
      <c r="F513" s="119"/>
    </row>
    <row r="514" spans="4:6" x14ac:dyDescent="0.3">
      <c r="D514" s="118"/>
      <c r="F514" s="119"/>
    </row>
    <row r="515" spans="4:6" x14ac:dyDescent="0.3">
      <c r="D515" s="118"/>
      <c r="F515" s="119"/>
    </row>
    <row r="516" spans="4:6" x14ac:dyDescent="0.3">
      <c r="D516" s="118"/>
      <c r="F516" s="119"/>
    </row>
    <row r="517" spans="4:6" x14ac:dyDescent="0.3">
      <c r="D517" s="118"/>
      <c r="F517" s="119"/>
    </row>
    <row r="518" spans="4:6" x14ac:dyDescent="0.3">
      <c r="D518" s="118"/>
      <c r="F518" s="119"/>
    </row>
    <row r="519" spans="4:6" x14ac:dyDescent="0.3">
      <c r="D519" s="118"/>
      <c r="F519" s="119"/>
    </row>
    <row r="520" spans="4:6" x14ac:dyDescent="0.3">
      <c r="D520" s="118"/>
      <c r="F520" s="119"/>
    </row>
    <row r="521" spans="4:6" x14ac:dyDescent="0.3">
      <c r="D521" s="118"/>
      <c r="F521" s="119"/>
    </row>
    <row r="522" spans="4:6" x14ac:dyDescent="0.3">
      <c r="D522" s="118"/>
      <c r="F522" s="119"/>
    </row>
    <row r="523" spans="4:6" x14ac:dyDescent="0.3">
      <c r="D523" s="118"/>
      <c r="F523" s="119"/>
    </row>
    <row r="524" spans="4:6" x14ac:dyDescent="0.3">
      <c r="D524" s="118"/>
      <c r="F524" s="119"/>
    </row>
    <row r="525" spans="4:6" x14ac:dyDescent="0.3">
      <c r="D525" s="118"/>
      <c r="F525" s="119"/>
    </row>
    <row r="526" spans="4:6" x14ac:dyDescent="0.3">
      <c r="D526" s="118"/>
      <c r="F526" s="119"/>
    </row>
    <row r="527" spans="4:6" x14ac:dyDescent="0.3">
      <c r="D527" s="118"/>
      <c r="F527" s="119"/>
    </row>
    <row r="528" spans="4:6" x14ac:dyDescent="0.3">
      <c r="D528" s="118"/>
      <c r="F528" s="119"/>
    </row>
    <row r="529" spans="4:6" x14ac:dyDescent="0.3">
      <c r="D529" s="118"/>
      <c r="F529" s="119"/>
    </row>
    <row r="530" spans="4:6" x14ac:dyDescent="0.3">
      <c r="D530" s="118"/>
      <c r="F530" s="119"/>
    </row>
    <row r="531" spans="4:6" x14ac:dyDescent="0.3">
      <c r="D531" s="118"/>
      <c r="F531" s="119"/>
    </row>
    <row r="532" spans="4:6" x14ac:dyDescent="0.3">
      <c r="D532" s="118"/>
      <c r="F532" s="119"/>
    </row>
    <row r="533" spans="4:6" x14ac:dyDescent="0.3">
      <c r="D533" s="118"/>
      <c r="F533" s="119"/>
    </row>
    <row r="534" spans="4:6" x14ac:dyDescent="0.3">
      <c r="D534" s="118"/>
      <c r="F534" s="119"/>
    </row>
    <row r="535" spans="4:6" x14ac:dyDescent="0.3">
      <c r="D535" s="118"/>
      <c r="F535" s="119"/>
    </row>
    <row r="536" spans="4:6" x14ac:dyDescent="0.3">
      <c r="D536" s="118"/>
      <c r="F536" s="119"/>
    </row>
    <row r="537" spans="4:6" x14ac:dyDescent="0.3">
      <c r="D537" s="118"/>
      <c r="F537" s="119"/>
    </row>
    <row r="538" spans="4:6" x14ac:dyDescent="0.3">
      <c r="D538" s="118"/>
      <c r="F538" s="119"/>
    </row>
    <row r="539" spans="4:6" x14ac:dyDescent="0.3">
      <c r="D539" s="118"/>
      <c r="F539" s="119"/>
    </row>
    <row r="540" spans="4:6" x14ac:dyDescent="0.3">
      <c r="D540" s="118"/>
      <c r="F540" s="119"/>
    </row>
    <row r="541" spans="4:6" x14ac:dyDescent="0.3">
      <c r="D541" s="118"/>
      <c r="F541" s="119"/>
    </row>
    <row r="542" spans="4:6" x14ac:dyDescent="0.3">
      <c r="D542" s="118"/>
      <c r="F542" s="119"/>
    </row>
    <row r="543" spans="4:6" x14ac:dyDescent="0.3">
      <c r="D543" s="118"/>
      <c r="F543" s="119"/>
    </row>
    <row r="544" spans="4:6" x14ac:dyDescent="0.3">
      <c r="D544" s="118"/>
      <c r="F544" s="119"/>
    </row>
    <row r="545" spans="4:6" x14ac:dyDescent="0.3">
      <c r="D545" s="118"/>
      <c r="F545" s="119"/>
    </row>
    <row r="546" spans="4:6" x14ac:dyDescent="0.3">
      <c r="D546" s="118"/>
      <c r="F546" s="119"/>
    </row>
    <row r="547" spans="4:6" x14ac:dyDescent="0.3">
      <c r="D547" s="118"/>
      <c r="F547" s="119"/>
    </row>
    <row r="548" spans="4:6" x14ac:dyDescent="0.3">
      <c r="D548" s="118"/>
      <c r="F548" s="119"/>
    </row>
    <row r="549" spans="4:6" x14ac:dyDescent="0.3">
      <c r="D549" s="118"/>
      <c r="F549" s="119"/>
    </row>
    <row r="550" spans="4:6" x14ac:dyDescent="0.3">
      <c r="D550" s="118"/>
      <c r="F550" s="119"/>
    </row>
    <row r="551" spans="4:6" x14ac:dyDescent="0.3">
      <c r="D551" s="118"/>
      <c r="F551" s="119"/>
    </row>
    <row r="552" spans="4:6" x14ac:dyDescent="0.3">
      <c r="D552" s="118"/>
      <c r="F552" s="119"/>
    </row>
    <row r="553" spans="4:6" x14ac:dyDescent="0.3">
      <c r="D553" s="118"/>
      <c r="F553" s="119"/>
    </row>
    <row r="554" spans="4:6" x14ac:dyDescent="0.3">
      <c r="D554" s="118"/>
      <c r="F554" s="119"/>
    </row>
    <row r="555" spans="4:6" x14ac:dyDescent="0.3">
      <c r="D555" s="118"/>
      <c r="F555" s="119"/>
    </row>
    <row r="556" spans="4:6" x14ac:dyDescent="0.3">
      <c r="D556" s="118"/>
      <c r="F556" s="119"/>
    </row>
    <row r="557" spans="4:6" x14ac:dyDescent="0.3">
      <c r="D557" s="118"/>
      <c r="F557" s="119"/>
    </row>
    <row r="558" spans="4:6" x14ac:dyDescent="0.3">
      <c r="D558" s="118"/>
      <c r="F558" s="119"/>
    </row>
    <row r="559" spans="4:6" x14ac:dyDescent="0.3">
      <c r="D559" s="118"/>
      <c r="F559" s="119"/>
    </row>
    <row r="560" spans="4:6" x14ac:dyDescent="0.3">
      <c r="D560" s="118"/>
      <c r="F560" s="119"/>
    </row>
    <row r="561" spans="4:6" x14ac:dyDescent="0.3">
      <c r="D561" s="118"/>
      <c r="F561" s="119"/>
    </row>
    <row r="562" spans="4:6" x14ac:dyDescent="0.3">
      <c r="D562" s="118"/>
      <c r="F562" s="119"/>
    </row>
    <row r="563" spans="4:6" x14ac:dyDescent="0.3">
      <c r="D563" s="118"/>
      <c r="F563" s="119"/>
    </row>
    <row r="564" spans="4:6" x14ac:dyDescent="0.3">
      <c r="D564" s="118"/>
      <c r="F564" s="119"/>
    </row>
    <row r="565" spans="4:6" x14ac:dyDescent="0.3">
      <c r="D565" s="118"/>
      <c r="F565" s="119"/>
    </row>
    <row r="566" spans="4:6" x14ac:dyDescent="0.3">
      <c r="D566" s="118"/>
      <c r="F566" s="119"/>
    </row>
    <row r="567" spans="4:6" x14ac:dyDescent="0.3">
      <c r="D567" s="118"/>
      <c r="F567" s="119"/>
    </row>
    <row r="568" spans="4:6" x14ac:dyDescent="0.3">
      <c r="D568" s="118"/>
      <c r="F568" s="119"/>
    </row>
    <row r="569" spans="4:6" x14ac:dyDescent="0.3">
      <c r="D569" s="118"/>
      <c r="F569" s="119"/>
    </row>
    <row r="570" spans="4:6" x14ac:dyDescent="0.3">
      <c r="D570" s="118"/>
      <c r="F570" s="119"/>
    </row>
    <row r="571" spans="4:6" x14ac:dyDescent="0.3">
      <c r="D571" s="118"/>
      <c r="F571" s="119"/>
    </row>
    <row r="572" spans="4:6" x14ac:dyDescent="0.3">
      <c r="D572" s="118"/>
      <c r="F572" s="119"/>
    </row>
    <row r="573" spans="4:6" x14ac:dyDescent="0.3">
      <c r="D573" s="118"/>
      <c r="F573" s="119"/>
    </row>
    <row r="574" spans="4:6" x14ac:dyDescent="0.3">
      <c r="D574" s="118"/>
      <c r="F574" s="119"/>
    </row>
    <row r="575" spans="4:6" x14ac:dyDescent="0.3">
      <c r="D575" s="118"/>
      <c r="F575" s="119"/>
    </row>
    <row r="576" spans="4:6" x14ac:dyDescent="0.3">
      <c r="D576" s="118"/>
      <c r="F576" s="119"/>
    </row>
    <row r="577" spans="4:6" x14ac:dyDescent="0.3">
      <c r="D577" s="118"/>
      <c r="F577" s="119"/>
    </row>
    <row r="578" spans="4:6" x14ac:dyDescent="0.3">
      <c r="D578" s="118"/>
      <c r="F578" s="119"/>
    </row>
    <row r="579" spans="4:6" x14ac:dyDescent="0.3">
      <c r="D579" s="118"/>
      <c r="F579" s="119"/>
    </row>
    <row r="580" spans="4:6" x14ac:dyDescent="0.3">
      <c r="D580" s="118"/>
      <c r="F580" s="119"/>
    </row>
    <row r="581" spans="4:6" x14ac:dyDescent="0.3">
      <c r="D581" s="118"/>
      <c r="F581" s="119"/>
    </row>
    <row r="582" spans="4:6" x14ac:dyDescent="0.3">
      <c r="D582" s="118"/>
      <c r="F582" s="119"/>
    </row>
    <row r="583" spans="4:6" x14ac:dyDescent="0.3">
      <c r="D583" s="118"/>
      <c r="F583" s="119"/>
    </row>
    <row r="584" spans="4:6" x14ac:dyDescent="0.3">
      <c r="D584" s="118"/>
      <c r="F584" s="119"/>
    </row>
    <row r="585" spans="4:6" x14ac:dyDescent="0.3">
      <c r="D585" s="118"/>
      <c r="F585" s="119"/>
    </row>
    <row r="586" spans="4:6" x14ac:dyDescent="0.3">
      <c r="D586" s="118"/>
      <c r="F586" s="119"/>
    </row>
    <row r="587" spans="4:6" x14ac:dyDescent="0.3">
      <c r="D587" s="118"/>
      <c r="F587" s="119"/>
    </row>
    <row r="588" spans="4:6" x14ac:dyDescent="0.3">
      <c r="D588" s="118"/>
      <c r="F588" s="119"/>
    </row>
    <row r="589" spans="4:6" x14ac:dyDescent="0.3">
      <c r="D589" s="118"/>
      <c r="F589" s="119"/>
    </row>
    <row r="590" spans="4:6" x14ac:dyDescent="0.3">
      <c r="D590" s="118"/>
      <c r="F590" s="119"/>
    </row>
    <row r="591" spans="4:6" x14ac:dyDescent="0.3">
      <c r="D591" s="118"/>
      <c r="F591" s="119"/>
    </row>
    <row r="592" spans="4:6" x14ac:dyDescent="0.3">
      <c r="D592" s="118"/>
      <c r="F592" s="119"/>
    </row>
    <row r="593" spans="4:6" x14ac:dyDescent="0.3">
      <c r="D593" s="118"/>
      <c r="F593" s="119"/>
    </row>
    <row r="594" spans="4:6" x14ac:dyDescent="0.3">
      <c r="D594" s="118"/>
      <c r="F594" s="119"/>
    </row>
    <row r="595" spans="4:6" x14ac:dyDescent="0.3">
      <c r="D595" s="118"/>
      <c r="F595" s="119"/>
    </row>
    <row r="596" spans="4:6" x14ac:dyDescent="0.3">
      <c r="D596" s="118"/>
      <c r="F596" s="119"/>
    </row>
    <row r="597" spans="4:6" x14ac:dyDescent="0.3">
      <c r="D597" s="118"/>
      <c r="F597" s="119"/>
    </row>
    <row r="598" spans="4:6" x14ac:dyDescent="0.3">
      <c r="D598" s="118"/>
      <c r="F598" s="119"/>
    </row>
    <row r="599" spans="4:6" x14ac:dyDescent="0.3">
      <c r="D599" s="118"/>
      <c r="F599" s="119"/>
    </row>
    <row r="600" spans="4:6" x14ac:dyDescent="0.3">
      <c r="D600" s="118"/>
      <c r="F600" s="119"/>
    </row>
    <row r="601" spans="4:6" x14ac:dyDescent="0.3">
      <c r="D601" s="118"/>
      <c r="F601" s="119"/>
    </row>
    <row r="602" spans="4:6" x14ac:dyDescent="0.3">
      <c r="D602" s="118"/>
      <c r="F602" s="119"/>
    </row>
    <row r="603" spans="4:6" x14ac:dyDescent="0.3">
      <c r="D603" s="118"/>
      <c r="F603" s="119"/>
    </row>
    <row r="604" spans="4:6" x14ac:dyDescent="0.3">
      <c r="D604" s="118"/>
      <c r="F604" s="119"/>
    </row>
    <row r="605" spans="4:6" x14ac:dyDescent="0.3">
      <c r="D605" s="118"/>
      <c r="F605" s="119"/>
    </row>
    <row r="606" spans="4:6" x14ac:dyDescent="0.3">
      <c r="D606" s="118"/>
      <c r="F606" s="119"/>
    </row>
    <row r="607" spans="4:6" x14ac:dyDescent="0.3">
      <c r="D607" s="118"/>
      <c r="F607" s="119"/>
    </row>
    <row r="608" spans="4:6" x14ac:dyDescent="0.3">
      <c r="D608" s="118"/>
      <c r="F608" s="119"/>
    </row>
    <row r="609" spans="4:6" x14ac:dyDescent="0.3">
      <c r="D609" s="118"/>
      <c r="F609" s="119"/>
    </row>
    <row r="610" spans="4:6" x14ac:dyDescent="0.3">
      <c r="D610" s="118"/>
      <c r="F610" s="119"/>
    </row>
    <row r="611" spans="4:6" x14ac:dyDescent="0.3">
      <c r="D611" s="118"/>
      <c r="F611" s="119"/>
    </row>
    <row r="612" spans="4:6" x14ac:dyDescent="0.3">
      <c r="D612" s="118"/>
      <c r="F612" s="119"/>
    </row>
    <row r="613" spans="4:6" x14ac:dyDescent="0.3">
      <c r="D613" s="118"/>
      <c r="F613" s="119"/>
    </row>
    <row r="614" spans="4:6" x14ac:dyDescent="0.3">
      <c r="D614" s="118"/>
      <c r="F614" s="119"/>
    </row>
    <row r="615" spans="4:6" x14ac:dyDescent="0.3">
      <c r="D615" s="118"/>
      <c r="F615" s="119"/>
    </row>
    <row r="616" spans="4:6" x14ac:dyDescent="0.3">
      <c r="D616" s="118"/>
      <c r="F616" s="119"/>
    </row>
    <row r="617" spans="4:6" x14ac:dyDescent="0.3">
      <c r="D617" s="118"/>
      <c r="F617" s="119"/>
    </row>
    <row r="618" spans="4:6" x14ac:dyDescent="0.3">
      <c r="D618" s="118"/>
      <c r="F618" s="119"/>
    </row>
    <row r="619" spans="4:6" x14ac:dyDescent="0.3">
      <c r="D619" s="118"/>
      <c r="F619" s="119"/>
    </row>
    <row r="620" spans="4:6" x14ac:dyDescent="0.3">
      <c r="D620" s="118"/>
      <c r="F620" s="119"/>
    </row>
    <row r="621" spans="4:6" x14ac:dyDescent="0.3">
      <c r="D621" s="118"/>
      <c r="F621" s="119"/>
    </row>
    <row r="622" spans="4:6" x14ac:dyDescent="0.3">
      <c r="D622" s="118"/>
      <c r="F622" s="119"/>
    </row>
    <row r="623" spans="4:6" x14ac:dyDescent="0.3">
      <c r="D623" s="118"/>
      <c r="F623" s="119"/>
    </row>
    <row r="624" spans="4:6" x14ac:dyDescent="0.3">
      <c r="D624" s="118"/>
      <c r="F624" s="119"/>
    </row>
    <row r="625" spans="4:6" x14ac:dyDescent="0.3">
      <c r="D625" s="118"/>
      <c r="F625" s="119"/>
    </row>
    <row r="626" spans="4:6" x14ac:dyDescent="0.3">
      <c r="D626" s="118"/>
      <c r="F626" s="119"/>
    </row>
    <row r="627" spans="4:6" x14ac:dyDescent="0.3">
      <c r="D627" s="118"/>
      <c r="F627" s="119"/>
    </row>
    <row r="628" spans="4:6" x14ac:dyDescent="0.3">
      <c r="D628" s="118"/>
      <c r="F628" s="119"/>
    </row>
    <row r="629" spans="4:6" x14ac:dyDescent="0.3">
      <c r="D629" s="118"/>
      <c r="F629" s="119"/>
    </row>
    <row r="630" spans="4:6" x14ac:dyDescent="0.3">
      <c r="D630" s="118"/>
      <c r="F630" s="119"/>
    </row>
    <row r="631" spans="4:6" x14ac:dyDescent="0.3">
      <c r="D631" s="118"/>
      <c r="F631" s="119"/>
    </row>
    <row r="632" spans="4:6" x14ac:dyDescent="0.3">
      <c r="D632" s="118"/>
      <c r="F632" s="119"/>
    </row>
    <row r="633" spans="4:6" x14ac:dyDescent="0.3">
      <c r="D633" s="118"/>
      <c r="F633" s="119"/>
    </row>
    <row r="634" spans="4:6" x14ac:dyDescent="0.3">
      <c r="D634" s="118"/>
      <c r="F634" s="119"/>
    </row>
    <row r="635" spans="4:6" x14ac:dyDescent="0.3">
      <c r="D635" s="118"/>
      <c r="F635" s="119"/>
    </row>
    <row r="636" spans="4:6" x14ac:dyDescent="0.3">
      <c r="D636" s="118"/>
      <c r="F636" s="119"/>
    </row>
    <row r="637" spans="4:6" x14ac:dyDescent="0.3">
      <c r="D637" s="118"/>
      <c r="F637" s="119"/>
    </row>
    <row r="638" spans="4:6" x14ac:dyDescent="0.3">
      <c r="D638" s="118"/>
      <c r="F638" s="119"/>
    </row>
    <row r="639" spans="4:6" x14ac:dyDescent="0.3">
      <c r="D639" s="118"/>
      <c r="F639" s="119"/>
    </row>
    <row r="640" spans="4:6" x14ac:dyDescent="0.3">
      <c r="D640" s="118"/>
      <c r="F640" s="119"/>
    </row>
    <row r="641" spans="4:6" x14ac:dyDescent="0.3">
      <c r="D641" s="118"/>
      <c r="F641" s="119"/>
    </row>
    <row r="642" spans="4:6" x14ac:dyDescent="0.3">
      <c r="D642" s="118"/>
      <c r="F642" s="119"/>
    </row>
    <row r="643" spans="4:6" x14ac:dyDescent="0.3">
      <c r="D643" s="118"/>
      <c r="F643" s="119"/>
    </row>
    <row r="644" spans="4:6" x14ac:dyDescent="0.3">
      <c r="D644" s="118"/>
      <c r="F644" s="119"/>
    </row>
    <row r="645" spans="4:6" x14ac:dyDescent="0.3">
      <c r="D645" s="118"/>
      <c r="F645" s="119"/>
    </row>
    <row r="646" spans="4:6" x14ac:dyDescent="0.3">
      <c r="D646" s="118"/>
      <c r="F646" s="119"/>
    </row>
    <row r="647" spans="4:6" x14ac:dyDescent="0.3">
      <c r="D647" s="118"/>
      <c r="F647" s="119"/>
    </row>
    <row r="648" spans="4:6" x14ac:dyDescent="0.3">
      <c r="D648" s="118"/>
      <c r="F648" s="119"/>
    </row>
    <row r="649" spans="4:6" x14ac:dyDescent="0.3">
      <c r="D649" s="118"/>
      <c r="F649" s="119"/>
    </row>
    <row r="650" spans="4:6" x14ac:dyDescent="0.3">
      <c r="D650" s="118"/>
      <c r="F650" s="119"/>
    </row>
    <row r="651" spans="4:6" x14ac:dyDescent="0.3">
      <c r="D651" s="118"/>
      <c r="F651" s="119"/>
    </row>
    <row r="652" spans="4:6" x14ac:dyDescent="0.3">
      <c r="D652" s="118"/>
      <c r="F652" s="119"/>
    </row>
    <row r="653" spans="4:6" x14ac:dyDescent="0.3">
      <c r="D653" s="118"/>
      <c r="F653" s="119"/>
    </row>
    <row r="654" spans="4:6" x14ac:dyDescent="0.3">
      <c r="D654" s="118"/>
      <c r="F654" s="119"/>
    </row>
    <row r="655" spans="4:6" x14ac:dyDescent="0.3">
      <c r="D655" s="118"/>
      <c r="F655" s="119"/>
    </row>
    <row r="656" spans="4:6" x14ac:dyDescent="0.3">
      <c r="D656" s="118"/>
      <c r="F656" s="119"/>
    </row>
    <row r="657" spans="4:6" x14ac:dyDescent="0.3">
      <c r="D657" s="118"/>
      <c r="F657" s="119"/>
    </row>
    <row r="658" spans="4:6" x14ac:dyDescent="0.3">
      <c r="D658" s="118"/>
      <c r="F658" s="119"/>
    </row>
    <row r="659" spans="4:6" x14ac:dyDescent="0.3">
      <c r="D659" s="118"/>
      <c r="F659" s="119"/>
    </row>
    <row r="660" spans="4:6" x14ac:dyDescent="0.3">
      <c r="D660" s="118"/>
      <c r="F660" s="119"/>
    </row>
    <row r="661" spans="4:6" x14ac:dyDescent="0.3">
      <c r="D661" s="118"/>
      <c r="F661" s="119"/>
    </row>
    <row r="662" spans="4:6" x14ac:dyDescent="0.3">
      <c r="D662" s="118"/>
      <c r="F662" s="119"/>
    </row>
    <row r="663" spans="4:6" x14ac:dyDescent="0.3">
      <c r="D663" s="118"/>
      <c r="F663" s="119"/>
    </row>
    <row r="664" spans="4:6" x14ac:dyDescent="0.3">
      <c r="D664" s="118"/>
      <c r="F664" s="119"/>
    </row>
    <row r="665" spans="4:6" x14ac:dyDescent="0.3">
      <c r="D665" s="118"/>
      <c r="F665" s="119"/>
    </row>
    <row r="666" spans="4:6" x14ac:dyDescent="0.3">
      <c r="D666" s="118"/>
      <c r="F666" s="119"/>
    </row>
    <row r="667" spans="4:6" x14ac:dyDescent="0.3">
      <c r="D667" s="118"/>
      <c r="F667" s="119"/>
    </row>
    <row r="668" spans="4:6" x14ac:dyDescent="0.3">
      <c r="D668" s="118"/>
      <c r="F668" s="119"/>
    </row>
    <row r="669" spans="4:6" x14ac:dyDescent="0.3">
      <c r="D669" s="118"/>
      <c r="F669" s="119"/>
    </row>
    <row r="670" spans="4:6" x14ac:dyDescent="0.3">
      <c r="D670" s="118"/>
      <c r="F670" s="119"/>
    </row>
    <row r="671" spans="4:6" x14ac:dyDescent="0.3">
      <c r="D671" s="118"/>
      <c r="F671" s="119"/>
    </row>
    <row r="672" spans="4:6" x14ac:dyDescent="0.3">
      <c r="D672" s="118"/>
      <c r="F672" s="119"/>
    </row>
    <row r="673" spans="4:6" x14ac:dyDescent="0.3">
      <c r="D673" s="118"/>
      <c r="F673" s="119"/>
    </row>
    <row r="674" spans="4:6" x14ac:dyDescent="0.3">
      <c r="D674" s="118"/>
      <c r="F674" s="119"/>
    </row>
    <row r="675" spans="4:6" x14ac:dyDescent="0.3">
      <c r="D675" s="118"/>
      <c r="F675" s="119"/>
    </row>
    <row r="676" spans="4:6" x14ac:dyDescent="0.3">
      <c r="D676" s="118"/>
      <c r="F676" s="119"/>
    </row>
    <row r="677" spans="4:6" x14ac:dyDescent="0.3">
      <c r="D677" s="118"/>
      <c r="F677" s="119"/>
    </row>
    <row r="678" spans="4:6" x14ac:dyDescent="0.3">
      <c r="D678" s="118"/>
      <c r="F678" s="119"/>
    </row>
    <row r="679" spans="4:6" x14ac:dyDescent="0.3">
      <c r="D679" s="118"/>
      <c r="F679" s="119"/>
    </row>
    <row r="680" spans="4:6" x14ac:dyDescent="0.3">
      <c r="D680" s="118"/>
      <c r="F680" s="119"/>
    </row>
    <row r="681" spans="4:6" x14ac:dyDescent="0.3">
      <c r="D681" s="118"/>
      <c r="F681" s="119"/>
    </row>
    <row r="682" spans="4:6" x14ac:dyDescent="0.3">
      <c r="D682" s="118"/>
      <c r="F682" s="119"/>
    </row>
    <row r="683" spans="4:6" x14ac:dyDescent="0.3">
      <c r="D683" s="118"/>
      <c r="F683" s="119"/>
    </row>
    <row r="684" spans="4:6" x14ac:dyDescent="0.3">
      <c r="D684" s="118"/>
      <c r="F684" s="119"/>
    </row>
    <row r="685" spans="4:6" x14ac:dyDescent="0.3">
      <c r="D685" s="118"/>
      <c r="F685" s="119"/>
    </row>
    <row r="686" spans="4:6" x14ac:dyDescent="0.3">
      <c r="D686" s="118"/>
      <c r="F686" s="119"/>
    </row>
    <row r="687" spans="4:6" x14ac:dyDescent="0.3">
      <c r="D687" s="118"/>
      <c r="F687" s="119"/>
    </row>
    <row r="688" spans="4:6" x14ac:dyDescent="0.3">
      <c r="D688" s="118"/>
      <c r="F688" s="119"/>
    </row>
    <row r="689" spans="4:6" x14ac:dyDescent="0.3">
      <c r="D689" s="118"/>
      <c r="F689" s="119"/>
    </row>
    <row r="690" spans="4:6" x14ac:dyDescent="0.3">
      <c r="D690" s="118"/>
      <c r="F690" s="119"/>
    </row>
    <row r="691" spans="4:6" x14ac:dyDescent="0.3">
      <c r="D691" s="118"/>
      <c r="F691" s="119"/>
    </row>
    <row r="692" spans="4:6" x14ac:dyDescent="0.3">
      <c r="D692" s="118"/>
      <c r="F692" s="119"/>
    </row>
    <row r="693" spans="4:6" x14ac:dyDescent="0.3">
      <c r="D693" s="118"/>
      <c r="F693" s="119"/>
    </row>
    <row r="694" spans="4:6" x14ac:dyDescent="0.3">
      <c r="D694" s="118"/>
      <c r="F694" s="119"/>
    </row>
    <row r="695" spans="4:6" x14ac:dyDescent="0.3">
      <c r="D695" s="118"/>
      <c r="F695" s="119"/>
    </row>
    <row r="696" spans="4:6" x14ac:dyDescent="0.3">
      <c r="D696" s="118"/>
      <c r="F696" s="119"/>
    </row>
    <row r="697" spans="4:6" x14ac:dyDescent="0.3">
      <c r="D697" s="118"/>
      <c r="F697" s="119"/>
    </row>
    <row r="698" spans="4:6" x14ac:dyDescent="0.3">
      <c r="D698" s="118"/>
      <c r="F698" s="119"/>
    </row>
    <row r="699" spans="4:6" x14ac:dyDescent="0.3">
      <c r="D699" s="118"/>
      <c r="F699" s="119"/>
    </row>
    <row r="700" spans="4:6" x14ac:dyDescent="0.3">
      <c r="D700" s="118"/>
      <c r="F700" s="119"/>
    </row>
    <row r="701" spans="4:6" x14ac:dyDescent="0.3">
      <c r="D701" s="118"/>
      <c r="F701" s="119"/>
    </row>
    <row r="702" spans="4:6" x14ac:dyDescent="0.3">
      <c r="D702" s="118"/>
      <c r="F702" s="119"/>
    </row>
    <row r="703" spans="4:6" x14ac:dyDescent="0.3">
      <c r="D703" s="118"/>
      <c r="F703" s="119"/>
    </row>
    <row r="704" spans="4:6" x14ac:dyDescent="0.3">
      <c r="D704" s="118"/>
      <c r="F704" s="119"/>
    </row>
    <row r="705" spans="4:6" x14ac:dyDescent="0.3">
      <c r="D705" s="118"/>
      <c r="F705" s="119"/>
    </row>
    <row r="706" spans="4:6" x14ac:dyDescent="0.3">
      <c r="D706" s="118"/>
      <c r="F706" s="119"/>
    </row>
    <row r="707" spans="4:6" x14ac:dyDescent="0.3">
      <c r="D707" s="118"/>
      <c r="F707" s="119"/>
    </row>
    <row r="708" spans="4:6" x14ac:dyDescent="0.3">
      <c r="D708" s="118"/>
      <c r="F708" s="119"/>
    </row>
    <row r="709" spans="4:6" x14ac:dyDescent="0.3">
      <c r="D709" s="118"/>
      <c r="F709" s="119"/>
    </row>
    <row r="710" spans="4:6" x14ac:dyDescent="0.3">
      <c r="D710" s="118"/>
      <c r="F710" s="119"/>
    </row>
    <row r="711" spans="4:6" x14ac:dyDescent="0.3">
      <c r="D711" s="118"/>
      <c r="F711" s="119"/>
    </row>
    <row r="712" spans="4:6" x14ac:dyDescent="0.3">
      <c r="D712" s="118"/>
      <c r="F712" s="119"/>
    </row>
    <row r="713" spans="4:6" x14ac:dyDescent="0.3">
      <c r="D713" s="118"/>
      <c r="F713" s="119"/>
    </row>
    <row r="714" spans="4:6" x14ac:dyDescent="0.3">
      <c r="D714" s="118"/>
      <c r="F714" s="119"/>
    </row>
    <row r="715" spans="4:6" x14ac:dyDescent="0.3">
      <c r="D715" s="118"/>
      <c r="F715" s="119"/>
    </row>
    <row r="716" spans="4:6" x14ac:dyDescent="0.3">
      <c r="D716" s="118"/>
      <c r="F716" s="119"/>
    </row>
    <row r="717" spans="4:6" x14ac:dyDescent="0.3">
      <c r="D717" s="118"/>
      <c r="F717" s="119"/>
    </row>
    <row r="718" spans="4:6" x14ac:dyDescent="0.3">
      <c r="D718" s="118"/>
      <c r="F718" s="119"/>
    </row>
    <row r="719" spans="4:6" x14ac:dyDescent="0.3">
      <c r="D719" s="118"/>
      <c r="F719" s="119"/>
    </row>
    <row r="720" spans="4:6" x14ac:dyDescent="0.3">
      <c r="D720" s="118"/>
      <c r="F720" s="119"/>
    </row>
    <row r="721" spans="4:6" x14ac:dyDescent="0.3">
      <c r="D721" s="118"/>
      <c r="F721" s="119"/>
    </row>
    <row r="722" spans="4:6" x14ac:dyDescent="0.3">
      <c r="D722" s="118"/>
      <c r="F722" s="119"/>
    </row>
    <row r="723" spans="4:6" x14ac:dyDescent="0.3">
      <c r="D723" s="118"/>
      <c r="F723" s="119"/>
    </row>
    <row r="724" spans="4:6" x14ac:dyDescent="0.3">
      <c r="D724" s="118"/>
      <c r="F724" s="119"/>
    </row>
    <row r="725" spans="4:6" x14ac:dyDescent="0.3">
      <c r="D725" s="118"/>
      <c r="F725" s="119"/>
    </row>
    <row r="726" spans="4:6" x14ac:dyDescent="0.3">
      <c r="D726" s="118"/>
      <c r="F726" s="119"/>
    </row>
    <row r="727" spans="4:6" x14ac:dyDescent="0.3">
      <c r="D727" s="118"/>
      <c r="F727" s="119"/>
    </row>
    <row r="728" spans="4:6" x14ac:dyDescent="0.3">
      <c r="D728" s="118"/>
      <c r="F728" s="119"/>
    </row>
    <row r="729" spans="4:6" x14ac:dyDescent="0.3">
      <c r="D729" s="118"/>
      <c r="F729" s="119"/>
    </row>
    <row r="730" spans="4:6" x14ac:dyDescent="0.3">
      <c r="D730" s="118"/>
      <c r="F730" s="119"/>
    </row>
    <row r="731" spans="4:6" x14ac:dyDescent="0.3">
      <c r="D731" s="118"/>
      <c r="F731" s="119"/>
    </row>
    <row r="732" spans="4:6" x14ac:dyDescent="0.3">
      <c r="D732" s="118"/>
      <c r="F732" s="119"/>
    </row>
    <row r="733" spans="4:6" x14ac:dyDescent="0.3">
      <c r="D733" s="118"/>
      <c r="F733" s="119"/>
    </row>
    <row r="734" spans="4:6" x14ac:dyDescent="0.3">
      <c r="D734" s="118"/>
      <c r="F734" s="119"/>
    </row>
    <row r="735" spans="4:6" x14ac:dyDescent="0.3">
      <c r="D735" s="118"/>
      <c r="F735" s="119"/>
    </row>
    <row r="736" spans="4:6" x14ac:dyDescent="0.3">
      <c r="D736" s="118"/>
      <c r="F736" s="119"/>
    </row>
    <row r="737" spans="4:6" x14ac:dyDescent="0.3">
      <c r="D737" s="118"/>
      <c r="F737" s="119"/>
    </row>
    <row r="738" spans="4:6" x14ac:dyDescent="0.3">
      <c r="D738" s="118"/>
      <c r="F738" s="119"/>
    </row>
    <row r="739" spans="4:6" x14ac:dyDescent="0.3">
      <c r="D739" s="118"/>
      <c r="F739" s="119"/>
    </row>
    <row r="740" spans="4:6" x14ac:dyDescent="0.3">
      <c r="D740" s="118"/>
      <c r="F740" s="119"/>
    </row>
    <row r="741" spans="4:6" x14ac:dyDescent="0.3">
      <c r="D741" s="118"/>
      <c r="F741" s="119"/>
    </row>
    <row r="742" spans="4:6" x14ac:dyDescent="0.3">
      <c r="D742" s="118"/>
      <c r="F742" s="119"/>
    </row>
    <row r="743" spans="4:6" x14ac:dyDescent="0.3">
      <c r="D743" s="118"/>
      <c r="F743" s="119"/>
    </row>
    <row r="744" spans="4:6" x14ac:dyDescent="0.3">
      <c r="D744" s="118"/>
      <c r="F744" s="119"/>
    </row>
    <row r="745" spans="4:6" x14ac:dyDescent="0.3">
      <c r="D745" s="118"/>
      <c r="F745" s="119"/>
    </row>
    <row r="746" spans="4:6" x14ac:dyDescent="0.3">
      <c r="D746" s="118"/>
      <c r="F746" s="119"/>
    </row>
    <row r="747" spans="4:6" x14ac:dyDescent="0.3">
      <c r="D747" s="118"/>
      <c r="F747" s="119"/>
    </row>
    <row r="748" spans="4:6" x14ac:dyDescent="0.3">
      <c r="D748" s="118"/>
      <c r="F748" s="119"/>
    </row>
    <row r="749" spans="4:6" x14ac:dyDescent="0.3">
      <c r="D749" s="118"/>
      <c r="F749" s="119"/>
    </row>
    <row r="750" spans="4:6" x14ac:dyDescent="0.3">
      <c r="D750" s="118"/>
      <c r="F750" s="119"/>
    </row>
    <row r="751" spans="4:6" x14ac:dyDescent="0.3">
      <c r="D751" s="118"/>
      <c r="F751" s="119"/>
    </row>
    <row r="752" spans="4:6" x14ac:dyDescent="0.3">
      <c r="D752" s="118"/>
      <c r="F752" s="119"/>
    </row>
    <row r="753" spans="4:6" x14ac:dyDescent="0.3">
      <c r="D753" s="118"/>
      <c r="F753" s="119"/>
    </row>
    <row r="754" spans="4:6" x14ac:dyDescent="0.3">
      <c r="D754" s="118"/>
      <c r="F754" s="119"/>
    </row>
    <row r="755" spans="4:6" x14ac:dyDescent="0.3">
      <c r="D755" s="118"/>
      <c r="F755" s="119"/>
    </row>
    <row r="756" spans="4:6" x14ac:dyDescent="0.3">
      <c r="D756" s="118"/>
      <c r="F756" s="119"/>
    </row>
    <row r="757" spans="4:6" x14ac:dyDescent="0.3">
      <c r="D757" s="118"/>
      <c r="F757" s="119"/>
    </row>
    <row r="758" spans="4:6" x14ac:dyDescent="0.3">
      <c r="D758" s="118"/>
      <c r="F758" s="119"/>
    </row>
    <row r="759" spans="4:6" x14ac:dyDescent="0.3">
      <c r="D759" s="118"/>
      <c r="F759" s="119"/>
    </row>
    <row r="760" spans="4:6" x14ac:dyDescent="0.3">
      <c r="D760" s="118"/>
      <c r="F760" s="119"/>
    </row>
    <row r="761" spans="4:6" x14ac:dyDescent="0.3">
      <c r="D761" s="118"/>
      <c r="F761" s="119"/>
    </row>
    <row r="762" spans="4:6" x14ac:dyDescent="0.3">
      <c r="D762" s="118"/>
      <c r="F762" s="119"/>
    </row>
    <row r="763" spans="4:6" x14ac:dyDescent="0.3">
      <c r="D763" s="118"/>
      <c r="F763" s="119"/>
    </row>
    <row r="764" spans="4:6" x14ac:dyDescent="0.3">
      <c r="D764" s="118"/>
      <c r="F764" s="119"/>
    </row>
    <row r="765" spans="4:6" x14ac:dyDescent="0.3">
      <c r="D765" s="118"/>
      <c r="F765" s="119"/>
    </row>
    <row r="766" spans="4:6" x14ac:dyDescent="0.3">
      <c r="D766" s="118"/>
      <c r="F766" s="119"/>
    </row>
    <row r="767" spans="4:6" x14ac:dyDescent="0.3">
      <c r="D767" s="118"/>
      <c r="F767" s="119"/>
    </row>
    <row r="768" spans="4:6" x14ac:dyDescent="0.3">
      <c r="D768" s="118"/>
      <c r="F768" s="119"/>
    </row>
    <row r="769" spans="4:6" x14ac:dyDescent="0.3">
      <c r="D769" s="118"/>
      <c r="F769" s="119"/>
    </row>
    <row r="770" spans="4:6" x14ac:dyDescent="0.3">
      <c r="D770" s="118"/>
      <c r="F770" s="119"/>
    </row>
    <row r="771" spans="4:6" x14ac:dyDescent="0.3">
      <c r="D771" s="118"/>
      <c r="F771" s="119"/>
    </row>
    <row r="772" spans="4:6" x14ac:dyDescent="0.3">
      <c r="D772" s="118"/>
      <c r="F772" s="119"/>
    </row>
    <row r="773" spans="4:6" x14ac:dyDescent="0.3">
      <c r="D773" s="118"/>
      <c r="F773" s="119"/>
    </row>
    <row r="774" spans="4:6" x14ac:dyDescent="0.3">
      <c r="D774" s="118"/>
      <c r="F774" s="119"/>
    </row>
    <row r="775" spans="4:6" x14ac:dyDescent="0.3">
      <c r="D775" s="118"/>
      <c r="F775" s="119"/>
    </row>
    <row r="776" spans="4:6" x14ac:dyDescent="0.3">
      <c r="D776" s="118"/>
      <c r="F776" s="119"/>
    </row>
    <row r="777" spans="4:6" x14ac:dyDescent="0.3">
      <c r="D777" s="118"/>
      <c r="F777" s="119"/>
    </row>
    <row r="778" spans="4:6" x14ac:dyDescent="0.3">
      <c r="D778" s="118"/>
      <c r="F778" s="119"/>
    </row>
    <row r="779" spans="4:6" x14ac:dyDescent="0.3">
      <c r="D779" s="118"/>
      <c r="F779" s="119"/>
    </row>
    <row r="780" spans="4:6" x14ac:dyDescent="0.3">
      <c r="D780" s="118"/>
      <c r="F780" s="119"/>
    </row>
    <row r="781" spans="4:6" x14ac:dyDescent="0.3">
      <c r="D781" s="118"/>
      <c r="F781" s="119"/>
    </row>
    <row r="782" spans="4:6" x14ac:dyDescent="0.3">
      <c r="D782" s="118"/>
      <c r="F782" s="119"/>
    </row>
    <row r="783" spans="4:6" x14ac:dyDescent="0.3">
      <c r="D783" s="118"/>
      <c r="F783" s="119"/>
    </row>
    <row r="784" spans="4:6" x14ac:dyDescent="0.3">
      <c r="D784" s="118"/>
      <c r="F784" s="119"/>
    </row>
    <row r="785" spans="4:6" x14ac:dyDescent="0.3">
      <c r="D785" s="118"/>
      <c r="F785" s="119"/>
    </row>
    <row r="786" spans="4:6" x14ac:dyDescent="0.3">
      <c r="D786" s="118"/>
      <c r="F786" s="119"/>
    </row>
    <row r="787" spans="4:6" x14ac:dyDescent="0.3">
      <c r="D787" s="118"/>
      <c r="F787" s="119"/>
    </row>
    <row r="788" spans="4:6" x14ac:dyDescent="0.3">
      <c r="D788" s="118"/>
      <c r="F788" s="119"/>
    </row>
    <row r="789" spans="4:6" x14ac:dyDescent="0.3">
      <c r="D789" s="118"/>
      <c r="F789" s="119"/>
    </row>
    <row r="790" spans="4:6" x14ac:dyDescent="0.3">
      <c r="D790" s="118"/>
      <c r="F790" s="119"/>
    </row>
    <row r="791" spans="4:6" x14ac:dyDescent="0.3">
      <c r="D791" s="118"/>
      <c r="F791" s="119"/>
    </row>
    <row r="792" spans="4:6" x14ac:dyDescent="0.3">
      <c r="D792" s="118"/>
      <c r="F792" s="119"/>
    </row>
    <row r="793" spans="4:6" x14ac:dyDescent="0.3">
      <c r="D793" s="118"/>
      <c r="F793" s="119"/>
    </row>
    <row r="794" spans="4:6" x14ac:dyDescent="0.3">
      <c r="D794" s="118"/>
      <c r="F794" s="119"/>
    </row>
    <row r="795" spans="4:6" x14ac:dyDescent="0.3">
      <c r="D795" s="118"/>
      <c r="F795" s="119"/>
    </row>
    <row r="796" spans="4:6" x14ac:dyDescent="0.3">
      <c r="D796" s="118"/>
      <c r="F796" s="119"/>
    </row>
    <row r="797" spans="4:6" x14ac:dyDescent="0.3">
      <c r="D797" s="118"/>
      <c r="F797" s="119"/>
    </row>
    <row r="798" spans="4:6" x14ac:dyDescent="0.3">
      <c r="D798" s="118"/>
      <c r="F798" s="119"/>
    </row>
    <row r="799" spans="4:6" x14ac:dyDescent="0.3">
      <c r="D799" s="118"/>
      <c r="F799" s="119"/>
    </row>
    <row r="800" spans="4:6" x14ac:dyDescent="0.3">
      <c r="D800" s="118"/>
      <c r="F800" s="119"/>
    </row>
    <row r="801" spans="4:6" x14ac:dyDescent="0.3">
      <c r="D801" s="118"/>
      <c r="F801" s="119"/>
    </row>
    <row r="802" spans="4:6" x14ac:dyDescent="0.3">
      <c r="D802" s="118"/>
      <c r="F802" s="119"/>
    </row>
    <row r="803" spans="4:6" x14ac:dyDescent="0.3">
      <c r="D803" s="118"/>
      <c r="F803" s="119"/>
    </row>
    <row r="804" spans="4:6" x14ac:dyDescent="0.3">
      <c r="D804" s="118"/>
      <c r="F804" s="119"/>
    </row>
    <row r="805" spans="4:6" x14ac:dyDescent="0.3">
      <c r="D805" s="118"/>
      <c r="F805" s="119"/>
    </row>
    <row r="806" spans="4:6" x14ac:dyDescent="0.3">
      <c r="D806" s="118"/>
      <c r="F806" s="119"/>
    </row>
    <row r="807" spans="4:6" x14ac:dyDescent="0.3">
      <c r="D807" s="118"/>
      <c r="F807" s="119"/>
    </row>
    <row r="808" spans="4:6" x14ac:dyDescent="0.3">
      <c r="D808" s="118"/>
      <c r="F808" s="119"/>
    </row>
    <row r="809" spans="4:6" x14ac:dyDescent="0.3">
      <c r="D809" s="118"/>
      <c r="F809" s="119"/>
    </row>
    <row r="810" spans="4:6" x14ac:dyDescent="0.3">
      <c r="D810" s="118"/>
      <c r="F810" s="119"/>
    </row>
    <row r="811" spans="4:6" x14ac:dyDescent="0.3">
      <c r="D811" s="118"/>
      <c r="F811" s="119"/>
    </row>
    <row r="812" spans="4:6" x14ac:dyDescent="0.3">
      <c r="D812" s="118"/>
      <c r="F812" s="119"/>
    </row>
    <row r="813" spans="4:6" x14ac:dyDescent="0.3">
      <c r="D813" s="118"/>
      <c r="F813" s="119"/>
    </row>
    <row r="814" spans="4:6" x14ac:dyDescent="0.3">
      <c r="D814" s="118"/>
      <c r="F814" s="119"/>
    </row>
    <row r="815" spans="4:6" x14ac:dyDescent="0.3">
      <c r="D815" s="118"/>
      <c r="F815" s="119"/>
    </row>
    <row r="816" spans="4:6" x14ac:dyDescent="0.3">
      <c r="D816" s="118"/>
      <c r="F816" s="119"/>
    </row>
    <row r="817" spans="4:6" x14ac:dyDescent="0.3">
      <c r="D817" s="118"/>
      <c r="F817" s="119"/>
    </row>
    <row r="818" spans="4:6" x14ac:dyDescent="0.3">
      <c r="D818" s="118"/>
      <c r="F818" s="119"/>
    </row>
    <row r="819" spans="4:6" x14ac:dyDescent="0.3">
      <c r="D819" s="118"/>
      <c r="F819" s="119"/>
    </row>
    <row r="820" spans="4:6" x14ac:dyDescent="0.3">
      <c r="D820" s="118"/>
      <c r="F820" s="119"/>
    </row>
    <row r="821" spans="4:6" x14ac:dyDescent="0.3">
      <c r="D821" s="118"/>
      <c r="F821" s="119"/>
    </row>
    <row r="822" spans="4:6" x14ac:dyDescent="0.3">
      <c r="D822" s="118"/>
      <c r="F822" s="119"/>
    </row>
    <row r="823" spans="4:6" x14ac:dyDescent="0.3">
      <c r="D823" s="118"/>
      <c r="F823" s="119"/>
    </row>
    <row r="824" spans="4:6" x14ac:dyDescent="0.3">
      <c r="D824" s="118"/>
      <c r="F824" s="119"/>
    </row>
    <row r="825" spans="4:6" x14ac:dyDescent="0.3">
      <c r="D825" s="118"/>
      <c r="F825" s="119"/>
    </row>
    <row r="826" spans="4:6" x14ac:dyDescent="0.3">
      <c r="D826" s="118"/>
      <c r="F826" s="119"/>
    </row>
    <row r="827" spans="4:6" x14ac:dyDescent="0.3">
      <c r="D827" s="118"/>
      <c r="F827" s="119"/>
    </row>
    <row r="828" spans="4:6" x14ac:dyDescent="0.3">
      <c r="D828" s="118"/>
      <c r="F828" s="119"/>
    </row>
    <row r="829" spans="4:6" x14ac:dyDescent="0.3">
      <c r="D829" s="118"/>
      <c r="F829" s="119"/>
    </row>
    <row r="830" spans="4:6" x14ac:dyDescent="0.3">
      <c r="D830" s="118"/>
      <c r="F830" s="119"/>
    </row>
    <row r="831" spans="4:6" x14ac:dyDescent="0.3">
      <c r="D831" s="118"/>
      <c r="F831" s="119"/>
    </row>
    <row r="832" spans="4:6" x14ac:dyDescent="0.3">
      <c r="D832" s="118"/>
      <c r="F832" s="119"/>
    </row>
    <row r="833" spans="4:6" x14ac:dyDescent="0.3">
      <c r="D833" s="118"/>
      <c r="F833" s="119"/>
    </row>
    <row r="834" spans="4:6" x14ac:dyDescent="0.3">
      <c r="D834" s="118"/>
      <c r="F834" s="119"/>
    </row>
    <row r="835" spans="4:6" x14ac:dyDescent="0.3">
      <c r="D835" s="118"/>
      <c r="F835" s="119"/>
    </row>
    <row r="836" spans="4:6" x14ac:dyDescent="0.3">
      <c r="D836" s="118"/>
      <c r="F836" s="119"/>
    </row>
    <row r="837" spans="4:6" x14ac:dyDescent="0.3">
      <c r="D837" s="118"/>
      <c r="F837" s="119"/>
    </row>
    <row r="838" spans="4:6" x14ac:dyDescent="0.3">
      <c r="D838" s="118"/>
      <c r="F838" s="119"/>
    </row>
    <row r="839" spans="4:6" x14ac:dyDescent="0.3">
      <c r="D839" s="118"/>
      <c r="F839" s="119"/>
    </row>
    <row r="840" spans="4:6" x14ac:dyDescent="0.3">
      <c r="D840" s="118"/>
      <c r="F840" s="119"/>
    </row>
    <row r="841" spans="4:6" x14ac:dyDescent="0.3">
      <c r="D841" s="118"/>
      <c r="F841" s="119"/>
    </row>
    <row r="842" spans="4:6" x14ac:dyDescent="0.3">
      <c r="D842" s="118"/>
      <c r="F842" s="119"/>
    </row>
    <row r="843" spans="4:6" x14ac:dyDescent="0.3">
      <c r="D843" s="118"/>
      <c r="F843" s="119"/>
    </row>
    <row r="844" spans="4:6" x14ac:dyDescent="0.3">
      <c r="D844" s="118"/>
      <c r="F844" s="119"/>
    </row>
    <row r="845" spans="4:6" x14ac:dyDescent="0.3">
      <c r="D845" s="118"/>
      <c r="F845" s="119"/>
    </row>
    <row r="846" spans="4:6" x14ac:dyDescent="0.3">
      <c r="D846" s="118"/>
      <c r="F846" s="119"/>
    </row>
    <row r="847" spans="4:6" x14ac:dyDescent="0.3">
      <c r="D847" s="118"/>
      <c r="F847" s="119"/>
    </row>
    <row r="848" spans="4:6" x14ac:dyDescent="0.3">
      <c r="D848" s="118"/>
      <c r="F848" s="119"/>
    </row>
    <row r="849" spans="4:6" x14ac:dyDescent="0.3">
      <c r="D849" s="118"/>
      <c r="F849" s="119"/>
    </row>
    <row r="850" spans="4:6" x14ac:dyDescent="0.3">
      <c r="D850" s="118"/>
      <c r="F850" s="119"/>
    </row>
    <row r="851" spans="4:6" x14ac:dyDescent="0.3">
      <c r="D851" s="118"/>
      <c r="F851" s="119"/>
    </row>
    <row r="852" spans="4:6" x14ac:dyDescent="0.3">
      <c r="D852" s="118"/>
      <c r="F852" s="119"/>
    </row>
    <row r="853" spans="4:6" x14ac:dyDescent="0.3">
      <c r="D853" s="118"/>
      <c r="F853" s="119"/>
    </row>
    <row r="854" spans="4:6" x14ac:dyDescent="0.3">
      <c r="D854" s="118"/>
      <c r="F854" s="119"/>
    </row>
    <row r="855" spans="4:6" x14ac:dyDescent="0.3">
      <c r="D855" s="118"/>
      <c r="F855" s="119"/>
    </row>
    <row r="856" spans="4:6" x14ac:dyDescent="0.3">
      <c r="D856" s="118"/>
      <c r="F856" s="119"/>
    </row>
    <row r="857" spans="4:6" x14ac:dyDescent="0.3">
      <c r="D857" s="118"/>
      <c r="F857" s="119"/>
    </row>
    <row r="858" spans="4:6" x14ac:dyDescent="0.3">
      <c r="D858" s="118"/>
      <c r="F858" s="119"/>
    </row>
    <row r="859" spans="4:6" x14ac:dyDescent="0.3">
      <c r="D859" s="118"/>
      <c r="F859" s="119"/>
    </row>
    <row r="860" spans="4:6" x14ac:dyDescent="0.3">
      <c r="D860" s="118"/>
      <c r="F860" s="119"/>
    </row>
    <row r="861" spans="4:6" x14ac:dyDescent="0.3">
      <c r="D861" s="118"/>
      <c r="F861" s="119"/>
    </row>
    <row r="862" spans="4:6" x14ac:dyDescent="0.3">
      <c r="D862" s="118"/>
      <c r="F862" s="119"/>
    </row>
    <row r="863" spans="4:6" x14ac:dyDescent="0.3">
      <c r="D863" s="118"/>
      <c r="F863" s="119"/>
    </row>
    <row r="864" spans="4:6" x14ac:dyDescent="0.3">
      <c r="D864" s="118"/>
      <c r="F864" s="119"/>
    </row>
    <row r="865" spans="4:6" x14ac:dyDescent="0.3">
      <c r="D865" s="118"/>
      <c r="F865" s="119"/>
    </row>
    <row r="866" spans="4:6" x14ac:dyDescent="0.3">
      <c r="D866" s="118"/>
      <c r="F866" s="119"/>
    </row>
    <row r="867" spans="4:6" x14ac:dyDescent="0.3">
      <c r="D867" s="118"/>
      <c r="F867" s="119"/>
    </row>
    <row r="868" spans="4:6" x14ac:dyDescent="0.3">
      <c r="D868" s="118"/>
      <c r="F868" s="119"/>
    </row>
    <row r="869" spans="4:6" x14ac:dyDescent="0.3">
      <c r="D869" s="118"/>
      <c r="F869" s="119"/>
    </row>
    <row r="870" spans="4:6" x14ac:dyDescent="0.3">
      <c r="D870" s="118"/>
      <c r="F870" s="119"/>
    </row>
    <row r="871" spans="4:6" x14ac:dyDescent="0.3">
      <c r="D871" s="118"/>
      <c r="F871" s="119"/>
    </row>
    <row r="872" spans="4:6" x14ac:dyDescent="0.3">
      <c r="D872" s="118"/>
      <c r="F872" s="119"/>
    </row>
    <row r="873" spans="4:6" x14ac:dyDescent="0.3">
      <c r="D873" s="118"/>
      <c r="F873" s="119"/>
    </row>
    <row r="874" spans="4:6" x14ac:dyDescent="0.3">
      <c r="D874" s="118"/>
      <c r="F874" s="119"/>
    </row>
    <row r="875" spans="4:6" x14ac:dyDescent="0.3">
      <c r="D875" s="118"/>
      <c r="F875" s="119"/>
    </row>
    <row r="876" spans="4:6" x14ac:dyDescent="0.3">
      <c r="D876" s="118"/>
      <c r="F876" s="119"/>
    </row>
    <row r="877" spans="4:6" x14ac:dyDescent="0.3">
      <c r="D877" s="118"/>
      <c r="F877" s="119"/>
    </row>
    <row r="878" spans="4:6" x14ac:dyDescent="0.3">
      <c r="D878" s="118"/>
      <c r="F878" s="119"/>
    </row>
    <row r="879" spans="4:6" x14ac:dyDescent="0.3">
      <c r="D879" s="118"/>
      <c r="F879" s="119"/>
    </row>
    <row r="880" spans="4:6" x14ac:dyDescent="0.3">
      <c r="D880" s="118"/>
      <c r="F880" s="119"/>
    </row>
    <row r="881" spans="4:6" x14ac:dyDescent="0.3">
      <c r="D881" s="118"/>
      <c r="F881" s="119"/>
    </row>
    <row r="882" spans="4:6" x14ac:dyDescent="0.3">
      <c r="D882" s="118"/>
      <c r="F882" s="119"/>
    </row>
    <row r="883" spans="4:6" x14ac:dyDescent="0.3">
      <c r="D883" s="118"/>
      <c r="F883" s="119"/>
    </row>
    <row r="884" spans="4:6" x14ac:dyDescent="0.3">
      <c r="D884" s="118"/>
      <c r="F884" s="119"/>
    </row>
    <row r="885" spans="4:6" x14ac:dyDescent="0.3">
      <c r="D885" s="118"/>
      <c r="F885" s="119"/>
    </row>
    <row r="886" spans="4:6" x14ac:dyDescent="0.3">
      <c r="D886" s="118"/>
      <c r="F886" s="119"/>
    </row>
    <row r="887" spans="4:6" x14ac:dyDescent="0.3">
      <c r="D887" s="118"/>
      <c r="F887" s="119"/>
    </row>
    <row r="888" spans="4:6" x14ac:dyDescent="0.3">
      <c r="D888" s="118"/>
      <c r="F888" s="119"/>
    </row>
    <row r="889" spans="4:6" x14ac:dyDescent="0.3">
      <c r="D889" s="118"/>
      <c r="F889" s="119"/>
    </row>
    <row r="890" spans="4:6" x14ac:dyDescent="0.3">
      <c r="D890" s="118"/>
      <c r="F890" s="119"/>
    </row>
    <row r="891" spans="4:6" x14ac:dyDescent="0.3">
      <c r="D891" s="118"/>
      <c r="F891" s="119"/>
    </row>
    <row r="892" spans="4:6" x14ac:dyDescent="0.3">
      <c r="D892" s="118"/>
      <c r="F892" s="119"/>
    </row>
    <row r="893" spans="4:6" x14ac:dyDescent="0.3">
      <c r="D893" s="118"/>
      <c r="F893" s="119"/>
    </row>
    <row r="894" spans="4:6" x14ac:dyDescent="0.3">
      <c r="D894" s="118"/>
      <c r="F894" s="119"/>
    </row>
    <row r="895" spans="4:6" x14ac:dyDescent="0.3">
      <c r="D895" s="118"/>
      <c r="F895" s="119"/>
    </row>
    <row r="896" spans="4:6" x14ac:dyDescent="0.3">
      <c r="D896" s="118"/>
      <c r="F896" s="119"/>
    </row>
    <row r="897" spans="4:6" x14ac:dyDescent="0.3">
      <c r="D897" s="118"/>
      <c r="F897" s="119"/>
    </row>
    <row r="898" spans="4:6" x14ac:dyDescent="0.3">
      <c r="D898" s="118"/>
      <c r="F898" s="119"/>
    </row>
    <row r="899" spans="4:6" x14ac:dyDescent="0.3">
      <c r="D899" s="118"/>
      <c r="F899" s="119"/>
    </row>
    <row r="900" spans="4:6" x14ac:dyDescent="0.3">
      <c r="D900" s="118"/>
      <c r="F900" s="119"/>
    </row>
    <row r="901" spans="4:6" x14ac:dyDescent="0.3">
      <c r="D901" s="118"/>
      <c r="F901" s="119"/>
    </row>
    <row r="902" spans="4:6" x14ac:dyDescent="0.3">
      <c r="D902" s="118"/>
      <c r="F902" s="119"/>
    </row>
    <row r="903" spans="4:6" x14ac:dyDescent="0.3">
      <c r="D903" s="118"/>
      <c r="F903" s="119"/>
    </row>
    <row r="904" spans="4:6" x14ac:dyDescent="0.3">
      <c r="D904" s="118"/>
      <c r="F904" s="119"/>
    </row>
    <row r="905" spans="4:6" x14ac:dyDescent="0.3">
      <c r="D905" s="118"/>
      <c r="F905" s="119"/>
    </row>
    <row r="906" spans="4:6" x14ac:dyDescent="0.3">
      <c r="D906" s="118"/>
      <c r="F906" s="119"/>
    </row>
    <row r="907" spans="4:6" x14ac:dyDescent="0.3">
      <c r="D907" s="118"/>
      <c r="F907" s="119"/>
    </row>
    <row r="908" spans="4:6" x14ac:dyDescent="0.3">
      <c r="D908" s="118"/>
      <c r="F908" s="119"/>
    </row>
    <row r="909" spans="4:6" x14ac:dyDescent="0.3">
      <c r="D909" s="118"/>
      <c r="F909" s="119"/>
    </row>
    <row r="910" spans="4:6" x14ac:dyDescent="0.3">
      <c r="D910" s="118"/>
      <c r="F910" s="119"/>
    </row>
    <row r="911" spans="4:6" x14ac:dyDescent="0.3">
      <c r="D911" s="118"/>
      <c r="F911" s="119"/>
    </row>
    <row r="912" spans="4:6" x14ac:dyDescent="0.3">
      <c r="D912" s="118"/>
      <c r="F912" s="119"/>
    </row>
    <row r="913" spans="4:6" x14ac:dyDescent="0.3">
      <c r="D913" s="118"/>
      <c r="F913" s="119"/>
    </row>
    <row r="914" spans="4:6" x14ac:dyDescent="0.3">
      <c r="D914" s="118"/>
      <c r="F914" s="119"/>
    </row>
    <row r="915" spans="4:6" x14ac:dyDescent="0.3">
      <c r="D915" s="118"/>
      <c r="F915" s="119"/>
    </row>
    <row r="916" spans="4:6" x14ac:dyDescent="0.3">
      <c r="D916" s="118"/>
      <c r="F916" s="119"/>
    </row>
    <row r="917" spans="4:6" x14ac:dyDescent="0.3">
      <c r="D917" s="118"/>
      <c r="F917" s="119"/>
    </row>
    <row r="918" spans="4:6" x14ac:dyDescent="0.3">
      <c r="D918" s="118"/>
      <c r="F918" s="119"/>
    </row>
    <row r="919" spans="4:6" x14ac:dyDescent="0.3">
      <c r="D919" s="118"/>
      <c r="F919" s="119"/>
    </row>
    <row r="920" spans="4:6" x14ac:dyDescent="0.3">
      <c r="D920" s="118"/>
      <c r="F920" s="119"/>
    </row>
    <row r="921" spans="4:6" x14ac:dyDescent="0.3">
      <c r="D921" s="118"/>
      <c r="F921" s="119"/>
    </row>
    <row r="922" spans="4:6" x14ac:dyDescent="0.3">
      <c r="D922" s="118"/>
      <c r="F922" s="119"/>
    </row>
    <row r="923" spans="4:6" x14ac:dyDescent="0.3">
      <c r="D923" s="118"/>
      <c r="F923" s="119"/>
    </row>
    <row r="924" spans="4:6" x14ac:dyDescent="0.3">
      <c r="D924" s="118"/>
      <c r="F924" s="119"/>
    </row>
    <row r="925" spans="4:6" x14ac:dyDescent="0.3">
      <c r="D925" s="118"/>
      <c r="F925" s="119"/>
    </row>
    <row r="926" spans="4:6" x14ac:dyDescent="0.3">
      <c r="D926" s="118"/>
      <c r="F926" s="119"/>
    </row>
    <row r="927" spans="4:6" x14ac:dyDescent="0.3">
      <c r="D927" s="118"/>
      <c r="F927" s="119"/>
    </row>
    <row r="928" spans="4:6" x14ac:dyDescent="0.3">
      <c r="D928" s="118"/>
      <c r="F928" s="119"/>
    </row>
    <row r="929" spans="4:6" x14ac:dyDescent="0.3">
      <c r="D929" s="118"/>
      <c r="F929" s="119"/>
    </row>
    <row r="930" spans="4:6" x14ac:dyDescent="0.3">
      <c r="D930" s="118"/>
      <c r="F930" s="119"/>
    </row>
    <row r="931" spans="4:6" x14ac:dyDescent="0.3">
      <c r="D931" s="118"/>
      <c r="F931" s="119"/>
    </row>
    <row r="932" spans="4:6" x14ac:dyDescent="0.3">
      <c r="D932" s="118"/>
      <c r="F932" s="119"/>
    </row>
    <row r="933" spans="4:6" x14ac:dyDescent="0.3">
      <c r="D933" s="118"/>
      <c r="F933" s="119"/>
    </row>
    <row r="934" spans="4:6" x14ac:dyDescent="0.3">
      <c r="D934" s="118"/>
      <c r="F934" s="119"/>
    </row>
    <row r="935" spans="4:6" x14ac:dyDescent="0.3">
      <c r="D935" s="118"/>
      <c r="F935" s="119"/>
    </row>
    <row r="936" spans="4:6" x14ac:dyDescent="0.3">
      <c r="D936" s="118"/>
      <c r="F936" s="119"/>
    </row>
    <row r="937" spans="4:6" x14ac:dyDescent="0.3">
      <c r="D937" s="118"/>
      <c r="F937" s="119"/>
    </row>
    <row r="938" spans="4:6" x14ac:dyDescent="0.3">
      <c r="D938" s="118"/>
      <c r="F938" s="119"/>
    </row>
    <row r="939" spans="4:6" x14ac:dyDescent="0.3">
      <c r="D939" s="118"/>
      <c r="F939" s="119"/>
    </row>
    <row r="940" spans="4:6" x14ac:dyDescent="0.3">
      <c r="D940" s="118"/>
      <c r="F940" s="119"/>
    </row>
    <row r="941" spans="4:6" x14ac:dyDescent="0.3">
      <c r="D941" s="118"/>
      <c r="F941" s="119"/>
    </row>
    <row r="942" spans="4:6" x14ac:dyDescent="0.3">
      <c r="D942" s="118"/>
      <c r="F942" s="119"/>
    </row>
    <row r="943" spans="4:6" x14ac:dyDescent="0.3">
      <c r="D943" s="118"/>
      <c r="F943" s="119"/>
    </row>
    <row r="944" spans="4:6" x14ac:dyDescent="0.3">
      <c r="D944" s="118"/>
      <c r="F944" s="119"/>
    </row>
    <row r="945" spans="4:6" x14ac:dyDescent="0.3">
      <c r="D945" s="118"/>
      <c r="F945" s="119"/>
    </row>
    <row r="946" spans="4:6" x14ac:dyDescent="0.3">
      <c r="D946" s="118"/>
      <c r="F946" s="119"/>
    </row>
    <row r="947" spans="4:6" x14ac:dyDescent="0.3">
      <c r="D947" s="118"/>
      <c r="F947" s="119"/>
    </row>
    <row r="948" spans="4:6" x14ac:dyDescent="0.3">
      <c r="D948" s="118"/>
      <c r="F948" s="119"/>
    </row>
    <row r="949" spans="4:6" x14ac:dyDescent="0.3">
      <c r="D949" s="118"/>
      <c r="F949" s="119"/>
    </row>
    <row r="950" spans="4:6" x14ac:dyDescent="0.3">
      <c r="D950" s="118"/>
      <c r="F950" s="119"/>
    </row>
    <row r="951" spans="4:6" x14ac:dyDescent="0.3">
      <c r="D951" s="118"/>
      <c r="F951" s="119"/>
    </row>
    <row r="952" spans="4:6" x14ac:dyDescent="0.3">
      <c r="D952" s="118"/>
      <c r="F952" s="119"/>
    </row>
    <row r="953" spans="4:6" x14ac:dyDescent="0.3">
      <c r="D953" s="118"/>
      <c r="F953" s="119"/>
    </row>
    <row r="954" spans="4:6" x14ac:dyDescent="0.3">
      <c r="D954" s="118"/>
      <c r="F954" s="119"/>
    </row>
    <row r="955" spans="4:6" x14ac:dyDescent="0.3">
      <c r="D955" s="118"/>
      <c r="F955" s="119"/>
    </row>
    <row r="956" spans="4:6" x14ac:dyDescent="0.3">
      <c r="D956" s="118"/>
      <c r="F956" s="119"/>
    </row>
    <row r="957" spans="4:6" x14ac:dyDescent="0.3">
      <c r="D957" s="118"/>
      <c r="F957" s="119"/>
    </row>
    <row r="958" spans="4:6" x14ac:dyDescent="0.3">
      <c r="D958" s="118"/>
      <c r="F958" s="119"/>
    </row>
    <row r="959" spans="4:6" x14ac:dyDescent="0.3">
      <c r="D959" s="118"/>
      <c r="F959" s="119"/>
    </row>
    <row r="960" spans="4:6" x14ac:dyDescent="0.3">
      <c r="D960" s="118"/>
      <c r="F960" s="119"/>
    </row>
    <row r="961" spans="4:6" x14ac:dyDescent="0.3">
      <c r="D961" s="118"/>
      <c r="F961" s="119"/>
    </row>
    <row r="962" spans="4:6" x14ac:dyDescent="0.3">
      <c r="D962" s="118"/>
      <c r="F962" s="119"/>
    </row>
    <row r="963" spans="4:6" x14ac:dyDescent="0.3">
      <c r="D963" s="118"/>
      <c r="F963" s="119"/>
    </row>
    <row r="964" spans="4:6" x14ac:dyDescent="0.3">
      <c r="D964" s="118"/>
      <c r="F964" s="119"/>
    </row>
    <row r="965" spans="4:6" x14ac:dyDescent="0.3">
      <c r="D965" s="118"/>
      <c r="F965" s="119"/>
    </row>
    <row r="966" spans="4:6" x14ac:dyDescent="0.3">
      <c r="D966" s="118"/>
      <c r="F966" s="119"/>
    </row>
    <row r="967" spans="4:6" x14ac:dyDescent="0.3">
      <c r="D967" s="118"/>
      <c r="F967" s="119"/>
    </row>
    <row r="968" spans="4:6" x14ac:dyDescent="0.3">
      <c r="D968" s="118"/>
      <c r="F968" s="119"/>
    </row>
    <row r="969" spans="4:6" x14ac:dyDescent="0.3">
      <c r="D969" s="118"/>
      <c r="F969" s="119"/>
    </row>
    <row r="970" spans="4:6" x14ac:dyDescent="0.3">
      <c r="D970" s="118"/>
      <c r="F970" s="119"/>
    </row>
    <row r="971" spans="4:6" x14ac:dyDescent="0.3">
      <c r="D971" s="118"/>
      <c r="F971" s="119"/>
    </row>
    <row r="972" spans="4:6" x14ac:dyDescent="0.3">
      <c r="D972" s="118"/>
      <c r="F972" s="119"/>
    </row>
    <row r="973" spans="4:6" x14ac:dyDescent="0.3">
      <c r="D973" s="118"/>
      <c r="F973" s="119"/>
    </row>
    <row r="974" spans="4:6" x14ac:dyDescent="0.3">
      <c r="D974" s="118"/>
      <c r="F974" s="119"/>
    </row>
    <row r="975" spans="4:6" x14ac:dyDescent="0.3">
      <c r="D975" s="118"/>
      <c r="F975" s="119"/>
    </row>
  </sheetData>
  <mergeCells count="26">
    <mergeCell ref="C3:C6"/>
    <mergeCell ref="C7:C10"/>
    <mergeCell ref="C23:C26"/>
    <mergeCell ref="C27:C30"/>
    <mergeCell ref="C103:C106"/>
    <mergeCell ref="C59:C62"/>
    <mergeCell ref="C63:C66"/>
    <mergeCell ref="C55:C58"/>
    <mergeCell ref="C51:C54"/>
    <mergeCell ref="C35:C38"/>
    <mergeCell ref="C39:C42"/>
    <mergeCell ref="C43:C46"/>
    <mergeCell ref="C31:C34"/>
    <mergeCell ref="C11:C14"/>
    <mergeCell ref="C15:C18"/>
    <mergeCell ref="C19:C22"/>
    <mergeCell ref="C47:C50"/>
    <mergeCell ref="C91:C94"/>
    <mergeCell ref="C95:C98"/>
    <mergeCell ref="C99:C102"/>
    <mergeCell ref="C67:C70"/>
    <mergeCell ref="C71:C74"/>
    <mergeCell ref="C75:C78"/>
    <mergeCell ref="C79:C82"/>
    <mergeCell ref="C83:C86"/>
    <mergeCell ref="C87:C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E596-4810-4BF2-AFCC-069BD523A20E}">
  <dimension ref="B1:F14"/>
  <sheetViews>
    <sheetView showGridLines="0" workbookViewId="0">
      <selection activeCell="B3" sqref="B3"/>
    </sheetView>
  </sheetViews>
  <sheetFormatPr defaultColWidth="8.6640625" defaultRowHeight="19.95" customHeight="1" x14ac:dyDescent="0.3"/>
  <cols>
    <col min="1" max="1" width="3.5546875" style="85" customWidth="1"/>
    <col min="2" max="2" width="8.6640625" style="85"/>
    <col min="3" max="3" width="10.6640625" style="85" customWidth="1"/>
    <col min="4" max="4" width="50.6640625" style="85" customWidth="1"/>
    <col min="5" max="5" width="11" style="85" customWidth="1"/>
    <col min="6" max="6" width="42.6640625" style="85" customWidth="1"/>
    <col min="7" max="16384" width="8.6640625" style="85"/>
  </cols>
  <sheetData>
    <row r="1" spans="2:6" ht="12.6" customHeight="1" x14ac:dyDescent="0.3"/>
    <row r="2" spans="2:6" s="121" customFormat="1" ht="19.95" customHeight="1" thickBot="1" x14ac:dyDescent="0.35">
      <c r="B2" s="121" t="s">
        <v>341</v>
      </c>
    </row>
    <row r="3" spans="2:6" ht="19.95" customHeight="1" x14ac:dyDescent="0.3">
      <c r="B3" s="122" t="s">
        <v>342</v>
      </c>
      <c r="C3" s="123" t="s">
        <v>343</v>
      </c>
      <c r="D3" s="123" t="s">
        <v>344</v>
      </c>
      <c r="E3" s="123" t="s">
        <v>345</v>
      </c>
      <c r="F3" s="124" t="s">
        <v>92</v>
      </c>
    </row>
    <row r="4" spans="2:6" ht="19.95" customHeight="1" x14ac:dyDescent="0.3">
      <c r="B4" s="125"/>
      <c r="C4" s="126" t="s">
        <v>108</v>
      </c>
      <c r="D4" s="127"/>
      <c r="E4" s="126"/>
      <c r="F4" s="128"/>
    </row>
    <row r="5" spans="2:6" ht="19.95" customHeight="1" x14ac:dyDescent="0.3">
      <c r="B5" s="125"/>
      <c r="C5" s="126"/>
      <c r="D5" s="127"/>
      <c r="E5" s="126"/>
      <c r="F5" s="128"/>
    </row>
    <row r="6" spans="2:6" ht="19.95" customHeight="1" x14ac:dyDescent="0.3">
      <c r="B6" s="125"/>
      <c r="C6" s="126"/>
      <c r="D6" s="127"/>
      <c r="E6" s="126"/>
      <c r="F6" s="128"/>
    </row>
    <row r="7" spans="2:6" ht="19.95" customHeight="1" x14ac:dyDescent="0.3">
      <c r="B7" s="125"/>
      <c r="C7" s="126"/>
      <c r="D7" s="127"/>
      <c r="E7" s="126"/>
      <c r="F7" s="128"/>
    </row>
    <row r="8" spans="2:6" ht="19.95" customHeight="1" x14ac:dyDescent="0.3">
      <c r="B8" s="125"/>
      <c r="C8" s="126"/>
      <c r="D8" s="127"/>
      <c r="E8" s="126"/>
      <c r="F8" s="128"/>
    </row>
    <row r="9" spans="2:6" ht="19.95" customHeight="1" x14ac:dyDescent="0.3">
      <c r="B9" s="125"/>
      <c r="C9" s="126"/>
      <c r="D9" s="127"/>
      <c r="E9" s="126"/>
      <c r="F9" s="128"/>
    </row>
    <row r="10" spans="2:6" ht="19.95" customHeight="1" x14ac:dyDescent="0.3">
      <c r="B10" s="125"/>
      <c r="C10" s="126"/>
      <c r="D10" s="127"/>
      <c r="E10" s="126"/>
      <c r="F10" s="128"/>
    </row>
    <row r="11" spans="2:6" ht="19.95" customHeight="1" x14ac:dyDescent="0.3">
      <c r="B11" s="125"/>
      <c r="C11" s="126"/>
      <c r="D11" s="127"/>
      <c r="E11" s="126"/>
      <c r="F11" s="128"/>
    </row>
    <row r="12" spans="2:6" ht="19.95" customHeight="1" x14ac:dyDescent="0.3">
      <c r="B12" s="125"/>
      <c r="C12" s="126"/>
      <c r="D12" s="127"/>
      <c r="E12" s="126"/>
      <c r="F12" s="128"/>
    </row>
    <row r="13" spans="2:6" ht="19.95" customHeight="1" x14ac:dyDescent="0.3">
      <c r="B13" s="125"/>
      <c r="C13" s="126"/>
      <c r="D13" s="127"/>
      <c r="E13" s="126"/>
      <c r="F13" s="128"/>
    </row>
    <row r="14" spans="2:6" ht="19.95" customHeight="1" thickBot="1" x14ac:dyDescent="0.35">
      <c r="B14" s="129"/>
      <c r="C14" s="130"/>
      <c r="D14" s="131"/>
      <c r="E14" s="130"/>
      <c r="F14" s="132"/>
    </row>
  </sheetData>
  <conditionalFormatting sqref="C4:C14">
    <cfRule type="cellIs" dxfId="3" priority="1" operator="equal">
      <formula>"Dependency"</formula>
    </cfRule>
    <cfRule type="cellIs" dxfId="2" priority="2" operator="equal">
      <formula>"Issue"</formula>
    </cfRule>
    <cfRule type="cellIs" dxfId="1" priority="3" operator="equal">
      <formula>"Assumption"</formula>
    </cfRule>
    <cfRule type="cellIs" dxfId="0" priority="4" operator="equal">
      <formula>"Risk"</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900D8EC-DB3E-4920-A588-EF5DA365B92E}">
          <x14:formula1>
            <xm:f>Config!$N$3:$N$5</xm:f>
          </x14:formula1>
          <xm:sqref>E4:E14</xm:sqref>
        </x14:dataValidation>
        <x14:dataValidation type="list" allowBlank="1" showInputMessage="1" showErrorMessage="1" xr:uid="{55555E08-EF9E-48A0-ABE3-056C935DF860}">
          <x14:formula1>
            <xm:f>Config!$L$3:$L$6</xm:f>
          </x14:formula1>
          <xm:sqref>C4:C15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S13"/>
  <sheetViews>
    <sheetView showGridLines="0" workbookViewId="0">
      <selection activeCell="B2" sqref="B2"/>
    </sheetView>
  </sheetViews>
  <sheetFormatPr defaultColWidth="12.6640625" defaultRowHeight="15.75" customHeight="1" x14ac:dyDescent="0.3"/>
  <cols>
    <col min="1" max="1" width="3.33203125" style="85" customWidth="1"/>
    <col min="2" max="2" width="31.33203125" style="85" bestFit="1" customWidth="1"/>
    <col min="3" max="3" width="1.6640625" style="85" customWidth="1"/>
    <col min="4" max="4" width="24.88671875" style="85" bestFit="1" customWidth="1"/>
    <col min="5" max="5" width="1.6640625" style="85" customWidth="1"/>
    <col min="6" max="6" width="8.33203125" style="85" customWidth="1"/>
    <col min="7" max="7" width="12.44140625" style="85" bestFit="1" customWidth="1"/>
    <col min="8" max="8" width="5.6640625" style="85" customWidth="1"/>
    <col min="9" max="9" width="1.6640625" style="85" customWidth="1"/>
    <col min="10" max="10" width="15.6640625" style="85" bestFit="1" customWidth="1"/>
    <col min="11" max="11" width="1.6640625" style="85" customWidth="1"/>
    <col min="12" max="12" width="12.6640625" style="85"/>
    <col min="13" max="13" width="1.6640625" style="146" customWidth="1"/>
    <col min="14" max="14" width="12.6640625" style="85"/>
    <col min="15" max="15" width="1.6640625" style="146" customWidth="1"/>
    <col min="16" max="16" width="12.6640625" style="85"/>
    <col min="17" max="17" width="1.6640625" style="146" customWidth="1"/>
    <col min="18" max="18" width="12.6640625" style="85"/>
    <col min="19" max="19" width="1.6640625" style="146" customWidth="1"/>
    <col min="20" max="16384" width="12.6640625" style="85"/>
  </cols>
  <sheetData>
    <row r="1" spans="2:19" ht="15.75" customHeight="1" thickBot="1" x14ac:dyDescent="0.35"/>
    <row r="2" spans="2:19" ht="41.4" x14ac:dyDescent="0.3">
      <c r="B2" s="227" t="s">
        <v>78</v>
      </c>
      <c r="C2" s="144"/>
      <c r="D2" s="227" t="s">
        <v>80</v>
      </c>
      <c r="E2" s="86"/>
      <c r="F2" s="184" t="s">
        <v>346</v>
      </c>
      <c r="G2" s="164" t="s">
        <v>347</v>
      </c>
      <c r="H2" s="185" t="s">
        <v>176</v>
      </c>
      <c r="I2" s="86"/>
      <c r="J2" s="227" t="s">
        <v>75</v>
      </c>
      <c r="K2" s="144"/>
      <c r="L2" s="238" t="s">
        <v>343</v>
      </c>
      <c r="M2" s="151"/>
      <c r="N2" s="227" t="s">
        <v>345</v>
      </c>
      <c r="O2" s="144"/>
      <c r="P2" s="245" t="s">
        <v>348</v>
      </c>
      <c r="Q2" s="148"/>
      <c r="R2" s="245" t="s">
        <v>160</v>
      </c>
      <c r="S2" s="148"/>
    </row>
    <row r="3" spans="2:19" ht="13.8" x14ac:dyDescent="0.3">
      <c r="B3" s="228" t="s">
        <v>349</v>
      </c>
      <c r="C3" s="145"/>
      <c r="D3" s="228" t="s">
        <v>81</v>
      </c>
      <c r="E3" s="86"/>
      <c r="F3" s="231" t="s">
        <v>350</v>
      </c>
      <c r="G3" s="225" t="s">
        <v>351</v>
      </c>
      <c r="H3" s="232">
        <v>9</v>
      </c>
      <c r="I3" s="86"/>
      <c r="J3" s="228" t="s">
        <v>76</v>
      </c>
      <c r="K3" s="86"/>
      <c r="L3" s="239" t="s">
        <v>108</v>
      </c>
      <c r="M3" s="152"/>
      <c r="N3" s="242" t="s">
        <v>352</v>
      </c>
      <c r="O3" s="145"/>
      <c r="P3" s="246">
        <v>10</v>
      </c>
      <c r="Q3" s="149"/>
      <c r="R3" s="248">
        <v>1.2</v>
      </c>
      <c r="S3" s="149"/>
    </row>
    <row r="4" spans="2:19" ht="14.4" thickBot="1" x14ac:dyDescent="0.35">
      <c r="B4" s="229" t="s">
        <v>353</v>
      </c>
      <c r="C4" s="146"/>
      <c r="D4" s="229" t="s">
        <v>354</v>
      </c>
      <c r="F4" s="233" t="s">
        <v>355</v>
      </c>
      <c r="G4" s="226" t="s">
        <v>356</v>
      </c>
      <c r="H4" s="234">
        <v>5</v>
      </c>
      <c r="J4" s="230" t="s">
        <v>357</v>
      </c>
      <c r="L4" s="240" t="s">
        <v>358</v>
      </c>
      <c r="M4" s="153"/>
      <c r="N4" s="243" t="s">
        <v>186</v>
      </c>
      <c r="P4" s="247">
        <v>20</v>
      </c>
      <c r="Q4" s="150"/>
      <c r="R4" s="249">
        <v>1.1000000000000001</v>
      </c>
      <c r="S4" s="150"/>
    </row>
    <row r="5" spans="2:19" ht="14.4" thickBot="1" x14ac:dyDescent="0.35">
      <c r="B5" s="229" t="s">
        <v>359</v>
      </c>
      <c r="C5" s="146"/>
      <c r="D5" s="229" t="s">
        <v>360</v>
      </c>
      <c r="F5" s="235" t="s">
        <v>361</v>
      </c>
      <c r="G5" s="236" t="s">
        <v>362</v>
      </c>
      <c r="H5" s="237">
        <v>4</v>
      </c>
      <c r="L5" s="240" t="s">
        <v>363</v>
      </c>
      <c r="M5" s="153"/>
      <c r="N5" s="244" t="s">
        <v>364</v>
      </c>
      <c r="R5" s="250">
        <v>1</v>
      </c>
    </row>
    <row r="6" spans="2:19" ht="14.4" thickBot="1" x14ac:dyDescent="0.35">
      <c r="B6" s="229" t="s">
        <v>79</v>
      </c>
      <c r="C6" s="146"/>
      <c r="D6" s="229" t="s">
        <v>365</v>
      </c>
      <c r="L6" s="241" t="s">
        <v>366</v>
      </c>
      <c r="M6" s="153"/>
      <c r="N6" s="147"/>
      <c r="R6" s="249">
        <v>0.95</v>
      </c>
    </row>
    <row r="7" spans="2:19" ht="13.8" x14ac:dyDescent="0.3">
      <c r="B7" s="229" t="s">
        <v>367</v>
      </c>
      <c r="C7" s="146"/>
      <c r="D7" s="229" t="s">
        <v>281</v>
      </c>
      <c r="R7" s="249">
        <v>0.9</v>
      </c>
    </row>
    <row r="8" spans="2:19" ht="13.8" x14ac:dyDescent="0.3">
      <c r="B8" s="229" t="s">
        <v>368</v>
      </c>
      <c r="C8" s="146"/>
      <c r="D8" s="229" t="s">
        <v>369</v>
      </c>
      <c r="R8" s="249">
        <v>0.85</v>
      </c>
    </row>
    <row r="9" spans="2:19" ht="14.4" thickBot="1" x14ac:dyDescent="0.35">
      <c r="B9" s="230" t="s">
        <v>370</v>
      </c>
      <c r="C9" s="146"/>
      <c r="D9" s="229" t="s">
        <v>371</v>
      </c>
      <c r="R9" s="249">
        <v>0.8</v>
      </c>
    </row>
    <row r="10" spans="2:19" ht="14.4" thickBot="1" x14ac:dyDescent="0.35">
      <c r="D10" s="229" t="s">
        <v>372</v>
      </c>
      <c r="R10" s="251">
        <v>0.75</v>
      </c>
    </row>
    <row r="11" spans="2:19" ht="15.75" customHeight="1" thickBot="1" x14ac:dyDescent="0.35">
      <c r="D11" s="230" t="s">
        <v>373</v>
      </c>
    </row>
    <row r="13" spans="2:19" ht="13.8"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D3F8-DA91-4806-90DA-87AB6E203F15}">
  <dimension ref="B1:F10"/>
  <sheetViews>
    <sheetView showGridLines="0" tabSelected="1" workbookViewId="0">
      <selection activeCell="B2" sqref="B2"/>
    </sheetView>
  </sheetViews>
  <sheetFormatPr defaultColWidth="8.6640625" defaultRowHeight="13.8" x14ac:dyDescent="0.3"/>
  <cols>
    <col min="1" max="1" width="3.33203125" style="85" customWidth="1"/>
    <col min="2" max="2" width="17.6640625" style="85" customWidth="1"/>
    <col min="3" max="3" width="12.33203125" style="85" customWidth="1"/>
    <col min="4" max="4" width="38.33203125" style="85" customWidth="1"/>
    <col min="5" max="5" width="18.33203125" style="85" customWidth="1"/>
    <col min="6" max="6" width="19.6640625" style="85" bestFit="1" customWidth="1"/>
    <col min="7" max="16384" width="8.6640625" style="85"/>
  </cols>
  <sheetData>
    <row r="1" spans="2:6" ht="14.4" thickBot="1" x14ac:dyDescent="0.35"/>
    <row r="2" spans="2:6" ht="27.6" x14ac:dyDescent="0.3">
      <c r="B2" s="141" t="s">
        <v>374</v>
      </c>
      <c r="C2" s="142" t="s">
        <v>375</v>
      </c>
      <c r="D2" s="142" t="s">
        <v>376</v>
      </c>
      <c r="E2" s="142" t="s">
        <v>377</v>
      </c>
      <c r="F2" s="143" t="s">
        <v>378</v>
      </c>
    </row>
    <row r="3" spans="2:6" ht="27.6" x14ac:dyDescent="0.3">
      <c r="B3" s="223">
        <v>45676</v>
      </c>
      <c r="C3" s="136">
        <v>1</v>
      </c>
      <c r="D3" s="137" t="s">
        <v>379</v>
      </c>
      <c r="E3" s="137" t="s">
        <v>380</v>
      </c>
      <c r="F3" s="133" t="s">
        <v>381</v>
      </c>
    </row>
    <row r="4" spans="2:6" x14ac:dyDescent="0.3">
      <c r="B4" s="135"/>
      <c r="C4" s="136"/>
      <c r="D4" s="137"/>
      <c r="E4" s="137"/>
      <c r="F4" s="133"/>
    </row>
    <row r="5" spans="2:6" x14ac:dyDescent="0.3">
      <c r="B5" s="135"/>
      <c r="C5" s="136"/>
      <c r="D5" s="137"/>
      <c r="E5" s="137"/>
      <c r="F5" s="133"/>
    </row>
    <row r="6" spans="2:6" x14ac:dyDescent="0.3">
      <c r="B6" s="135"/>
      <c r="C6" s="136"/>
      <c r="D6" s="137"/>
      <c r="E6" s="137"/>
      <c r="F6" s="133"/>
    </row>
    <row r="7" spans="2:6" x14ac:dyDescent="0.3">
      <c r="B7" s="135"/>
      <c r="C7" s="136"/>
      <c r="D7" s="137"/>
      <c r="E7" s="137"/>
      <c r="F7" s="133"/>
    </row>
    <row r="8" spans="2:6" x14ac:dyDescent="0.3">
      <c r="B8" s="135"/>
      <c r="C8" s="136"/>
      <c r="D8" s="137"/>
      <c r="E8" s="137"/>
      <c r="F8" s="133"/>
    </row>
    <row r="9" spans="2:6" x14ac:dyDescent="0.3">
      <c r="B9" s="135"/>
      <c r="C9" s="136"/>
      <c r="D9" s="137"/>
      <c r="E9" s="137"/>
      <c r="F9" s="133"/>
    </row>
    <row r="10" spans="2:6" ht="14.4" thickBot="1" x14ac:dyDescent="0.35">
      <c r="B10" s="138"/>
      <c r="C10" s="139"/>
      <c r="D10" s="140"/>
      <c r="E10" s="140"/>
      <c r="F10" s="13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C05360179E8C47A5EAB0B10EFD8F33" ma:contentTypeVersion="7" ma:contentTypeDescription="Create a new document." ma:contentTypeScope="" ma:versionID="a0d8c7e0c5c9852be8bce7aaad801b93">
  <xsd:schema xmlns:xsd="http://www.w3.org/2001/XMLSchema" xmlns:xs="http://www.w3.org/2001/XMLSchema" xmlns:p="http://schemas.microsoft.com/office/2006/metadata/properties" xmlns:ns2="09dca4bd-b14e-4d72-97d2-87e4e41f7186" targetNamespace="http://schemas.microsoft.com/office/2006/metadata/properties" ma:root="true" ma:fieldsID="2dbe5317e633578ac390d69c09f803fd" ns2:_="">
    <xsd:import namespace="09dca4bd-b14e-4d72-97d2-87e4e41f71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ca4bd-b14e-4d72-97d2-87e4e41f7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4959B0-CAEB-4161-A36F-22DEF2433D89}">
  <ds:schemaRefs>
    <ds:schemaRef ds:uri="http://schemas.microsoft.com/sharepoint/v3/contenttype/forms"/>
  </ds:schemaRefs>
</ds:datastoreItem>
</file>

<file path=customXml/itemProps2.xml><?xml version="1.0" encoding="utf-8"?>
<ds:datastoreItem xmlns:ds="http://schemas.openxmlformats.org/officeDocument/2006/customXml" ds:itemID="{F4BC8F2F-6739-4257-90EB-84FD0A0022C9}"/>
</file>

<file path=customXml/itemProps3.xml><?xml version="1.0" encoding="utf-8"?>
<ds:datastoreItem xmlns:ds="http://schemas.openxmlformats.org/officeDocument/2006/customXml" ds:itemID="{FF302B61-30A3-4F62-B069-76BC62723A8A}">
  <ds:schemaRefs>
    <ds:schemaRef ds:uri="http://schemas.microsoft.com/office/2006/metadata/properties"/>
    <ds:schemaRef ds:uri="http://schemas.microsoft.com/office/infopath/2007/PartnerControls"/>
    <ds:schemaRef ds:uri="8cee5670-889e-4341-900c-db03788834a7"/>
    <ds:schemaRef ds:uri="79dee309-6d50-45f9-9616-781328d796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Read-Me</vt:lpstr>
      <vt:lpstr>Estimation Details</vt:lpstr>
      <vt:lpstr>Pre-estimate checklist</vt:lpstr>
      <vt:lpstr>Efforts Summary</vt:lpstr>
      <vt:lpstr>Estimation-WBS</vt:lpstr>
      <vt:lpstr>Complexity &amp; Effort</vt:lpstr>
      <vt:lpstr>Key RAID</vt:lpstr>
      <vt:lpstr>Config</vt:lpstr>
      <vt:lpstr>Template Change History</vt:lpstr>
      <vt:lpstr>'Pre-estimate checklist'!Print_Area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Exponentia Estimation Model</dc:title>
  <dc:subject>Estimation</dc:subject>
  <dc:creator>Laique Ahmad Shaikh</dc:creator>
  <cp:keywords/>
  <dc:description/>
  <cp:lastModifiedBy>Ved Verma</cp:lastModifiedBy>
  <cp:revision/>
  <dcterms:created xsi:type="dcterms:W3CDTF">2025-01-21T10:47:41Z</dcterms:created>
  <dcterms:modified xsi:type="dcterms:W3CDTF">2026-02-04T15:27:48Z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0x0101007EC05360179E8C47A5EAB0B10EFD8F33</vt:lpwstr>
  </property>
  <property fmtid="{D5CDD505-2E9C-101B-9397-08002B2CF9AE}" pid="3" name="MediaServiceImageTags">
    <vt:lpwstr/>
  </property>
</Properties>
</file>