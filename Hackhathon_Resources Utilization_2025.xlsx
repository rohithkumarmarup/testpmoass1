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updateLinks="always" hidePivotFieldList="1"/>
  <mc:AlternateContent xmlns:mc="http://schemas.openxmlformats.org/markup-compatibility/2006">
    <mc:Choice Requires="x15">
      <x15ac:absPath xmlns:x15ac="http://schemas.microsoft.com/office/spreadsheetml/2010/11/ac" url="C:\Users\ved.verma\Downloads\Hackathon - PMO\"/>
    </mc:Choice>
  </mc:AlternateContent>
  <xr:revisionPtr revIDLastSave="1" documentId="13_ncr:1_{94ED170D-D3AB-4BED-855A-A940ED50B313}" xr6:coauthVersionLast="47" xr6:coauthVersionMax="47" xr10:uidLastSave="{389FA5DA-49AA-4072-AD19-B76100E91CD0}"/>
  <bookViews>
    <workbookView xWindow="-108" yWindow="-108" windowWidth="23256" windowHeight="12576" tabRatio="812" firstSheet="1" activeTab="7" xr2:uid="{00000000-000D-0000-FFFF-FFFF00000000}"/>
  </bookViews>
  <sheets>
    <sheet name="Pivot Nov" sheetId="54" state="hidden" r:id="rId1"/>
    <sheet name="Weekly Summary Sheet" sheetId="53" r:id="rId2"/>
    <sheet name="Dec'25" sheetId="70" r:id="rId3"/>
    <sheet name="Non Billable" sheetId="28" r:id="rId4"/>
    <sheet name="Resigned" sheetId="32" r:id="rId5"/>
    <sheet name="Master" sheetId="39" r:id="rId6"/>
    <sheet name="Data Description " sheetId="68" r:id="rId7"/>
    <sheet name="Questionair" sheetId="67" r:id="rId8"/>
    <sheet name="Pivot Dec" sheetId="59" r:id="rId9"/>
  </sheets>
  <definedNames>
    <definedName name="_xlnm._FilterDatabase" localSheetId="5" hidden="1">Master!$A$1:$F$322</definedName>
    <definedName name="_xlnm._FilterDatabase" localSheetId="3" hidden="1">'Non Billable'!$A$1:$E$33</definedName>
    <definedName name="_xlnm._FilterDatabase" localSheetId="4" hidden="1">Resigned!$A$1:$L$152</definedName>
    <definedName name="_xlnm._FilterDatabase" localSheetId="2" hidden="1">'Dec''25'!$A$1:$U$1</definedName>
  </definedNames>
  <calcPr calcId="191028"/>
  <pivotCaches>
    <pivotCache cacheId="4812" r:id="rId10"/>
    <pivotCache cacheId="4813"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53" l="1"/>
  <c r="G16" i="53"/>
  <c r="H22" i="53"/>
  <c r="H7" i="53"/>
  <c r="H4" i="53"/>
  <c r="G22" i="53"/>
  <c r="G7" i="53"/>
  <c r="G4" i="53"/>
  <c r="F16" i="53"/>
  <c r="F22" i="53" s="1"/>
  <c r="F7" i="53"/>
  <c r="F4" i="53"/>
  <c r="B7" i="53"/>
  <c r="C7" i="53"/>
  <c r="D7" i="53"/>
  <c r="E7" i="53"/>
  <c r="B16" i="53"/>
  <c r="B22" i="53" s="1"/>
  <c r="C16" i="53"/>
  <c r="C22" i="53" s="1"/>
  <c r="D16" i="53"/>
  <c r="D22" i="53" s="1"/>
  <c r="E16" i="53"/>
  <c r="E22" i="53" s="1"/>
  <c r="E4" i="53"/>
  <c r="D4" i="53"/>
  <c r="C4" i="53"/>
  <c r="B4" i="53"/>
</calcChain>
</file>

<file path=xl/sharedStrings.xml><?xml version="1.0" encoding="utf-8"?>
<sst xmlns="http://schemas.openxmlformats.org/spreadsheetml/2006/main" count="5317" uniqueCount="1442">
  <si>
    <t>Resignation Status</t>
  </si>
  <si>
    <t>No</t>
  </si>
  <si>
    <t>Row Labels</t>
  </si>
  <si>
    <t xml:space="preserve">Sum of Billable Hours </t>
  </si>
  <si>
    <t xml:space="preserve">Sum of Non Billable Hours </t>
  </si>
  <si>
    <t>Sum of Tota Hrs Exc Leave</t>
  </si>
  <si>
    <t>Sum of Utilization %</t>
  </si>
  <si>
    <t>Count of Employee Number</t>
  </si>
  <si>
    <t>AIXponent</t>
  </si>
  <si>
    <t>AIXponent Core Team</t>
  </si>
  <si>
    <t>Bench</t>
  </si>
  <si>
    <t>COE - Databricks</t>
  </si>
  <si>
    <t>COE - Microsoft - Fabric/Power BI</t>
  </si>
  <si>
    <t>COE - Qlik/Talend</t>
  </si>
  <si>
    <t>COE Gen AI</t>
  </si>
  <si>
    <t>Fixed Project</t>
  </si>
  <si>
    <t>Intern</t>
  </si>
  <si>
    <t>POC</t>
  </si>
  <si>
    <t>PreSales</t>
  </si>
  <si>
    <t>T&amp;M Project</t>
  </si>
  <si>
    <t>UK - Sol Architect</t>
  </si>
  <si>
    <t>Grand Total</t>
  </si>
  <si>
    <t>WE - 21112025</t>
  </si>
  <si>
    <t>WE - 28112025</t>
  </si>
  <si>
    <t>WE - 5122025</t>
  </si>
  <si>
    <t>WE - 12122025</t>
  </si>
  <si>
    <t>WE - 19122025</t>
  </si>
  <si>
    <t>WE - 26122025</t>
  </si>
  <si>
    <t>WE - 2012026</t>
  </si>
  <si>
    <t>WE - 9012026</t>
  </si>
  <si>
    <t>WE - 16012026</t>
  </si>
  <si>
    <t>On Bench - Not Blocked</t>
  </si>
  <si>
    <t>On Bench - Blocked for Projects</t>
  </si>
  <si>
    <t>Total - On Bench</t>
  </si>
  <si>
    <t>Critical Status (Utilization &lt;= 50%)</t>
  </si>
  <si>
    <t>Underutilized (Utilization between &gt;50%  &amp;  &lt;= 85%)</t>
  </si>
  <si>
    <t>Total - Less Utilization</t>
  </si>
  <si>
    <t>CoE (Non Interns)</t>
  </si>
  <si>
    <t>CoE - Interns</t>
  </si>
  <si>
    <t>Interns</t>
  </si>
  <si>
    <t xml:space="preserve">CoE - Utilization </t>
  </si>
  <si>
    <t>Total Investment</t>
  </si>
  <si>
    <t>Headcount - Direct Payroll</t>
  </si>
  <si>
    <t>Headcount -  Contract</t>
  </si>
  <si>
    <t>Headcount -  Intern</t>
  </si>
  <si>
    <t>Total Team Size</t>
  </si>
  <si>
    <t xml:space="preserve">Billable - Delivery Team </t>
  </si>
  <si>
    <t>Partially Billable - Delivery Team (Delivery Managers, Architects etc)</t>
  </si>
  <si>
    <t>Sales Unit - Sales, Presales and Marketing</t>
  </si>
  <si>
    <t xml:space="preserve">Business Support - PMO, Marketing, HR, Finance, Admin, IT, PMO </t>
  </si>
  <si>
    <t xml:space="preserve">CoEs and Solutions -  Databricks, Microsoft, Qlik, AIXponent </t>
  </si>
  <si>
    <t>Total Team Size (should match with 16)</t>
  </si>
  <si>
    <t xml:space="preserve">Overall Utilization </t>
  </si>
  <si>
    <t>New Hires - Direct</t>
  </si>
  <si>
    <t>New Hires - On Contract</t>
  </si>
  <si>
    <t>Resigned</t>
  </si>
  <si>
    <t>Exited</t>
  </si>
  <si>
    <t>Employee Number</t>
  </si>
  <si>
    <t xml:space="preserve">Employee </t>
  </si>
  <si>
    <t>DOJ</t>
  </si>
  <si>
    <t>December Project Name</t>
  </si>
  <si>
    <t xml:space="preserve">Leaves </t>
  </si>
  <si>
    <t>Holidays</t>
  </si>
  <si>
    <t xml:space="preserve">Billable Hours </t>
  </si>
  <si>
    <t xml:space="preserve">Non Billable Hours </t>
  </si>
  <si>
    <t xml:space="preserve">Total Hours </t>
  </si>
  <si>
    <t>Tota Hrs Exc Leave</t>
  </si>
  <si>
    <t>Billable Exc Leaves %</t>
  </si>
  <si>
    <t>Non Billable Exc Leaves %</t>
  </si>
  <si>
    <t>Utlization Lvl</t>
  </si>
  <si>
    <t>Comments</t>
  </si>
  <si>
    <t>COE/Aixponent/Intern</t>
  </si>
  <si>
    <t>Billability</t>
  </si>
  <si>
    <t>Project name</t>
  </si>
  <si>
    <t>Confirm Project Deployment Date</t>
  </si>
  <si>
    <t>LWD</t>
  </si>
  <si>
    <t>PM Comments</t>
  </si>
  <si>
    <t>Aakash Acharya</t>
  </si>
  <si>
    <t>BCG -T&amp;M</t>
  </si>
  <si>
    <t>Good</t>
  </si>
  <si>
    <t>Yes</t>
  </si>
  <si>
    <t>BCG</t>
  </si>
  <si>
    <t/>
  </si>
  <si>
    <t>Ishaan Adhikari</t>
  </si>
  <si>
    <t>ABSLI Qlik Dashboard - Fixed &amp; Fixed T&amp;M</t>
  </si>
  <si>
    <t>ABSLI</t>
  </si>
  <si>
    <t>Ritika Aggarwal</t>
  </si>
  <si>
    <t>Endurance Technologies-Dashboard Performance Optimization &amp; Overall Performance Improvement 
EY-ABHL - T&amp;M
Niva Bupa DWA - Fixed
TATA AIG T&amp;M</t>
  </si>
  <si>
    <t>Endurance Technologies-Dashboard Performance Optimization &amp; Overall Performance Improvement - B
EY-ABHL - T&amp;M - B
Niva Bupa DWA - Fixed - B
TATA AIG T&amp;M - B</t>
  </si>
  <si>
    <t>EY-ABHL</t>
  </si>
  <si>
    <t>Manav Ahluwalia</t>
  </si>
  <si>
    <t>DSS Ashish - T&amp;M</t>
  </si>
  <si>
    <t>DSS Ashish</t>
  </si>
  <si>
    <t>Nisha Ahuja</t>
  </si>
  <si>
    <t>Endurance Technologies-Dashboard Performance Optimization &amp; Overall Performance Improvement 
Talent Pool - India</t>
  </si>
  <si>
    <t>Critical</t>
  </si>
  <si>
    <t>Endurance Technologies-Dashboard Performance Optimization &amp; Overall Performance Improvement - B ( 50% billable )
Talent Pool - India - NB</t>
  </si>
  <si>
    <t>Endurance Technologies-Dashboard Performance Optimization &amp; Overall Performance Improvement</t>
  </si>
  <si>
    <t>Karan Arora</t>
  </si>
  <si>
    <t>SBI Life T&amp;M</t>
  </si>
  <si>
    <t>SBI Life</t>
  </si>
  <si>
    <t>Zara Attarwala</t>
  </si>
  <si>
    <t>Rohit Avhad</t>
  </si>
  <si>
    <t>Kemsley Mills
Transporeon - Data ingesiton - Fixed</t>
  </si>
  <si>
    <t>Kemsley Mills</t>
  </si>
  <si>
    <t>Sneha Badami</t>
  </si>
  <si>
    <t>HDFC Life Bis - T&amp;M</t>
  </si>
  <si>
    <t>HDFC Life Bis</t>
  </si>
  <si>
    <t>Anirban Bagchi</t>
  </si>
  <si>
    <t>Pankaj Baid</t>
  </si>
  <si>
    <t>Adani Logistics</t>
  </si>
  <si>
    <t>Adani Logistics - Currently on full week leave</t>
  </si>
  <si>
    <t>Neeraj Bajaj</t>
  </si>
  <si>
    <t>Sowmya Balakrishnan</t>
  </si>
  <si>
    <t>Talent Pool - India
Data Coach - Fixed
Niva Bupa  - CR New Reports &amp; Enhancement - T&amp;M</t>
  </si>
  <si>
    <t>Data Coach - B 
Niva Bupa  - CR New Reports &amp; Enhancement - T&amp;M - B
Talent Pool - NB</t>
  </si>
  <si>
    <t>Data Coach</t>
  </si>
  <si>
    <t>Prasad Bandekar</t>
  </si>
  <si>
    <t>AIXponent - Internal
Data Science &amp; ML Center of Excellence (COE) 
Data Coach - Fixed</t>
  </si>
  <si>
    <t>AIXponent - Internal - NB
Data Science &amp; ML Center of Excellence (COE) - NB
Data Coach - B</t>
  </si>
  <si>
    <t>Sonal Barde</t>
  </si>
  <si>
    <t>Talent Pool - India</t>
  </si>
  <si>
    <t>Talent Pool - India - NB</t>
  </si>
  <si>
    <t>Arindam Basak</t>
  </si>
  <si>
    <t>Eligarf TUI T&amp;M</t>
  </si>
  <si>
    <t>Eligarf TUI</t>
  </si>
  <si>
    <t>Ravi Bedi</t>
  </si>
  <si>
    <t>Mehul Bhandari</t>
  </si>
  <si>
    <t>Nikita Bhansali</t>
  </si>
  <si>
    <t>Emory - Fixed</t>
  </si>
  <si>
    <t>Emory</t>
  </si>
  <si>
    <t>Alok Bhatnagar</t>
  </si>
  <si>
    <t>Comviva Talend Migration
Talent Pool - India
Data Coach - Fixed
Nuvama Gen AI - Fixed
TATA AIG AIxponent Implementation - Fixed
Titan Finance</t>
  </si>
  <si>
    <t>Data Coach 
Nuvama Gen AI - Fixed</t>
  </si>
  <si>
    <t>Suresh Bhave</t>
  </si>
  <si>
    <t>Odyssey Hotels Group</t>
  </si>
  <si>
    <t>Odyssey</t>
  </si>
  <si>
    <t>Aditi Bhide</t>
  </si>
  <si>
    <t>HDFC Life Data Lab - T&amp;M</t>
  </si>
  <si>
    <t>HDFC Life Data Lab</t>
  </si>
  <si>
    <t>Naveen Bisht</t>
  </si>
  <si>
    <t>Kunal Bodke</t>
  </si>
  <si>
    <t>HDFC Life SalesTap - Fixed / T&amp;M</t>
  </si>
  <si>
    <t>HDFC Sales Tap - Currently on two week leave</t>
  </si>
  <si>
    <t>HDFC Life SalesTap</t>
  </si>
  <si>
    <t>Rahul Bora</t>
  </si>
  <si>
    <t>Ajit Borkar</t>
  </si>
  <si>
    <t>Translation Application
AIXponent - Internal</t>
  </si>
  <si>
    <t>Translation Application - B
AIXponent - Internal - NB</t>
  </si>
  <si>
    <t>Aixponent</t>
  </si>
  <si>
    <t>Saptarshi Chakraborty</t>
  </si>
  <si>
    <t>Arjun Chandran</t>
  </si>
  <si>
    <t>DS Smith - Pool
Talent Pool - India</t>
  </si>
  <si>
    <t>Tejas Chaudhari</t>
  </si>
  <si>
    <t>Talent Pool - India
TATA AIG AIxponent Implementation - Fixed</t>
  </si>
  <si>
    <t>Talent Pool - India - NB
TATA AIG AIxponent Implementation - Fixed - B</t>
  </si>
  <si>
    <t>Rhea Chhabra</t>
  </si>
  <si>
    <t>Eligraph Mediavision T&amp;M</t>
  </si>
  <si>
    <t>Eligraph Mediavision</t>
  </si>
  <si>
    <t>Sanjay Chitale</t>
  </si>
  <si>
    <t>Maternity Leave</t>
  </si>
  <si>
    <t>Meera Choksi</t>
  </si>
  <si>
    <t>Novel Jewels Opp ( Power BI + SQL ) - T&amp;M</t>
  </si>
  <si>
    <t>Novel Jewels Opp</t>
  </si>
  <si>
    <t>Aniket Dabholkar</t>
  </si>
  <si>
    <t>Poonawalla Fincorp - T&amp;M</t>
  </si>
  <si>
    <t>Poonawalla Fincorp - T&amp;M - B</t>
  </si>
  <si>
    <t>Poonawalla Fincorp</t>
  </si>
  <si>
    <t>Harsh Dalmia</t>
  </si>
  <si>
    <t>HDFC Life Digi Lab - T&amp;M</t>
  </si>
  <si>
    <t>HDFC Life Digi Lab</t>
  </si>
  <si>
    <t>Ananya Damle</t>
  </si>
  <si>
    <t>GCPL - T&amp;M</t>
  </si>
  <si>
    <t>GCPL</t>
  </si>
  <si>
    <t>Vikas Datta</t>
  </si>
  <si>
    <t>Qlik Tech T&amp;M</t>
  </si>
  <si>
    <t>Qlik Tech</t>
  </si>
  <si>
    <t>Simran Deol</t>
  </si>
  <si>
    <t>Srinivas Devarajan</t>
  </si>
  <si>
    <t>AIXponent - Internal
Talent Pool - India
Qlik QAP
Nuvama Gen AI - Fixed</t>
  </si>
  <si>
    <t>AIXponent - Internal - NB
Talent Pool - India - NB
Nuvama Gen AI - Fixed - B</t>
  </si>
  <si>
    <t>Mandar Dhole</t>
  </si>
  <si>
    <t>Talent Pool - India
Niva Bupa DWA - Fixed
Qlik Tech T&amp;M</t>
  </si>
  <si>
    <t>Talent Pool - India - NB ( COE task )
Niva Bupa DWA - Fixed - B
Qlik Tech T&amp;M - B</t>
  </si>
  <si>
    <t>Sandeep Dubey</t>
  </si>
  <si>
    <t>E Invoicing - Fixed</t>
  </si>
  <si>
    <t>E Invoicing</t>
  </si>
  <si>
    <t>Kriti Duggal</t>
  </si>
  <si>
    <t>Datafactory - T&amp;M</t>
  </si>
  <si>
    <t>Datafactory</t>
  </si>
  <si>
    <t>Rohini Dutt</t>
  </si>
  <si>
    <t>Ashwin Engineer</t>
  </si>
  <si>
    <t>Amruta Fadnavis</t>
  </si>
  <si>
    <t>Mondelez Manufacturing Report - T&amp;M</t>
  </si>
  <si>
    <t>Mondelez Manufacturing Report</t>
  </si>
  <si>
    <t>Mihir Gadgil</t>
  </si>
  <si>
    <t>TATA AIG T&amp;M</t>
  </si>
  <si>
    <t>TATA AIG</t>
  </si>
  <si>
    <t>Shubham Gaikwad</t>
  </si>
  <si>
    <t>AIXponent - Internal
TATA AIG AIxponent Implementation - Fixed</t>
  </si>
  <si>
    <t>AIXponent - Internal - NB
TATA AIG AIxponent Implementation - Fixed - B</t>
  </si>
  <si>
    <t>Rhea Gandhi</t>
  </si>
  <si>
    <t>Adwait Gangal</t>
  </si>
  <si>
    <t>Nitin Garg</t>
  </si>
  <si>
    <t>Rohit Gavaskar</t>
  </si>
  <si>
    <t>Tarun Gera</t>
  </si>
  <si>
    <t>Vandana Godbole</t>
  </si>
  <si>
    <t>Pranav Gole</t>
  </si>
  <si>
    <t>E2E South - T&amp;M</t>
  </si>
  <si>
    <t>E2E South</t>
  </si>
  <si>
    <t>Deepak Goyal</t>
  </si>
  <si>
    <t>Ramesh Gurav</t>
  </si>
  <si>
    <t>Xanadu - T&amp;M</t>
  </si>
  <si>
    <t>Xanadu</t>
  </si>
  <si>
    <t>Sohini Halder</t>
  </si>
  <si>
    <t>Qlik &amp; Talend Center of Excellence - Internal</t>
  </si>
  <si>
    <t>Ashok Haldipur</t>
  </si>
  <si>
    <t>Naveena Hiranandani</t>
  </si>
  <si>
    <t>M&amp;M - T&amp;M</t>
  </si>
  <si>
    <t>M&amp;M</t>
  </si>
  <si>
    <t>Raghav Hoskote</t>
  </si>
  <si>
    <t>Eligraph Xantura T&amp;M</t>
  </si>
  <si>
    <t>Eligraph Xantura</t>
  </si>
  <si>
    <t>Pratik Indulkar</t>
  </si>
  <si>
    <t>Sachin Ingle</t>
  </si>
  <si>
    <t>T&amp;M FTE Support- Gen AI</t>
  </si>
  <si>
    <t>Suresh Iyengar</t>
  </si>
  <si>
    <t>Afcons Qlik SaaS Migration
Endurance - T&amp;M
Qlik Admin - Internal
GCPL - T&amp;M
Qlik Resources for KMPG</t>
  </si>
  <si>
    <t>Afcons Qlik SaaS Migration
Qlik Admin - Internal
GCPL - T&amp;M</t>
  </si>
  <si>
    <t>Afcons</t>
  </si>
  <si>
    <t>Madhav Jambhekar</t>
  </si>
  <si>
    <t>Kavya Juneja</t>
  </si>
  <si>
    <t>Imran Kagalwala</t>
  </si>
  <si>
    <t>Puneet Kalra</t>
  </si>
  <si>
    <t>Resignation_Bench</t>
  </si>
  <si>
    <t>Prashant Kamble</t>
  </si>
  <si>
    <t>Vivek Kannan</t>
  </si>
  <si>
    <t>Neha Karandikar</t>
  </si>
  <si>
    <t>Afcons Qlik SaaS Migration
Talent Pool - India</t>
  </si>
  <si>
    <t>Afcons Qlik SaaS Migration - B
Talent Pool - India - NB</t>
  </si>
  <si>
    <t>Saurabh Karnik</t>
  </si>
  <si>
    <t>Shilpa Kataria</t>
  </si>
  <si>
    <t>Rohan Kavlekar</t>
  </si>
  <si>
    <t>Vikas Keskar</t>
  </si>
  <si>
    <t>Causal Analysis of CPMU and IOT Data - T&amp;M</t>
  </si>
  <si>
    <t>Causal Analysis of CPMU and IOT Data</t>
  </si>
  <si>
    <t>Sanjana Khandekar</t>
  </si>
  <si>
    <t>Salman Khatri</t>
  </si>
  <si>
    <t>Anmol Kohli</t>
  </si>
  <si>
    <t>Swapnil Kolhe</t>
  </si>
  <si>
    <t>Ashish Koppikar</t>
  </si>
  <si>
    <t>Siddhi Kore</t>
  </si>
  <si>
    <t>E2E South - T&amp;M
Catalyst - (SSP FP&amp;A Reporting)
Data Foundation for Databricks PoC - T&amp;M</t>
  </si>
  <si>
    <t>E2E South - T&amp;M - B
Catalyst - (SSP FP&amp;A Reporting) - B</t>
  </si>
  <si>
    <t>Ritu Kotak</t>
  </si>
  <si>
    <t>ABSLI Qlik Dashboard - T&amp;M</t>
  </si>
  <si>
    <t>Anand Kunte</t>
  </si>
  <si>
    <t xml:space="preserve">Talent Pool - India
HDFC Life Bis Vapt -T&amp;M
DIOH 360 CR - Fixed
TATA AIG : Hypercare </t>
  </si>
  <si>
    <t>DIOH 360 CR - Fixed</t>
  </si>
  <si>
    <t>Sameer Lad</t>
  </si>
  <si>
    <t>Ipsita Lahiri</t>
  </si>
  <si>
    <t>Gaurav Lamba</t>
  </si>
  <si>
    <t>Farah Lulla</t>
  </si>
  <si>
    <t>Commission Calculator -T&amp;M</t>
  </si>
  <si>
    <t>Commission Calculator</t>
  </si>
  <si>
    <t>Rajat Madan</t>
  </si>
  <si>
    <t>Sanjay Mahindroo</t>
  </si>
  <si>
    <t>Trackchain - Argus - Fixed 
Kemsley Mills
Talent Pool - India</t>
  </si>
  <si>
    <t>Trackchain - Argus - Fixed  - NB
Talent Pool - India - NB
Kemsley Mills - B</t>
  </si>
  <si>
    <t>Tanya Malik</t>
  </si>
  <si>
    <t>Vinay Mandlik</t>
  </si>
  <si>
    <t xml:space="preserve">Nuvama Gen AI - Fixed
Gen AI Deployment for Contracts Use Case - Fixed </t>
  </si>
  <si>
    <t>Gen AI Deployment for Contracts Use Case</t>
  </si>
  <si>
    <t>Kiran Mankame</t>
  </si>
  <si>
    <t>Omkar Marathe</t>
  </si>
  <si>
    <t>Anoop Mathew</t>
  </si>
  <si>
    <t>Shraddha Mehendale</t>
  </si>
  <si>
    <t>Nilesh Mhatre</t>
  </si>
  <si>
    <t>Alisha Mirani</t>
  </si>
  <si>
    <t>Ankit Mody</t>
  </si>
  <si>
    <t>Vaibhav Moghe</t>
  </si>
  <si>
    <t>Data Foundation for Databricks PoC - T&amp;M</t>
  </si>
  <si>
    <t>Data Foundation for Databricks PoC</t>
  </si>
  <si>
    <t>Pooja Mukadam</t>
  </si>
  <si>
    <t>UPL T&amp;M</t>
  </si>
  <si>
    <t>UPL</t>
  </si>
  <si>
    <t>Kishore Nadkarni</t>
  </si>
  <si>
    <t>Datafactory - T&amp;M
DS Smith - Pool</t>
  </si>
  <si>
    <t>Amol Nagarkar</t>
  </si>
  <si>
    <t>Zubin Nakhwa</t>
  </si>
  <si>
    <t>Financial Services - T&amp;M</t>
  </si>
  <si>
    <t>Financial Services</t>
  </si>
  <si>
    <t>Arvind Nambiar</t>
  </si>
  <si>
    <t>POC - NB</t>
  </si>
  <si>
    <t>Prakash Natu</t>
  </si>
  <si>
    <t>Rohit Nene</t>
  </si>
  <si>
    <t>Aditya Nerurkar</t>
  </si>
  <si>
    <t>Avendus - T&amp;M</t>
  </si>
  <si>
    <t>Avendus</t>
  </si>
  <si>
    <t>Kunal Nijhawan</t>
  </si>
  <si>
    <t>Talent Pool - India
Niva Bupa DWA - Fixed</t>
  </si>
  <si>
    <t>Talent Pool - India - NB
Niva Bupa DWA - Fixed - B ( 20% billable )</t>
  </si>
  <si>
    <t>Aarushi Oberai</t>
  </si>
  <si>
    <t>Talent Pool - India
Chatbot &amp; Databricks Tagging Support</t>
  </si>
  <si>
    <t>Talent Pool - India - NB
Chatbot &amp; Databricks Tagging Support - B</t>
  </si>
  <si>
    <t>Chatbot &amp; Databricks Tagging Support</t>
  </si>
  <si>
    <t>Piyush Ojha</t>
  </si>
  <si>
    <t>Manisha Pachauri</t>
  </si>
  <si>
    <t>Rahul Palekar</t>
  </si>
  <si>
    <t>Anjali Panse</t>
  </si>
  <si>
    <t>Siddharth Paranjape</t>
  </si>
  <si>
    <t>Mondelez Digital Dms - T&amp;M</t>
  </si>
  <si>
    <t>Mondelez Digital Dms</t>
  </si>
  <si>
    <t>Nikhil Parikh</t>
  </si>
  <si>
    <t>Sagar Parulekar</t>
  </si>
  <si>
    <t>Ramesh Phadke</t>
  </si>
  <si>
    <t>Sujata Pillay</t>
  </si>
  <si>
    <t>Anand Pitre</t>
  </si>
  <si>
    <t>Mehul Punjabi</t>
  </si>
  <si>
    <t>Suresh Raghavan</t>
  </si>
  <si>
    <t>Amit Rajadhyaksha</t>
  </si>
  <si>
    <t>Lakshmi Ramaswamy</t>
  </si>
  <si>
    <t>Aniruddha Ranade</t>
  </si>
  <si>
    <t>Kavita Rangnekar</t>
  </si>
  <si>
    <t>Poojan Rastogi</t>
  </si>
  <si>
    <t>Vishal Rege</t>
  </si>
  <si>
    <t>Lucamil - T&amp;M</t>
  </si>
  <si>
    <t>Lucamil</t>
  </si>
  <si>
    <t>Anushka Sahni</t>
  </si>
  <si>
    <t>Prateek Saluja</t>
  </si>
  <si>
    <t>Talent Pool - India
Lids Fabric Migration - Fixed</t>
  </si>
  <si>
    <t>Talent Pool - India - NB
Lids Fabric Migration - Fixed - B</t>
  </si>
  <si>
    <t>Ketan Sanghvi</t>
  </si>
  <si>
    <t>Comviva Talend Migration
Talent Pool - India</t>
  </si>
  <si>
    <t>Comviva Talend Migration</t>
  </si>
  <si>
    <t>Nupur Saraf</t>
  </si>
  <si>
    <t>IRM Warranty - Fixed / T&amp;M</t>
  </si>
  <si>
    <t>IRM</t>
  </si>
  <si>
    <t>Rajiv Sarda</t>
  </si>
  <si>
    <t>Pallav Sarkar</t>
  </si>
  <si>
    <t>Talent Pool - India
HDFC Life SalesTap - Fixed / T&amp;M</t>
  </si>
  <si>
    <t>HDFC Life SalesTap - Fixed / T&amp;M -B
Talent Pool - NB</t>
  </si>
  <si>
    <t>Snehal Sathe</t>
  </si>
  <si>
    <t>Mitali Sengupta</t>
  </si>
  <si>
    <t>AIXponent - Internal</t>
  </si>
  <si>
    <t>AIXponent - Internal - NB</t>
  </si>
  <si>
    <t>Harpreet Sethi</t>
  </si>
  <si>
    <t>E Invoicing - Fixed
DSS - Shared Resource
PSA IP Integration</t>
  </si>
  <si>
    <t>E Invoicing - Fixed -B
DSS - Shared Resource - NB</t>
  </si>
  <si>
    <t>Kalyani Shende</t>
  </si>
  <si>
    <t>ICICI Pru amc - T&amp;M</t>
  </si>
  <si>
    <t>ICICI</t>
  </si>
  <si>
    <t>Ravindra Shirke</t>
  </si>
  <si>
    <t>Anusha Sodhi</t>
  </si>
  <si>
    <t>Keshav Somani</t>
  </si>
  <si>
    <t>Talent Pool - India
T&amp;M Requirement-Adani-1 API Developer</t>
  </si>
  <si>
    <t>T&amp;M Requirement-Adani-1 API Developer</t>
  </si>
  <si>
    <t>Anita Subramaniam</t>
  </si>
  <si>
    <t>Rajat Sud</t>
  </si>
  <si>
    <t>Shreya Talwar</t>
  </si>
  <si>
    <t>Amit Tamhane</t>
  </si>
  <si>
    <t>Rupali Tendulkar</t>
  </si>
  <si>
    <t>Viral Thakkar</t>
  </si>
  <si>
    <t>Karthik Thyagarajan</t>
  </si>
  <si>
    <t>Emory - Fixed - B</t>
  </si>
  <si>
    <t>Namita Udupa</t>
  </si>
  <si>
    <t>Pranay Upadhyay</t>
  </si>
  <si>
    <t>Talent Pool - India
HDFC Life IEarn - Fixed / T&amp;M
Xanadu - T&amp;M</t>
  </si>
  <si>
    <t>Sonal Vaidya</t>
  </si>
  <si>
    <t>Talent Pool - India
Qlik Resources for KMPG
SBI Life T&amp;M</t>
  </si>
  <si>
    <t>Talent Pool - India - NB
Qlik Resources for KMPG - B
SBI Life T&amp;M - B</t>
  </si>
  <si>
    <t>Ashutosh Venkatesh</t>
  </si>
  <si>
    <t>Databricks Center of Excellence (CoE) - Internal
Catalyst - (SSP FP&amp;A Reporting)</t>
  </si>
  <si>
    <t>Databricks Center of Excellence (CoE) - Internal - NB
Catalyst - (SSP FP&amp;A Reporting) - B</t>
  </si>
  <si>
    <t>Catalyst - (SSP FP&amp;A Reporting)</t>
  </si>
  <si>
    <t>Neerja Wagh</t>
  </si>
  <si>
    <t>Samar Walia</t>
  </si>
  <si>
    <t>Nitin Zade</t>
  </si>
  <si>
    <t>Ayaan Kulshreshtha</t>
  </si>
  <si>
    <t>Ira Malpani</t>
  </si>
  <si>
    <t>Devansh Nagpal</t>
  </si>
  <si>
    <t>Kritika Sachdeva</t>
  </si>
  <si>
    <t>Rudra Chitnis</t>
  </si>
  <si>
    <t>Niva Bupa  - CR New Reports &amp; Enhancement - T&amp;M</t>
  </si>
  <si>
    <t>Niva Bupa</t>
  </si>
  <si>
    <t>Megha Lalwani</t>
  </si>
  <si>
    <t>Parth Bhageria</t>
  </si>
  <si>
    <t>HDFC Life Data Labs</t>
  </si>
  <si>
    <t>Simone D’Souza</t>
  </si>
  <si>
    <t>Kabir Talreja</t>
  </si>
  <si>
    <t>Avni Javeri</t>
  </si>
  <si>
    <t>Ritesh Khandelwal</t>
  </si>
  <si>
    <t>Diya Munjal</t>
  </si>
  <si>
    <t>Varad Apte</t>
  </si>
  <si>
    <t>Tanisha Bhutani</t>
  </si>
  <si>
    <t>Nuvama Gen AI - Fixed
Data Foundation for Databricks PoC - T&amp;M</t>
  </si>
  <si>
    <t>Nuvama Gen AI - Fixed - B
Data Foundation for Databricks PoC - T&amp;M - NB will be billable from 9th</t>
  </si>
  <si>
    <t>Armaan Suri</t>
  </si>
  <si>
    <t>Comviva</t>
  </si>
  <si>
    <t>Sharmila Gupte</t>
  </si>
  <si>
    <t>Yuvraj Chordia</t>
  </si>
  <si>
    <t>Pia Advani</t>
  </si>
  <si>
    <t>Samar Bhageria</t>
  </si>
  <si>
    <t>TMS_Finance - Fixed
DIOH 360 CR - Fixed</t>
  </si>
  <si>
    <t>TMS</t>
  </si>
  <si>
    <t>Natasha Commissariat</t>
  </si>
  <si>
    <t>DSS - T&amp;M_Yogi_Team - T&amp;M</t>
  </si>
  <si>
    <t>DSS Yogi</t>
  </si>
  <si>
    <t>Nakul Sabnis</t>
  </si>
  <si>
    <t>Riya Chhabria</t>
  </si>
  <si>
    <t xml:space="preserve">DS Smith - Pool
Trackchain - Argus - Fixed </t>
  </si>
  <si>
    <t>Trackchain - Argus - Fixed - B
DS Smith Pool - NB</t>
  </si>
  <si>
    <t>Anshuman Sabharwal</t>
  </si>
  <si>
    <t>Farzana Contractor</t>
  </si>
  <si>
    <t>Tushar Wani</t>
  </si>
  <si>
    <t>Esha Daryani</t>
  </si>
  <si>
    <t>Jayant Hingorani</t>
  </si>
  <si>
    <t>Aarohi Panjwani</t>
  </si>
  <si>
    <t>BCG -T&amp;M
E2E South - T&amp;M</t>
  </si>
  <si>
    <t>BCG -T&amp;M - NB
E2E South - T&amp;M - B</t>
  </si>
  <si>
    <t>Rahil Madon</t>
  </si>
  <si>
    <t>Nandini Kher</t>
  </si>
  <si>
    <t>Kushal Sancheti</t>
  </si>
  <si>
    <t xml:space="preserve">AIXponent - Internal
Data Coach - Fixed
Gen AI Deployment for Contracts Use Case - Fixed </t>
  </si>
  <si>
    <t xml:space="preserve">AIXponent - Internal - NB
Data Coach - Fixed - B
Gen AI Deployment for Contracts Use Case - Fixed - B </t>
  </si>
  <si>
    <t>Mira Purohit</t>
  </si>
  <si>
    <t>Adwait Godse</t>
  </si>
  <si>
    <t>Sneha Chitlange</t>
  </si>
  <si>
    <t>Adani PORT - T&amp;M</t>
  </si>
  <si>
    <t>Adani PORT</t>
  </si>
  <si>
    <t>Rehan Lakdawala</t>
  </si>
  <si>
    <t>Apeksha Abhyankar</t>
  </si>
  <si>
    <t>Yash Mahajan</t>
  </si>
  <si>
    <t>HDFC Product - T&amp;M</t>
  </si>
  <si>
    <t>HDFC Product</t>
  </si>
  <si>
    <t>Zenia Balsara</t>
  </si>
  <si>
    <t>Kunal Tolat</t>
  </si>
  <si>
    <t>Prerna Biyani</t>
  </si>
  <si>
    <t>HDFC Life Data Labs T&amp;M First week of december on leave</t>
  </si>
  <si>
    <t>Shreyas Karkhanis</t>
  </si>
  <si>
    <t>Anushri Jogalekar</t>
  </si>
  <si>
    <t>Soham Gaitonde</t>
  </si>
  <si>
    <t>Rhea Kapadia</t>
  </si>
  <si>
    <t>PayPal - T&amp;M</t>
  </si>
  <si>
    <t>PayPal</t>
  </si>
  <si>
    <t>Zubin Bharucha</t>
  </si>
  <si>
    <t>Shruti Limaye</t>
  </si>
  <si>
    <t>Niraj Velingkar</t>
  </si>
  <si>
    <t>Aashna Chhablani</t>
  </si>
  <si>
    <t>Pratik Wable</t>
  </si>
  <si>
    <t>TMS_Finance - Fixed
DS Smith - Pool</t>
  </si>
  <si>
    <t>TMS_Finance - Fixed - B
DS Smith Pool - NB ( Project went on hold in mid)</t>
  </si>
  <si>
    <t>Mehul Chinoy</t>
  </si>
  <si>
    <t>Sonal Kagal</t>
  </si>
  <si>
    <t>Irfan Memon</t>
  </si>
  <si>
    <t>Rashika Kapse</t>
  </si>
  <si>
    <t>DS Smith - Pool
Kemsley Mills</t>
  </si>
  <si>
    <t>DS Smith - Pool - NB
Kemsley Mills - NB</t>
  </si>
  <si>
    <t>Nikhil Kelkar</t>
  </si>
  <si>
    <t>Aditi Bhagwat</t>
  </si>
  <si>
    <t>Databricks Center of Excellence (CoE) - Internal</t>
  </si>
  <si>
    <t>Databricks Center of Excellence (CoE) - Internal - NB</t>
  </si>
  <si>
    <t>Aarush Kulshrestha</t>
  </si>
  <si>
    <t>Sakshi Mogul</t>
  </si>
  <si>
    <t>Rohit Pamnani</t>
  </si>
  <si>
    <t>Tanya Vaswani</t>
  </si>
  <si>
    <t>Akshay Desai</t>
  </si>
  <si>
    <t>Trackchain - Argus - Fixed 
E2E South - T&amp;M
POC</t>
  </si>
  <si>
    <t>Trackchain - Argus - Fixed - NB
E2E South - T&amp;M - B
POC - NB</t>
  </si>
  <si>
    <t>Poojan Mehra</t>
  </si>
  <si>
    <t>Varsha Lath</t>
  </si>
  <si>
    <t>Aniket Bapat</t>
  </si>
  <si>
    <t>T&amp;M Requirement-Adani-Data Engineer(EY) - T&amp;M</t>
  </si>
  <si>
    <t>T&amp;M Requirement-Adani-Data Engineer(EY)</t>
  </si>
  <si>
    <t>Simran Sadarangani</t>
  </si>
  <si>
    <t>Hemant Asher</t>
  </si>
  <si>
    <t>Kavya Hingne</t>
  </si>
  <si>
    <t>ABSLI Qlik Dashboard - Fixed &amp; Fixed T&amp;M
GCPL - T&amp;M
ICICI Pru amc - T&amp;M
Mondelez Digital Dms - T&amp;M</t>
  </si>
  <si>
    <t>ABSLI Qlik Dashboard - Fixed &amp; Fixed T&amp;M - B
GCPL - T&amp;M - NB
ICICI Pru amc - T&amp;M - NB
Mondelez Digital Dms - T&amp;M - B</t>
  </si>
  <si>
    <t>Devika Keni</t>
  </si>
  <si>
    <t>DIOH 360 - B</t>
  </si>
  <si>
    <t>DIOH 360</t>
  </si>
  <si>
    <t>Sahil Gursahani</t>
  </si>
  <si>
    <t>PSA IP Integration
Talent Pool - India</t>
  </si>
  <si>
    <t>PSA IP Integration - B
Talent Pool - India - NB</t>
  </si>
  <si>
    <t>PSA IP Integration</t>
  </si>
  <si>
    <t>Mrunal Patwardhan</t>
  </si>
  <si>
    <t>Ishwar Prabhu</t>
  </si>
  <si>
    <t>Aaliya Rangwala</t>
  </si>
  <si>
    <t>Nilesh Kharade</t>
  </si>
  <si>
    <t>Keka Dashboard - Internal</t>
  </si>
  <si>
    <t>Keka Dashboard - Internal - NB ( will be assigned to Lids)</t>
  </si>
  <si>
    <t>Shaina Mecklai</t>
  </si>
  <si>
    <t>Talent Pool - India
Keka Dashboard - Internal
Emory - Fixed</t>
  </si>
  <si>
    <t>Keka Dashboard - Internal - NB
Emory - B</t>
  </si>
  <si>
    <t>Sumeet Phanse</t>
  </si>
  <si>
    <t>Ankita Shirodkar</t>
  </si>
  <si>
    <t>Novel Jewels Opp ( Power BI + SQL ) - T&amp;M - NB</t>
  </si>
  <si>
    <t>Ravikant Tornekar</t>
  </si>
  <si>
    <t>EY Adani to Databricks Data Engineer - T&amp;M</t>
  </si>
  <si>
    <t>EY Adani to Databricks Data Engineer</t>
  </si>
  <si>
    <t>Fiona Colaco</t>
  </si>
  <si>
    <t>Pranita Bhonsle</t>
  </si>
  <si>
    <t>Adil Panthaky</t>
  </si>
  <si>
    <t>Trackchain - Argus - Fixed 
RCA with Gen AI</t>
  </si>
  <si>
    <t xml:space="preserve">Trackchain - Argus - Fixed </t>
  </si>
  <si>
    <t>Trackchain - Argus</t>
  </si>
  <si>
    <t>Madhav Kudalkar</t>
  </si>
  <si>
    <t>Juhi Khimji</t>
  </si>
  <si>
    <t>POC
Data Coach - Fixed
Emory - Fixed</t>
  </si>
  <si>
    <t>POC - NB
Data Coach -B 
Emory - Fixed - B</t>
  </si>
  <si>
    <t>Cyrus Irani</t>
  </si>
  <si>
    <t>Ketan Sangani</t>
  </si>
  <si>
    <t>Ayesha Chheda</t>
  </si>
  <si>
    <t>Data Foundation for Databricks PoC - T&amp;M
Titan Finance</t>
  </si>
  <si>
    <t>Data Foundation for Databricks PoC - T&amp;M - NB
Titan Finance- NB</t>
  </si>
  <si>
    <t>Resgination_Project</t>
  </si>
  <si>
    <t>Rahul Malde</t>
  </si>
  <si>
    <t>Taranjeet Kohok</t>
  </si>
  <si>
    <t>Vidushi Nalgirkar</t>
  </si>
  <si>
    <t>Eklavya Sabale</t>
  </si>
  <si>
    <t>Shanaya Kothimbire</t>
  </si>
  <si>
    <t xml:space="preserve">Gen AI Deployment for Contracts Use Case - Fixed </t>
  </si>
  <si>
    <t>Prithvi Kaluskar</t>
  </si>
  <si>
    <t>Talent Pool - India
Data Coach - Fixed</t>
  </si>
  <si>
    <t>Talent Pool - India - NB
Data Coach - Fixed - B</t>
  </si>
  <si>
    <t>Ishita Wadekar</t>
  </si>
  <si>
    <t>AIXponent - Internal
Talent Pool - India
TATA AIG AIxponent Implementation - Fixed</t>
  </si>
  <si>
    <t>TATA AIG AIxponent Implementation - Fixed - B
Talent Pool - India - NB
( Currently Working on Task assigned by Ram Sir, 2 week task )</t>
  </si>
  <si>
    <t>Atharva Vairagkar</t>
  </si>
  <si>
    <t xml:space="preserve">Intellicus report migration to Qlik Sense  - T&amp;M </t>
  </si>
  <si>
    <t>Intellicus report migration to Qlik Sense</t>
  </si>
  <si>
    <t>Noor Bandwala</t>
  </si>
  <si>
    <t>SBI Life T&amp;M - B First full week on Leave</t>
  </si>
  <si>
    <t>Chinmay Velhal</t>
  </si>
  <si>
    <t>Adani Ahemdabad T&amp;M
IIFL Risk Dashboard Development on Qlik Sense - Fixed</t>
  </si>
  <si>
    <t>Adani Ahemdabad T&amp;M - NB
IIFL Risk Dashboard Development on Qlik Sense - Fixed - B</t>
  </si>
  <si>
    <t>Adani Ahemdabad T&amp;M</t>
  </si>
  <si>
    <t>Reema Dharmadhikari</t>
  </si>
  <si>
    <t>Tera - T&amp;M</t>
  </si>
  <si>
    <t>Tera</t>
  </si>
  <si>
    <t>Aviral Gunjal</t>
  </si>
  <si>
    <t>Translation Application
RCA with Gen AI</t>
  </si>
  <si>
    <t>Translation Application</t>
  </si>
  <si>
    <t>Khushboo Vyas</t>
  </si>
  <si>
    <t>Adani Ahemdabad T&amp;M
Keka Dashboard - Internal</t>
  </si>
  <si>
    <t>Keka Dashboard - Internal - NB
will be aligned in Adani Ahemdabad from next week</t>
  </si>
  <si>
    <t>Raghunath Puranik</t>
  </si>
  <si>
    <t>Tanmay Dhamdhere</t>
  </si>
  <si>
    <t>Sana Fazlani</t>
  </si>
  <si>
    <t>Aarav Sharma</t>
  </si>
  <si>
    <t>Aditi Mehta</t>
  </si>
  <si>
    <t>Talent Pool - India - NB First full week on Leave</t>
  </si>
  <si>
    <t>Rohan Kapoor</t>
  </si>
  <si>
    <t>AIXponent - Internal
Qlik QAP
Data Coach - Fixed</t>
  </si>
  <si>
    <t xml:space="preserve">AIXponent - Internal - NB
Qlik QAP - B
Data Coach - B </t>
  </si>
  <si>
    <t>Neha Verma</t>
  </si>
  <si>
    <t>Kunal Malhotra</t>
  </si>
  <si>
    <t>Priya Nair</t>
  </si>
  <si>
    <t>Vikram Singh</t>
  </si>
  <si>
    <t>Ananya Iyer</t>
  </si>
  <si>
    <t>EY-Adani Ahmedabad - GCP Big query to Azure Data bricks migration - T&amp;M</t>
  </si>
  <si>
    <t>EY-Adani Ahmedabad - GCP Big query to Azure Data bricks migration</t>
  </si>
  <si>
    <t>Siddharth Gupta</t>
  </si>
  <si>
    <t>Pooja Chawla</t>
  </si>
  <si>
    <t>Bench/POC</t>
  </si>
  <si>
    <t>Rahul Khanna</t>
  </si>
  <si>
    <t>Sneha Patil</t>
  </si>
  <si>
    <t>Afcons Qlik SaaS Migration
Talent Pool - India
Databricks Center of Excellence (CoE) - Internal</t>
  </si>
  <si>
    <t>Afcons Qlik SaaS Migration - B
Talent Pool - India - NB
Databricks Center of Excellence (CoE) - Internal - NB</t>
  </si>
  <si>
    <t>Amit Bansal</t>
  </si>
  <si>
    <t>Kavita Joshi</t>
  </si>
  <si>
    <t>Arjun Rao</t>
  </si>
  <si>
    <t>Meenal Kulkarni</t>
  </si>
  <si>
    <t>Nikhil Saxena</t>
  </si>
  <si>
    <t>Financial Services - T&amp;M - B First full week on Leave</t>
  </si>
  <si>
    <t>Ritu Agarwal</t>
  </si>
  <si>
    <t>Manish Tandon</t>
  </si>
  <si>
    <t>Talent Pool - India
IIFL Risk Dashboard Development on Qlik Sense - Fixed</t>
  </si>
  <si>
    <t>IIFL Risk Dashboard Development on Qlik Sense - Fixed</t>
  </si>
  <si>
    <t>IIFL</t>
  </si>
  <si>
    <t>Shalini Ghosh</t>
  </si>
  <si>
    <t>Aditya Kulkarni</t>
  </si>
  <si>
    <t>Talent Pool - India - NB
IIFL Risk Dashboard Development on Qlik Sense - Fixed - B</t>
  </si>
  <si>
    <t>Swati Deshpande</t>
  </si>
  <si>
    <t>Varun Oberoi</t>
  </si>
  <si>
    <t>Ishita Banerjee</t>
  </si>
  <si>
    <t>Talent Pool - India
Data Foundation for Databricks PoC - T&amp;M</t>
  </si>
  <si>
    <t>Talent Pool - India - NB
Data Foundation for Databricks PoC - T&amp;M - B</t>
  </si>
  <si>
    <t>Saurabh Jain</t>
  </si>
  <si>
    <t>TATA AIG AIX</t>
  </si>
  <si>
    <t>Tanvi Mahajan</t>
  </si>
  <si>
    <t xml:space="preserve">AIXponent - Internal - NB </t>
  </si>
  <si>
    <t>Deepak Mishra</t>
  </si>
  <si>
    <t>Nandita Roy</t>
  </si>
  <si>
    <t>Data Lake &amp; Marts Automation - Fixed</t>
  </si>
  <si>
    <t>Data Lake &amp; Marts Automation</t>
  </si>
  <si>
    <t>Mohit Arora</t>
  </si>
  <si>
    <t>Adani PORT - T&amp;M
Adani Logistics
Talent Pool - India
Novel Jewels Opp ( Power BI + SQL ) - T&amp;M
PayPal - T&amp;M</t>
  </si>
  <si>
    <t>Adani Logistics - B
Novel Jewels Opp ( Power BI + SQL ) - T&amp;M - NB
Talent Pool - NB
Adani Logistics - NB
PayPal  T&amp;M - NB</t>
  </si>
  <si>
    <t>Ayesha Khan</t>
  </si>
  <si>
    <t>Ritesh Pandey</t>
  </si>
  <si>
    <t>Pallavi Sawant</t>
  </si>
  <si>
    <t>Qlik &amp; Talend Center of Excellence - Internal - NB -  (Timesheet not filled )</t>
  </si>
  <si>
    <t>Ankit Srivastava</t>
  </si>
  <si>
    <t>COE - Microsoft - Fabric/Power BI - NB - (Timesheet not filled )</t>
  </si>
  <si>
    <t>Preeti Malhotra</t>
  </si>
  <si>
    <t>COE - AWS</t>
  </si>
  <si>
    <t>COE - AWS - NB - (Timesheet not filled )</t>
  </si>
  <si>
    <t>UK Delivery Manager</t>
  </si>
  <si>
    <t>Sandeep Shetty</t>
  </si>
  <si>
    <t>Komal Shah</t>
  </si>
  <si>
    <t>Databricks Center of Excellence (CoE) - Internal
Enterprise Analytics DW – T&amp;M</t>
  </si>
  <si>
    <t>Enterprise Analytics DW – T&amp;M</t>
  </si>
  <si>
    <t>Enterprise Analytics DW</t>
  </si>
  <si>
    <t>Harsh Vardhan</t>
  </si>
  <si>
    <t>Qlik &amp; Talend Center of Excellence - Internal - NB</t>
  </si>
  <si>
    <t>Neelam Reddy</t>
  </si>
  <si>
    <t>Abhishek Tripathi</t>
  </si>
  <si>
    <t>SBI - Qlik Dashboard and Contest Management - Fixed / T&amp;M</t>
  </si>
  <si>
    <t>SBI</t>
  </si>
  <si>
    <t>Sonali Mukherjee</t>
  </si>
  <si>
    <t>Gaurav Sinha</t>
  </si>
  <si>
    <t>Shruti Naik</t>
  </si>
  <si>
    <t>Prashant Kulkarni</t>
  </si>
  <si>
    <t>Talent Pool - India - NB ( Learning phase and doing practicals soon to be assigned to POC )</t>
  </si>
  <si>
    <t>Alka Menon</t>
  </si>
  <si>
    <t xml:space="preserve">Endurance Technologies-Dashboard Performance Optimization &amp; Overall Performance Improvement  -B (50 % Billable in Project )
Talent Pool - NB </t>
  </si>
  <si>
    <t xml:space="preserve">Endurance Technologies-Dashboard Performance Optimization &amp; Overall Performance Improvement </t>
  </si>
  <si>
    <t>Ravi Prakash</t>
  </si>
  <si>
    <t>Madhuri Patekar</t>
  </si>
  <si>
    <t>Titan Finance</t>
  </si>
  <si>
    <t>Shubham Lodha</t>
  </si>
  <si>
    <t>IIB Reporting- Resource</t>
  </si>
  <si>
    <t>Rekha Pillai</t>
  </si>
  <si>
    <t>AIXponent - Internal - NB Overviewing on backend Pipeline</t>
  </si>
  <si>
    <t>Intern - COE</t>
  </si>
  <si>
    <t>Yashwant Desai</t>
  </si>
  <si>
    <t>HDFC Life -  Replicate Support T&amp;M</t>
  </si>
  <si>
    <t>HDFC Life - Replicate Support</t>
  </si>
  <si>
    <t>Smita Karkare</t>
  </si>
  <si>
    <t>AIXponent - Internal -NB ( Machine Mesh Poc )</t>
  </si>
  <si>
    <t>Aakash Choudhary</t>
  </si>
  <si>
    <t>AIXponent - Internal -NB ( Aixponent Backend )</t>
  </si>
  <si>
    <t>Bhavana Kulkarni</t>
  </si>
  <si>
    <t>Naveen Iqbal</t>
  </si>
  <si>
    <t>Talent Pool - India
EY-Adani Ahmedabad - GCP Big query to Azure Data bricks migration - T&amp;M</t>
  </si>
  <si>
    <t>Talent Pool - India - NB
EY-Adani Ahmedabad - GCP Big query to Azure Data bricks migration - T&amp;M - B</t>
  </si>
  <si>
    <t>Anjali Sood</t>
  </si>
  <si>
    <t>AIXponent - Internal -NB ( Video processing Task for AIXponent )</t>
  </si>
  <si>
    <t>Chetan Joshi</t>
  </si>
  <si>
    <t>AIXponent - Internal -NB ( Video processing task for AiXponent  )</t>
  </si>
  <si>
    <t>Farah Ali</t>
  </si>
  <si>
    <t>AIXponent - Internal -NB ( Digital Assistant )</t>
  </si>
  <si>
    <t>AIXponent Core Team - UK</t>
  </si>
  <si>
    <t>Devendra Pawar</t>
  </si>
  <si>
    <t>Databricks + Power BI Resource</t>
  </si>
  <si>
    <t>Pankaj Raut</t>
  </si>
  <si>
    <t>Rashmi Kulkarni</t>
  </si>
  <si>
    <t>Talent Pool - India
T&amp;M Requirement-Adani-Data Engineer(EY) - T&amp;M</t>
  </si>
  <si>
    <t>Sanjay Malviya</t>
  </si>
  <si>
    <t>Talent Pool - India - NB ( Creating Master Risk KPIs list based on the IIFL Risk Dashboard project. )</t>
  </si>
  <si>
    <t>Kritika Bhattacharya</t>
  </si>
  <si>
    <t>AIXponent - Internal
POC</t>
  </si>
  <si>
    <t>POC - NB Aptar POC</t>
  </si>
  <si>
    <t>Udayan Bose</t>
  </si>
  <si>
    <t>Talent Pool - India -NB ( Doing self learning and exploring online documentations )</t>
  </si>
  <si>
    <t>Sheetal More</t>
  </si>
  <si>
    <t>Rachit Verma</t>
  </si>
  <si>
    <t>HDFC Life Data Lab - T&amp;M - NB
Billable after hitesh is offboarded</t>
  </si>
  <si>
    <t>Ira Malhotra</t>
  </si>
  <si>
    <t>Talent Pool - India -NB ( Data Model task assigned by Syed )</t>
  </si>
  <si>
    <t>Keshav Bhat</t>
  </si>
  <si>
    <t>Talent Pool - India -NB ( Data Quality Summary Dashboard task assigend by Syed )</t>
  </si>
  <si>
    <t>Namrata Kulkarni</t>
  </si>
  <si>
    <t>Talent Pool - India -NB (Lang chain  ,Lang graph , Apis of claude gemini gpt models pipelines )</t>
  </si>
  <si>
    <t>Rohit Salgaonkar</t>
  </si>
  <si>
    <t>Talent Pool - India -NB ( Data quality Profiling task assigned by Syed )</t>
  </si>
  <si>
    <t>Tasneem Merchant</t>
  </si>
  <si>
    <t>Talent Pool - India -NB ( Data Quality Custom check task assigned by Syed )</t>
  </si>
  <si>
    <t>Employee Name</t>
  </si>
  <si>
    <t>Role</t>
  </si>
  <si>
    <t>COE</t>
  </si>
  <si>
    <t>Department</t>
  </si>
  <si>
    <t>Admin</t>
  </si>
  <si>
    <t xml:space="preserve">Qlik </t>
  </si>
  <si>
    <t>ASS Tech Lead</t>
  </si>
  <si>
    <t>Sol Architect</t>
  </si>
  <si>
    <t>Architect</t>
  </si>
  <si>
    <t>COE Head</t>
  </si>
  <si>
    <t>COE Lead Gen AI</t>
  </si>
  <si>
    <t>Sr Software Developer</t>
  </si>
  <si>
    <t>AIX Core Team</t>
  </si>
  <si>
    <t>Software Engineer</t>
  </si>
  <si>
    <t>Platform &amp; Devops Engineer</t>
  </si>
  <si>
    <t>Business Analyst</t>
  </si>
  <si>
    <t>Employee Code</t>
  </si>
  <si>
    <t>Overall Exp</t>
  </si>
  <si>
    <t>Core Skill</t>
  </si>
  <si>
    <t>Technology</t>
  </si>
  <si>
    <t>Status</t>
  </si>
  <si>
    <t>LWD Month</t>
  </si>
  <si>
    <t>Location</t>
  </si>
  <si>
    <t>PP</t>
  </si>
  <si>
    <t> </t>
  </si>
  <si>
    <t>Data Scientist</t>
  </si>
  <si>
    <t>May</t>
  </si>
  <si>
    <t>Senior Data Engineer</t>
  </si>
  <si>
    <t>Consultant</t>
  </si>
  <si>
    <t>Data Engineer</t>
  </si>
  <si>
    <t>Solution Architect</t>
  </si>
  <si>
    <t>Project Manager</t>
  </si>
  <si>
    <t>Associate Business Intelligence Engineer</t>
  </si>
  <si>
    <t>June</t>
  </si>
  <si>
    <t>Consultant - Manufacturing</t>
  </si>
  <si>
    <t>Jun</t>
  </si>
  <si>
    <t>Engineer - BI</t>
  </si>
  <si>
    <t>Senior Machine Learning Engineer</t>
  </si>
  <si>
    <t>Machine Learning Engineer</t>
  </si>
  <si>
    <t>Project lead</t>
  </si>
  <si>
    <t>Customer Success Management</t>
  </si>
  <si>
    <t>Talent Partner</t>
  </si>
  <si>
    <t>Head of Growth Initiative</t>
  </si>
  <si>
    <t>Qlik</t>
  </si>
  <si>
    <t>QlikView, Qlik, NPrinting, Business Intelligence, QMC, Data Visualization</t>
  </si>
  <si>
    <t>Analyst</t>
  </si>
  <si>
    <t>Data Science</t>
  </si>
  <si>
    <t>Machine learning, Python, DS, GenAI</t>
  </si>
  <si>
    <t>Jul</t>
  </si>
  <si>
    <t>QlikView, QlikSense, Tableau, NPrinting, and SQL</t>
  </si>
  <si>
    <t>Power BI</t>
  </si>
  <si>
    <t>Power BI, SQL</t>
  </si>
  <si>
    <t>Analyst - Sales Enablement</t>
  </si>
  <si>
    <t>Executive-TA</t>
  </si>
  <si>
    <t>Manager-TA</t>
  </si>
  <si>
    <t>July</t>
  </si>
  <si>
    <t>Associate Business Analyst</t>
  </si>
  <si>
    <t>Jack Reynolds</t>
  </si>
  <si>
    <t>Senior Data Scientist</t>
  </si>
  <si>
    <t>Relieved</t>
  </si>
  <si>
    <t>Emma Stonefield</t>
  </si>
  <si>
    <t>UX Full Stack Developer</t>
  </si>
  <si>
    <t>Ryan Blackwood</t>
  </si>
  <si>
    <t>Senior Lead Software Engineer</t>
  </si>
  <si>
    <t>Aug</t>
  </si>
  <si>
    <t>Olivia Hart</t>
  </si>
  <si>
    <t>Mason Cole</t>
  </si>
  <si>
    <t>Power Bi, SQL</t>
  </si>
  <si>
    <t>Scarlett Wilder</t>
  </si>
  <si>
    <t>PLSQL</t>
  </si>
  <si>
    <t>Noah Bennett</t>
  </si>
  <si>
    <t>Account Director</t>
  </si>
  <si>
    <t>Lily Anderson</t>
  </si>
  <si>
    <t>Ethan Brooks</t>
  </si>
  <si>
    <t>Senior Architect-Business Intelligence</t>
  </si>
  <si>
    <t>Ava Monroe</t>
  </si>
  <si>
    <t>ML, Python</t>
  </si>
  <si>
    <t>Lucas Grant</t>
  </si>
  <si>
    <t>Sophia Lane</t>
  </si>
  <si>
    <t>Daniel Cross</t>
  </si>
  <si>
    <t>Chloe Parker</t>
  </si>
  <si>
    <t>Business Analysis , BI tools understanding , OLTP &amp; OLAP processing understanding ,SQL</t>
  </si>
  <si>
    <t>Aaron Knight</t>
  </si>
  <si>
    <t>Machine learning, DL and NLP</t>
  </si>
  <si>
    <t>Natalie Rivers</t>
  </si>
  <si>
    <t>Software Developer</t>
  </si>
  <si>
    <t>Julian Fox</t>
  </si>
  <si>
    <t>Lead Business Intelligence Engineer</t>
  </si>
  <si>
    <t>Grace Mitchell</t>
  </si>
  <si>
    <t>Business Development Representative</t>
  </si>
  <si>
    <t>Logan Pierce</t>
  </si>
  <si>
    <t>Python</t>
  </si>
  <si>
    <t>Ruby Collins</t>
  </si>
  <si>
    <t>Caleb Morgan</t>
  </si>
  <si>
    <t>Hannah Scott</t>
  </si>
  <si>
    <t>Tyler West</t>
  </si>
  <si>
    <t>Zoey Adams</t>
  </si>
  <si>
    <t>Associate Lead-Business Intelligence</t>
  </si>
  <si>
    <t>Brandon Steele</t>
  </si>
  <si>
    <t>Lead-Data Engineering</t>
  </si>
  <si>
    <t>Sep</t>
  </si>
  <si>
    <t>Madison Clark</t>
  </si>
  <si>
    <t>Owen Fisher</t>
  </si>
  <si>
    <t>Ella Roberts</t>
  </si>
  <si>
    <t>BA</t>
  </si>
  <si>
    <t>Zachary King</t>
  </si>
  <si>
    <t>Solution Architect – AI/ML</t>
  </si>
  <si>
    <t>Paige Turner</t>
  </si>
  <si>
    <t>Nathan Coleman</t>
  </si>
  <si>
    <t>Customer Success Manager</t>
  </si>
  <si>
    <t>Isla Bennett</t>
  </si>
  <si>
    <t>Python, ML</t>
  </si>
  <si>
    <t>Jason Ford</t>
  </si>
  <si>
    <t>Qliksense</t>
  </si>
  <si>
    <t>Nov</t>
  </si>
  <si>
    <t>Penelope Rose</t>
  </si>
  <si>
    <t>Andrew Miller</t>
  </si>
  <si>
    <t>Victoria Hayes</t>
  </si>
  <si>
    <t>Senior Business Intelligence Engineer</t>
  </si>
  <si>
    <t>Kevin Brooks</t>
  </si>
  <si>
    <t>Qliksense   </t>
  </si>
  <si>
    <t>Summer Reed</t>
  </si>
  <si>
    <t>Associate Software Engineer</t>
  </si>
  <si>
    <t>Dylan Carter</t>
  </si>
  <si>
    <t>Brooke Simmons</t>
  </si>
  <si>
    <t>Gen-AI Engineer</t>
  </si>
  <si>
    <t>Christopher Lane</t>
  </si>
  <si>
    <t>Stella Morgan</t>
  </si>
  <si>
    <t>Senior Platform &amp; DevOps Engineer</t>
  </si>
  <si>
    <t>Aws, lambda, Python, Docker, CI/CD Pipeline</t>
  </si>
  <si>
    <t>Mark Sullivan</t>
  </si>
  <si>
    <t>Pre-sales</t>
  </si>
  <si>
    <t>Naomi Price</t>
  </si>
  <si>
    <t>Engineer-Business Intelligence</t>
  </si>
  <si>
    <t>Trevor Hill</t>
  </si>
  <si>
    <t>Machine Learning- Intern</t>
  </si>
  <si>
    <t>Audrey Blake</t>
  </si>
  <si>
    <t>Architect-Data Engineering</t>
  </si>
  <si>
    <t xml:space="preserve"> </t>
  </si>
  <si>
    <t>Paul Henderson</t>
  </si>
  <si>
    <t>Ivy Thompson</t>
  </si>
  <si>
    <t>Gen-AI Tester</t>
  </si>
  <si>
    <t>Oct</t>
  </si>
  <si>
    <t>Scott Walker</t>
  </si>
  <si>
    <t>Python,SQL, PySpark, Databricks, AWS</t>
  </si>
  <si>
    <t>Vanessa Cruz</t>
  </si>
  <si>
    <t>Business Intelligence Engineer</t>
  </si>
  <si>
    <t>Jordan Miles</t>
  </si>
  <si>
    <t>Kimberly Shaw</t>
  </si>
  <si>
    <t>Eric Lawson</t>
  </si>
  <si>
    <t>Bianca Torres</t>
  </si>
  <si>
    <t>Adam Turner</t>
  </si>
  <si>
    <t>KOLHAPUR</t>
  </si>
  <si>
    <t>Lila Foster</t>
  </si>
  <si>
    <t>Patrick Nolan</t>
  </si>
  <si>
    <t>Omerga</t>
  </si>
  <si>
    <t>Daisy Wright</t>
  </si>
  <si>
    <t>Sean Matthews</t>
  </si>
  <si>
    <t>Delivery Head</t>
  </si>
  <si>
    <t>Haryana</t>
  </si>
  <si>
    <t>Nora Phillips</t>
  </si>
  <si>
    <t>Head Managed Services</t>
  </si>
  <si>
    <t>Benjamin Scott</t>
  </si>
  <si>
    <t>Associate Lead-Data Engineering</t>
  </si>
  <si>
    <t>Mira road, Mumbai</t>
  </si>
  <si>
    <t>April Johnson</t>
  </si>
  <si>
    <t>Databricks</t>
  </si>
  <si>
    <t>Lucknow</t>
  </si>
  <si>
    <t>Colin Edwards</t>
  </si>
  <si>
    <t>Pune</t>
  </si>
  <si>
    <t>Serena Lopez</t>
  </si>
  <si>
    <t>Matthew Brooks</t>
  </si>
  <si>
    <t>Talia Green</t>
  </si>
  <si>
    <t>Mumbai</t>
  </si>
  <si>
    <t>Victor Ramirez</t>
  </si>
  <si>
    <t>Julia Barnes</t>
  </si>
  <si>
    <t>Ahmedabad</t>
  </si>
  <si>
    <t>Henry Collins</t>
  </si>
  <si>
    <t>Peyton Moore</t>
  </si>
  <si>
    <t>Leo Armstrong</t>
  </si>
  <si>
    <t>Lead Business Analyst</t>
  </si>
  <si>
    <t>Faith Cooper</t>
  </si>
  <si>
    <t>Kolkata </t>
  </si>
  <si>
    <t>Simon Brooks</t>
  </si>
  <si>
    <t xml:space="preserve">Pune </t>
  </si>
  <si>
    <t>Riley Evans</t>
  </si>
  <si>
    <t>Thane</t>
  </si>
  <si>
    <t>Robert Hayes</t>
  </si>
  <si>
    <t>Pool</t>
  </si>
  <si>
    <t>Maya Patel</t>
  </si>
  <si>
    <t>Indore, MP</t>
  </si>
  <si>
    <t>Project</t>
  </si>
  <si>
    <t>Alex Donovan</t>
  </si>
  <si>
    <t>Bengaluru</t>
  </si>
  <si>
    <t xml:space="preserve">  </t>
  </si>
  <si>
    <t>Brooke Alvarez</t>
  </si>
  <si>
    <t>Thomas Reed</t>
  </si>
  <si>
    <t>Keira Lawson</t>
  </si>
  <si>
    <t>Nick Palmer</t>
  </si>
  <si>
    <t>Mumbai </t>
  </si>
  <si>
    <t>Ariana Lewis</t>
  </si>
  <si>
    <t>Samuel Wright</t>
  </si>
  <si>
    <t>vaishali ghaziabad</t>
  </si>
  <si>
    <t>Fiona Grant</t>
  </si>
  <si>
    <t xml:space="preserve">Goregaon </t>
  </si>
  <si>
    <t>Jason Cole</t>
  </si>
  <si>
    <t>Kalyan, Mumbai</t>
  </si>
  <si>
    <t>Marissa Young</t>
  </si>
  <si>
    <t xml:space="preserve">Banglore </t>
  </si>
  <si>
    <t>Will Parker</t>
  </si>
  <si>
    <t>Cassidy Bell</t>
  </si>
  <si>
    <t>Anthony Stone</t>
  </si>
  <si>
    <t>Eden Foster</t>
  </si>
  <si>
    <t>Ahmednagar.</t>
  </si>
  <si>
    <t>Jonathan Pierce</t>
  </si>
  <si>
    <t>Melanie Scott</t>
  </si>
  <si>
    <t>Luke Harrison</t>
  </si>
  <si>
    <t>Anya Volkov</t>
  </si>
  <si>
    <t>Miles Porter</t>
  </si>
  <si>
    <t>Camila Brooks</t>
  </si>
  <si>
    <t>Jake Whitman</t>
  </si>
  <si>
    <t>Sienna Ford</t>
  </si>
  <si>
    <t>Oscar Bennett</t>
  </si>
  <si>
    <t>Holly James</t>
  </si>
  <si>
    <t>Raymond Clark</t>
  </si>
  <si>
    <t>Nina Kapoor</t>
  </si>
  <si>
    <t>Peter Lawson</t>
  </si>
  <si>
    <t>Alina Petrova</t>
  </si>
  <si>
    <t>Cole Everett</t>
  </si>
  <si>
    <t>Brianna Knight</t>
  </si>
  <si>
    <t>Vincent Russo</t>
  </si>
  <si>
    <t>Lana Mitchell</t>
  </si>
  <si>
    <t>Freddie Moore</t>
  </si>
  <si>
    <t>Jasmine Ali</t>
  </si>
  <si>
    <t>Harry Coleman</t>
  </si>
  <si>
    <t>Monica Reyes</t>
  </si>
  <si>
    <t>Theo Sullivan</t>
  </si>
  <si>
    <t>Aria Wilson</t>
  </si>
  <si>
    <t>Max Turner</t>
  </si>
  <si>
    <t>Elena Rodriguez</t>
  </si>
  <si>
    <t>Bobby Flynn</t>
  </si>
  <si>
    <t>Kelsey Hart</t>
  </si>
  <si>
    <t>Ronan Blake</t>
  </si>
  <si>
    <t>Tiffany Moore</t>
  </si>
  <si>
    <t>Emp No.</t>
  </si>
  <si>
    <t>Name</t>
  </si>
  <si>
    <t>Job Title</t>
  </si>
  <si>
    <t>Current Location</t>
  </si>
  <si>
    <t>Domain</t>
  </si>
  <si>
    <t>Skills with Rating</t>
  </si>
  <si>
    <t>Agile Methodology (4), BI (4), NPrinting (4), Qlik Extensions/Mashup (4), Qlik Sense/ SAAS (4), Qliksense/Saas,Qlikview, NPrinting, QMC (4), Qlikview (4), QMC (4), SQL (4), SSRS (3)</t>
  </si>
  <si>
    <t>Lead-Business Intelligence</t>
  </si>
  <si>
    <t>Raigad</t>
  </si>
  <si>
    <t>Data Visualization and Modelling (4), MySQL (3), NPrinting (5), Power BI (3), Qlik Mashup (2), Qlik Sense/ SAAS (4), Qlikview (4), QMC (4), SQL (3)</t>
  </si>
  <si>
    <t>Principal Architect-Business Intelligence</t>
  </si>
  <si>
    <t>Agile Methodology (3), Alerting (2), BI (4), BRD (4), Business Analysis (5), Dashboard Wireframes (4), Data Analysis (4), Data Analysis &amp; Data Visualization (4), Data Architect (4), Data Engineering (4), Data Governance (4), Data Modeling (4), Data Science (4), Data Strategy &amp; Solutioning (4), Data Structures (4), Data Visualization and Modelling (4), Data Warehousing (4), DWH (4), Leadership (4), MySQL (3), NPrinting (4), Oracle (4), PL/SQL (4), PostgreSQL (4), Project Management (4), Qlik (), Qlik Administration (3), Qlik Alerting (2), Qlik Automation (2), Qlik compose (2), Qlik Dev-Hub (3), Qlik Extensions/Mashup (3), Qlik Mashup (3), Qlik Replicate (3), Qlik Reporting (2), Qlik Sense/ SAAS (3), Qliksense/Saas,Qlikview, NPrinting, QMC (5), Qlikview (4), QMC (4), Scrum (3), Solution Design (4), SQL (5), SSAS (3), SSIS (3), SSRS (3), Tableau (2), Talend (3), Team Management (3), Wireframing (3)</t>
  </si>
  <si>
    <t>Kalyan</t>
  </si>
  <si>
    <t>AWS Redshift (3), BI (4), Dashboard Wireframes (4), Power apps (3), Power BI (5), Qliksense/Saas,Qlikview, NPrinting, QMC (4)</t>
  </si>
  <si>
    <t>BI (), Business &amp; Data Analysis (4), Business Analysis (), Data Analysis &amp; Data Visualization (4), Data Modeling (), Data Warehousing (), MySQL (3), PostgreSQL (3), Qlik (3), Qlik Sense/ SAAS (), QMC (), SQL ()</t>
  </si>
  <si>
    <t>Associate Lead - Business Intelligence</t>
  </si>
  <si>
    <t>NPrinting (4), Qlik (4), Qlik Sense/ SAAS (3), QMC (4)</t>
  </si>
  <si>
    <t>Senior Lead-Business Intelligence</t>
  </si>
  <si>
    <t>NPrinting (4), Qlik (4), Qlik Sense/ SAAS (4), Team Management (4)</t>
  </si>
  <si>
    <t>Agile Methodology (4), AWS (2), AWS Glue (2), AWS Redshift (4), AWS S3 (3), Azure DevOps (4), Business Analysis (4), Data Analysis (4), PostgreSQL (4), Power BI (4), Program Management (3), Project Management (4), Qlik Sense/ SAAS (4)</t>
  </si>
  <si>
    <t>CSS (4), HTML (4), Insight Chat Advisor (3), Java (1), Javascript (3), MySQL (3), NPrinting (4), Oracle (3), Python (1), Qlik Mashup (3), Qlik Sense/ SAAS (4), Qlikview (4), QMC (3)</t>
  </si>
  <si>
    <t>NPrinting (4), Qlik Sense/ SAAS (4), QMC (4)</t>
  </si>
  <si>
    <t>Senior Specialist-Business Intelligence</t>
  </si>
  <si>
    <t>Agile Methodology (3), BRD (3), Business Analysis (4), Data Architect (4), Data Engineering (4), Data Modeling (4), Documentation (4), GCP Big Query (5), Leadership (4), MS Fabric (1), NPrinting (4), Oracle (4), PL/SQL (4), PostgreSQL (4), Power BI (3), Project Management (3), Qlik (4), Qlik Administration (4), Qlik Alerting (4), Qlik Dev-Hub (4), Qlik Mashup (4), Qlik Reporting (4), Qlik Sense/ SAAS (4), Qlikview (4), QMC (4), SQL (4)</t>
  </si>
  <si>
    <t>NPrinting (4), Qlik Sense/ SAAS (4), Qlikview (4), QMC (4)</t>
  </si>
  <si>
    <t>Azure Databricks (), Celery (3), Data Analysis (4), Data Engineering (5), Data Warehousing (3), ETL (), Git (5), Numpy (5), OPPs (4), Pandas (5), Power BI (3), PySpark (5), Python (5), Qlik Replicate (4), SQL (4)</t>
  </si>
  <si>
    <t>CoE Lead-GenAI</t>
  </si>
  <si>
    <t>East Godavari</t>
  </si>
  <si>
    <t>Azure Databricks (2), NPrinting (5), Python (3), Qlik Sense/ SAAS (4), QMC (3)</t>
  </si>
  <si>
    <t>Lead- Data Scientist</t>
  </si>
  <si>
    <t>Bangalore</t>
  </si>
  <si>
    <t>AWS (), Azure Databricks (3), Deep Learning (), Generative AI (3), Machine Learning (), NLP (), Python (), R (), Text and Data Mining ()</t>
  </si>
  <si>
    <t>Faridabad</t>
  </si>
  <si>
    <t>Machine learning</t>
  </si>
  <si>
    <t>Agile Methodology (4), AWS (4), AWS Lambda (4), AWS Redshift (4), AWS S3 (4), Azure Databricks (3), Business Analysis (3), Data Analysis (3), Data Engineering (4), DYNAMODB (4), EC2 (3), ETL (3), Git (4), IAM (4), Jira (4), MySQL (3), NoSQL (4), Python (4), R (3), Scrum (4), SNS (4), Solution Design (4), Spark (3), SQS (4), Step Function (4), Team Management (3)</t>
  </si>
  <si>
    <t>Senior Lead-Data Engineering</t>
  </si>
  <si>
    <t>API Development (3), AWS (4), AWS Lambda (4), AWS S3 (4), Data Engineering (5), DYNAMODB (4), Git (4), Jira (4), Lambda (5), MongoDB (4), Numpy (4), Pandas (5), Putty (4), Python (4), S3 (4), SNS (4), SQS (4)</t>
  </si>
  <si>
    <t>Senior Engineer-Business Intelligence</t>
  </si>
  <si>
    <t>Azure Databricks (3), NPrinting (), Qlik Sense/ SAAS (), Qlikview (), QMC (), SQL ()</t>
  </si>
  <si>
    <t>Azure Data factory (5), Azure synapse database analytics (5), Data Modeling (5), Oracle (5), Pentaho (5), PostgreSQL (5), Power BI (5), Qlik compose (3), Qlik Replicate (3), SQL (5), SSAS (5), SSIS (5), SSRS (5)</t>
  </si>
  <si>
    <t>Bhiwandi</t>
  </si>
  <si>
    <t>BRD (5), Business &amp; Data Analysis (5), Business Analysis (5), Data Science (4), Data Strategy &amp; Solutioning (5), Documentation (5), Generative AI (5), Leadership (5), Machine Learning (4), Presales (5), Program Management (5), Project Management (5), PySpark (5), Python (4), Qlik IAC (5), Qlik Replicate (5), Qlik Sense/ SAAS (5), Qliksense/Saas,Qlikview, NPrinting, QMC (5), Solution Design (5), Team Management (5)</t>
  </si>
  <si>
    <t>Amaravati</t>
  </si>
  <si>
    <t>BI (5), Data Analysis (5), Data Modeling (5), Data Visualization and Modelling (5), DAX (4), PBI (5), Power Automate (3), Power BI (4), Power pivot (4), Power query (3), Power Query Editior (3), Tableau (4)</t>
  </si>
  <si>
    <t>Senior Platform Engineer</t>
  </si>
  <si>
    <t>Full Stack Developer</t>
  </si>
  <si>
    <t>AWS (4), AWS Lambda (3), Django (3), FastAPI (4), Flask (4), Node JS (2), PL/SQL (3), PostgreSQL (3), Python (5), RESTful API (5), SQL (3)</t>
  </si>
  <si>
    <t>SQL</t>
  </si>
  <si>
    <t>Athena (3), Python (2), Qlik (3), SQL (4)</t>
  </si>
  <si>
    <t>API Development (4), AWS Glue (4), AWS Lambda (4), AWS Redshift (4), AWS S3 (5), Azure Data factory (4), Azure Databricks (4), Data Engineering (5), Data Science (4), Python (5), Spark (5), SQL (5)</t>
  </si>
  <si>
    <t>GCP Big Query (4), PBI (4), PL/SQL (5), SQL (5)</t>
  </si>
  <si>
    <t>Senior Business Analyst</t>
  </si>
  <si>
    <t>Jhansi</t>
  </si>
  <si>
    <t>Business Analysis (4)</t>
  </si>
  <si>
    <t>Data Visualization and Modelling (4), Documentation (4), HTML (4), MySQL (2), PostgreSQL (4), Qlik (5), Qlik Dev-Hub (4), Qlik Mashup (1), Qliksense/Saas,Qlikview, NPrinting, QMC (5), Qlikview (4), QMC (4)</t>
  </si>
  <si>
    <t>Indore</t>
  </si>
  <si>
    <t>Business Analysis (5), Documentation (5), Program Management (4), Scrum (5)</t>
  </si>
  <si>
    <t>Nellore</t>
  </si>
  <si>
    <t>Data Analysis (3), Data Analysis &amp; Data Visualization (4), Data Modeling (4), Data Visualization and Modelling (4), DAX (4), Documentation (4), GCP Big Query (2), Power apps (3), Power BI (5), Power pivot (4), Power query (4), Power Query Editior (4), SQL (3)</t>
  </si>
  <si>
    <t>Associate Lead-Software Engineering</t>
  </si>
  <si>
    <t>Angular 15 (4), Angular JS (3), API Development (4), Azure (2), Dart - Flutter (3), Express JS (2), FastAPI (2), Flutter (3), Git (3), HTML (4), Javascript (4), MySQL (3), NodeJS (3), Python (2), RESTful API (3), SQL (3), Typescript (4)</t>
  </si>
  <si>
    <t>Associate Lead-Data Science</t>
  </si>
  <si>
    <t>API Development (3), AWS Lambda (3), AWS Redshift (3), AWS S3 (3), Data Analysis &amp; Data Visualization (3), Data Science (3), Machine Learning (3), NLP (3), Prompt Engineering (3), Python (3), Statistical Modelling (3)</t>
  </si>
  <si>
    <t>Akola</t>
  </si>
  <si>
    <t>Data Visualization and Modelling (4), Qlik Sense/ SAAS (4), Qlikview (4), SQL (4)</t>
  </si>
  <si>
    <t>Jharkhand</t>
  </si>
  <si>
    <t>ADF (2), ADLS (4), Agile Methodology (3), API Development (2), AWS (3), AWS Glue (4), AWS Lambda (4), AWS Redshift (4), AWS S3 (4), Azure Cloud (2), Azure Databricks (3), Business Analysis (4), C++ (3), CI/CD pipelines (2), Cloud Solutioning (3), CodeCommit (2), CSS (3), Data Analysis (4), Data Architect (3), Data Engineering (3), Data Modeling (3), Data Science (4), Data Strategy &amp; Solutioning (4), Data Visualization and Modelling (3), Data Warehousing (3), Deep Learning (2), Documentation (5), ETL (3), Flask (2), Git (3), HTML (3), Javascript (3), Leadership (3), Machine Learning (4), MLops (3), NLP (3), PBI (2), PostgreSQL (3), Presales (4), PySpark (3), Python (4), RDS (3), SNS (2), Spark (3), SQL (3), Statistical Modelling (3), Tableau (3), Time Series Analysis (3)</t>
  </si>
  <si>
    <t>ADF (2), ADLS (2), Azure Databricks (2), Data Analysis (3), Data Analysis &amp; Data Visualization (3), Data Engineering (2), Data Modeling (3), Data Visualization and Modelling (3), Data Warehousing (3), DAX (3), DWH (3), ETL (4), MS Fabric (2), MySQL (3), Numpy (3), Oracle (3), Pandas (3), PostgreSQL (3), Power Automate (2), Power BI (3), Power pivot (3), Power query (3), Power Query Editior (3), PySpark (2), SQL (3)</t>
  </si>
  <si>
    <t>Qlik (4)</t>
  </si>
  <si>
    <t>Senior Software Engineer</t>
  </si>
  <si>
    <t>AWS (3), AWS S3 (3), Express JS (3), Git (3), HTML (3), Javascript (3), Jira (4), MongoDB (3), Node JS (4), PostgreSQL (3), React JS (2), SQL (3)</t>
  </si>
  <si>
    <t>CSS (3), Dashboard Wireframes (4), Data Analysis &amp; Data Visualization (4), Data Modeling (4), Data Visualization and Modelling (4), Data Warehousing (3), HTML (3), NPrinting (4), Qlik Dev-Hub (4), Qlik Extensions/Mashup (3), Qlik Reporting (4), Qlik Sense/ SAAS (4), Qlikview (4), QMC (3), SQL (3), Team Management (4)</t>
  </si>
  <si>
    <t>Alerting (3), NPrinting (3), Qlik Sense/ SAAS (1), Qlikview (4), QMC (4)</t>
  </si>
  <si>
    <t>Senior Project Manager</t>
  </si>
  <si>
    <t>Agile Methodology (3), Business Analysis (3), Program Management (), Qliksense/Saas,Qlikview, NPrinting, QMC (2)</t>
  </si>
  <si>
    <t>Lead-Software Engineering</t>
  </si>
  <si>
    <t>Agile Methodology (5), Angular 15 (4), API Development (4), Azure DevOps (3), Azure Storage accounts (3), Azure Web APP (4), CI/CD pipelines (3), Express JS (3), FastAPI (3), Git (4), Javascript (4), Jira (3), Jquery (3), MongoDB (4), MySQL (4), NodeJS (3), PostgreSQL (3), Python (3), RESTful API (5), Typescript (4)</t>
  </si>
  <si>
    <t>NPrinting (), PostgreSQL (2), Power BI (2), Qlik Administration (3), Qlik Dev-Hub (4), Qlik Reporting (4), Qlik Sense/ SAAS (), Qliksense/Saas,Qlikview, NPrinting, QMC (4), Qlikview (), QMC ()</t>
  </si>
  <si>
    <t>Angular JS (4), API Development (4), AWS (3), AWS S3 (3), CSS (4), EC2 (3), Flask (), Git (4), HTML (4), Node JS (4), Oracle (3), PL/SQL (3), PostgreSQL (3), Python (), React JS (), SQL (3), Typescript (4)</t>
  </si>
  <si>
    <t>Agile Methodology (3), AWS (2), Business Analysis (4), Dashboard Wireframes (4), PBI (2), Power BI (2), Program Management (3), S3 (3), Scrum (4), SQL (4), Team Management (4)</t>
  </si>
  <si>
    <t>NPrinting (4), Qlik Sense/ SAAS (4), QMC (3)</t>
  </si>
  <si>
    <t>Power BI (4), SQL (3)</t>
  </si>
  <si>
    <t>HTML (4), Intellicus (3), NPrinting (), Qlik (4), Qlik Dev-Hub (4), Qlik Extensions/Mashup (4), Qlik Mashup (4), Qlik Reporting (4), Qlik Sense/ SAAS (), Qliksense/Saas,Qlikview, NPrinting, QMC (4), Qlikview (), QMC (4), SQL (3)</t>
  </si>
  <si>
    <t>Senior GenAI Engineer</t>
  </si>
  <si>
    <t>ADF (4), ADLS (5), Azure Cloud (3), Azure Databricks (), Azure DevOps (3), Azure Web APP (5), FastAPI (5), Generative AI (3), LLM (), MongoDB (4), Prompt Engineering (), PySpark (), Python (), SQL (4)</t>
  </si>
  <si>
    <t>Python Developer</t>
  </si>
  <si>
    <t>Azure Cloud (4), Azure Containers (4), Azure Databricks (4), CSS (3), Data Engineering (4), HTML (4), Machine Learning (3), MySQL (4), Numpy (4), Pandas (5), PostgreSQL (3), PySpark (4), Python (5), SQL (4), UI UX Development (3)</t>
  </si>
  <si>
    <t>AWS Glue (4), Azure Databricks (4), Django (4), PostgreSQL (4), Python (4), Spark (3)</t>
  </si>
  <si>
    <t>Navi Mumbai</t>
  </si>
  <si>
    <t>Business Analysis (4), CSS (2), HTML (3), Javascript (3), NPrinting (3), Qlik Dev-Hub (4), Qlik Mashup (4), Qlik Sense/ SAAS (4), SQL (2)</t>
  </si>
  <si>
    <t>Lead Data Engineer</t>
  </si>
  <si>
    <t>Athena (4), AWS Glue (4), AWS Lambda (3), AWS S3 (4), Azure Data factory (4), Azure Databricks (4), DYNAMODB (3), ETL (4), Iceberg Framework (4), Pandas (4), PL/SQL (3), PySpark (4), Python (4), Redshift (4), SNS (3), Spark (4), SQL (4), SSIS (4), Step Function (4)</t>
  </si>
  <si>
    <t>AWS (4), AWS Lambda (5), AWS S3 (5), Data Analysis (5), Data Modeling (4), Data Science (4), Data Visualization and Modelling (4), Deep Learning (3), Docker (5), EC2 (5), Machine Learning (4), MLops (4), Numpy (5), Pandas (5), Python (5), Step Function (4)</t>
  </si>
  <si>
    <t>Airflow (3), AWS (3), Azure (4), Azure Databricks (5), Data Engineering (5), Data Science (4), Django (5), Docker (4), Flask (5), Git (5), Linux (4), Pandas (5), Pentaho (5), PostgreSQL (5), PySpark (5), Python (5), RESTful API (5), SQL (5)</t>
  </si>
  <si>
    <t>AWS (2), Azure Containers (4), Azure Data factory (3), Azure Databricks (3), Azure Storage accounts (4), Azure synapse database analytics (3), Data Analysis &amp; Data Visualization (4), Machine Learning (3), Pandas (4), Power BI (3), Python (3), SQL (3), Time Series Analysis (3)</t>
  </si>
  <si>
    <t>API Development (4), Athena (4), AWS (4), AWS Glue (4), AWS Lambda (4), AWS Redshift (4), AWS S3 (4), Azure Data factory (4), Azure DevOps (3), Azure Storage accounts (4), CodeCommit (4), Data Engineering (4), Data Warehousing (4), ETL (4), Flask (4), Git (4), Machine Learning (), NoSQL (4), PostgreSQL (4), PySpark (4), Python (4), SQL (4)</t>
  </si>
  <si>
    <t>Data Engineering (3), Data Modeling (4), Data Visualization and Modelling (4), Insight Chat Advisor (3), NPrinting (4), Power BI (3), PySpark (2), Qlik IAC (3), Qlik Sense/ SAAS (5), SQL (3)</t>
  </si>
  <si>
    <t>ADF (3), Azure (3), Azure Data factory (3), Azure Databricks (3), Data Engineering (3), ETL (3), MySQL (3), PostgreSQL (4), SQL (4)</t>
  </si>
  <si>
    <t>Qlik Admin</t>
  </si>
  <si>
    <t>Alerting (5), AWS (5), AWS S3 (5), Azure (5), Data Governance (5), Documentation (5), Leadership (5), Power BI (5), Presales (5), Project Management (5), Qlik (5), Qlik Administration (5), Qlik Alerting (5), Qlik compose (5), Qlik Dev-Hub (5), Qlik Replicate (5), Qlik Reporting (5), Qlik Sense/ SAAS (5), Qliksense/Saas,Qlikview, NPrinting, QMC (5), QMC (5), Tableau (5), Talend (5), Team Management (5)</t>
  </si>
  <si>
    <t>Angular JS (5), AWS (5), CSS (5), Express JS (5), HTML (5), MongoDB (5), React JS (3), React Native (3), SQL (5)</t>
  </si>
  <si>
    <t>Data Modeling (4), HTML (4), Qlik (5), Qlik Alerting (5), Qlik Automation (5), Qlik Reporting (5), Qlik Sense/ SAAS (5), Qliksense/Saas,Qlikview, NPrinting, QMC (5), Qlikview (4)</t>
  </si>
  <si>
    <t>Azure DevOps (3), PL/SQL (3), Power Automate (3), Power BI (4), Tableau (3)</t>
  </si>
  <si>
    <t>Data Analysis &amp; Data Visualization (4), Data Modeling (4), ETL (4), MySQL (3), Qlik Automation (3), Qlik Sense/ SAAS (4), Qliksense/Saas,Qlikview, NPrinting, QMC (4)</t>
  </si>
  <si>
    <t>API Development (4), Azure Databricks (4), Azure DevOps (4), Azure Web APP (4), Data Engineering (4), Data Science (4), Deep Learning (3), ETL (4), FastAPI (4), Flask (4), Generative AI (4), Langchain (4), LLM (4), Machine Learning (4), MongoDB (4), NLP (4), NoSQL (4), Numpy (4), Pandas (4), PostgreSQL (4), Prompt Engineering (4), PySpark (3), Python (5), RESTful API (4), SQL (4), Text and Data Mining (4)</t>
  </si>
  <si>
    <t>NPrinting (), Power BI (3), Qlik Replicate (4), Qlik Sense/ SAAS (), Qliksense/Saas,Qlikview, NPrinting, QMC (4), Qlikview ()</t>
  </si>
  <si>
    <t>Intellicus (4), Qlik Sense/ SAAS (3), Tableau (4)</t>
  </si>
  <si>
    <t>Data Analysis &amp; Data Visualization (4), MySQL (3), NPrinting (5), Qlik Sense/ SAAS (4), SSIS (3)</t>
  </si>
  <si>
    <t>Bhubaneswar</t>
  </si>
  <si>
    <t>Azure Databricks (3), PL/SQL (4), PySpark (4), Shell Scripting (4), SQL (4)</t>
  </si>
  <si>
    <t>Associate Data Engineer</t>
  </si>
  <si>
    <t>Azure Data factory (3), Azure Databricks (3), Azure Storage accounts (2), Data Analysis (3), Data Engineering (4), ETL (4), Pandas (3), PySpark (2), Python (3), SQL (4)</t>
  </si>
  <si>
    <t>Agile Methodology (4), BI (4), BRD (4), Business Analysis (4), Data Analysis (4), Data Analysis &amp; Data Visualization (4), Data Strategy &amp; Solutioning (3), Data Visualization and Modelling (3), DAX (2), Figma (3), Jira (3), Leadership (3), Power BI (3), Program Management (3), Qlik (4), Qlikview (3), Team Management (4)</t>
  </si>
  <si>
    <t>SQL Developer</t>
  </si>
  <si>
    <t>PL/SQL (4), SQL (3), SSIS (3)</t>
  </si>
  <si>
    <t>Kochi</t>
  </si>
  <si>
    <t>NPrinting (3), Qlik Sense/ SAAS (4), Qlikview (1), QMC (3)</t>
  </si>
  <si>
    <t>Surat</t>
  </si>
  <si>
    <t>Data Analysis (3), Data Modeling (2), Data Visualization and Modelling (3), MySQL (3), NPrinting (4), Oracle (3), Qlik (3), Qlik Administration (2), Qlik Sense/ SAAS (4), Qliksense/Saas,Qlikview, NPrinting, QMC (3), QMC (3)</t>
  </si>
  <si>
    <t>Dhule</t>
  </si>
  <si>
    <t>Data Analysis (5), Data Analysis &amp; Data Visualization (5), Data Modeling (4), DAX (4), Documentation (5), Figma (3), Power apps (2), Power Automate (3), Power BI (5), Power query (4), Power Query Editior (5), SQL (3)</t>
  </si>
  <si>
    <t>Fatehpur</t>
  </si>
  <si>
    <t>CSS (3), Data Architect (3), Data Modeling (4), Data Visualization and Modelling (4), HTML (3), Intellicus (5), Mashups (3), NPrinting (), Power BI (2), Qlik (4), Qlik Alerting (), Qlik Dev-Hub (3), Qlik Extensions/Mashup (3), Qlik Mashup (4), Qlik Reporting (4), Qlik Sense/ SAAS (), Qliksense/Saas,Qlikview, NPrinting, QMC (4), Qlikview (), QMC (4), SQL (3)</t>
  </si>
  <si>
    <t>Data Modeling (3), NPrinting (3), Qlik Automation (4), Qlik Reporting (4), Qlik Sense/ SAAS (3), SQL (3)</t>
  </si>
  <si>
    <t>Nashik</t>
  </si>
  <si>
    <t>Azure Databricks (3), Data Analysis (4), Data Analysis &amp; Data Visualization (4), Data Engineering (5), Data Modeling (5), Data Science (5), Generative AI (3), LLM (4), Machine Learning (5), NLP (4), Pandas (5), Python (5), SQL (3)</t>
  </si>
  <si>
    <t>Business &amp; Data Analysis (4), CSS (3), Data Analysis (4), Data Analysis &amp; Data Visualization (4), Data Architect (4), Data Modeling (4), Data Structures (3), Data Visualization and Modelling (4), ETL (4), HTML (4), Javascript (4), Mashups (4), MySQL (3), NPrinting (3), Oracle (3), Power BI (3), Qlik (4), Qlik Dev-Hub (3), Qlik Extensions/Mashup (4), Qlik Mashup (3), Qlik Sense/ SAAS (3), Qliksense/Saas,Qlikview, NPrinting, QMC (4), QMC (4), SQL (4)</t>
  </si>
  <si>
    <t>Salem</t>
  </si>
  <si>
    <t>AWS (4), Azure (4), Azure Databricks (5), Data Engineering (5), Data Science (5), Deep Learning (5), ETL (5), FastAPI (4), Generative AI (4), LLM (4), Machine Learning (5), MLops (5), MySQL (4), NLP (5), Numpy (5), Pandas (5), Power BI (4), PySpark (5), Python (5), R (3), Redshift (4), RESTful API (5), SQL (5), Statistical Modelling (5), Time Series Analysis (5)</t>
  </si>
  <si>
    <t>AWS</t>
  </si>
  <si>
    <t>Airflow (2), API Development (2), Athena (3), Aurora (3), AWS (), AWS Glue (3), AWS Lambda (4), AWS Redshift (3), AWS S3 (4), Azure Databricks (3), CI/CD pipelines (2), Data Analysis (3), Data Analysis &amp; Data Visualization (2), Data Engineering (3), Data Science (2), Data Structures (2), Deep Learning (1), Docker (3), EC2 (3), ETL (3), Generative AI (2), Git (4), IAM (4), Jira (3), Lambda (4), MongoDB (3), MySQL (4), Nest JS (1), NoSQL (3), Numpy (4), Pandas (4), PostgreSQL (1), Power BI (2), Putty (3), PySpark (3), Python (), S3 (3), Shell Scripting (3), SQL (3), SQS (2), Team Management (3)</t>
  </si>
  <si>
    <t>MS Fabric (2), Power apps (4), Power Automate (3), Power BI (4), SQL (2)</t>
  </si>
  <si>
    <t>Azure Databricks (2), ETL (4), MS Fabric (3), Power BI (4), Python (3), SQL (3)</t>
  </si>
  <si>
    <t>Platform &amp; DevOps Engineer</t>
  </si>
  <si>
    <t>Sangali</t>
  </si>
  <si>
    <t>AWS (), AWS Glue (3), AWS Lambda (3), AWS Redshift (3), AWS S3 (5), CI/CD pipelines (5), CodeCommit (5), Docker (4), Git (5), Linux (5), Shell Scripting (5), Terraform (5)</t>
  </si>
  <si>
    <t>Data Analysis &amp; Data Visualization (5), Data Modeling (5), Data Visualization and Modelling (5), ETL (4), Jira (3), NPrinting (4), Qlik Alerting (4), Qlik Dev-Hub (3), Qlik Mashup (4), Qlik Sense/ SAAS (5), Qlikview (5), QMC (4)</t>
  </si>
  <si>
    <t>Angular JS (4), AWS (4), AWS Glue (3), AWS Lambda (5), Django (4), Docker (5), Express JS (4), Flask (4), Git (5), Javascript (5), Mashups (4), MongoDB (3), MySQL (4), Node JS (4), PostgreSQL (3), PySpark (3), Python (4), Qlik Dev-Hub (4), Qlik Extensions/Mashup (4), Qlik Mashup (4), React JS (4)</t>
  </si>
  <si>
    <t>Jodhpur</t>
  </si>
  <si>
    <t>API Development (4), AWS (4), Capital markets (4), CI/CD pipelines (4), Data Engineering (3), FastAPI (4), Flask (4), Node JS (4), Oracle (3), Pandas (4), PostgreSQL (3), PySpark (3), Python (4), Redis (4), Redshift (3), RESTful API (4), Terraform (4), Time Series Analysis (4)</t>
  </si>
  <si>
    <t>Celery (4), Django (4), Docker (3), DRF (4), FastAPI (4), Flask (4), MongoDB (4), NodeJS (2), PostgreSQL (4), Python (4), SQL (4)</t>
  </si>
  <si>
    <t>ADF (3), ADLS (4), Azure (4), Azure Databricks (4), Azure DevOps (4), ETL (4), MS Fabric (3), PostgreSQL (4), PySpark (4), Python (4), SQL (4)</t>
  </si>
  <si>
    <t>ADLS (4), Agile Methodology (4), Azure (3), Azure Data factory (3), Azure Databricks (4), Azure Storage accounts (4), ETL (4), MySQL (3), Pandas (3), PySpark (4), Python (3), SQL (4)</t>
  </si>
  <si>
    <t>Data Analysis &amp; Data Visualization (4), Data Modeling (4), Data Visualization and Modelling (4), ETL (4), Jira (3), NPrinting (2), Qlik (4), Qlik Alerting (3), Qlik Dev-Hub (3), Qlik Mashup (4), Qlik Sense/ SAAS (4), Qlikview (3), QMC (4)</t>
  </si>
  <si>
    <t>Associate Engineer-Platform &amp; DevOps</t>
  </si>
  <si>
    <t>AWS (4), AWS Lambda (4), AWS Redshift (4), AWS S3 (4), Azure (4), Azure Cloud (4), Azure DevOps (4), Azure Git (4), Azure Web APP (4), Bash Scripting (4), CI/CD pipelines (4), CodeCommit (4), Git (5), Glue (3), IAM (4), Lambda (3), Linux (4), Python (4), S3 (4), Terraform (5)</t>
  </si>
  <si>
    <t>AWS (1), Azure (2), Azure Databricks (3), Bootstrap (3), CSS (3), ETL (3), HTML (3), PySpark (2), Python (4), Qlik (2), Qliksense/Saas,Qlikview, NPrinting, QMC (2), SQL (4), Talend (2)</t>
  </si>
  <si>
    <t>AWS (3), Azure (4), Azure Databricks (4), NoSQL (4), Python (5), Spark (3), SQL (5)</t>
  </si>
  <si>
    <t>Jaipur</t>
  </si>
  <si>
    <t>AWS (3), AWS S3 (4), Azure (4), Azure Databricks (4), Azure Storage accounts (4), DYNAMODB (3), ETL (3), FastAPI (4), Generative AI (3), MongoDB (4), MySQL (5), PySpark (3), Python (4), Spark (4)</t>
  </si>
  <si>
    <t>Business Analysis (5), Data Visualization and Modelling (4), MySQL (3), NPrinting (5), Power BI (3), Qlik Automation (5), Qlik Reporting (5), Qlik Sense/ SAAS (4), Tableau (3)</t>
  </si>
  <si>
    <t>Athena (3), AWS (4), AWS Glue (4), AWS S3 (4), Azure Cloud (4), CodeCommit (4), Docker (3), ETL (4), Lambda (4), PySpark (4), Python (4), R (2), Redshift (4), SQL (4)</t>
  </si>
  <si>
    <t>AWS (), AWS Glue (5), AWS Lambda (4), AWS S3 (), CSS (5), Django (5), ETL (), Flask (5), Git (), Glue (), HTML (5), Javascript (4), MongoDB (4), Numpy (4), Pandas (4), PL/SQL (), PySpark (), Python (5), SNS (), Spark (5), SQL (5), SQS ()</t>
  </si>
  <si>
    <t>API Development (3), AWS (3), AWS Glue (3), Azure Databricks (3), Data Engineering (3), ETL (4), Python (4), SQL (4)</t>
  </si>
  <si>
    <t>Delhi</t>
  </si>
  <si>
    <t>AWS (4), Data Modeling (4), Python (4)</t>
  </si>
  <si>
    <t>Aurangabad</t>
  </si>
  <si>
    <t>Athena (4), AWS (4), AWS Glue (5), AWS Lambda (4), AWS S3 (4), Bash Scripting (4), BI (4), Data Engineering (), Data Warehousing (5), ETL (5), Git (5), MySQL (5), PySpark (5), Python (5), RDS (5), Redshift (5), Shell Scripting (5), SNS (5), Spark (5), SQL (5), Terraform (5)</t>
  </si>
  <si>
    <t>Pali</t>
  </si>
  <si>
    <t>Data Analysis &amp; Data Visualization (4), NPrinting (4), Power BI (2), Qlik Sense/ SAAS (4), Qlikview (4), QMC (4), SQL (3)</t>
  </si>
  <si>
    <t>ADF (4), ADLS (5), AWS (3), AWS Lambda (3), AWS S3 (5), Azure (), Azure Cloud (4), Azure Data factory (5), Azure Databricks (), Azure Storage accounts (4), Azure synapse database analytics (4), BI (4), Data Analysis (4), Data Analysis &amp; Data Visualization (5), Data Architect (3), Data Engineering (5), Data Governance (3), Data Modeling (4), Data Visualization and Modelling (3), Data Warehousing (3), DAX (4), Documentation (4), IAM (3), MongoDB (2), MySQL (3), Pandas (3), PBI (4), Power apps (4), Power Automate (4), Power BI (3), Power pivot (4), Power query (4), PySpark (4), S3 (4), SQL (4), SSIS (4)</t>
  </si>
  <si>
    <t>BI (4), Business &amp; Data Analysis (4), Business Analysis (4), Data Analysis &amp; Data Visualization (5), Data Modeling (4), HTML (3), NPrinting (5), Power BI (2), Qlik (4), Qlik Extensions/Mashup (3), Qlik Sense/ SAAS (4), Qliksense/Saas,Qlikview, NPrinting, QMC (4), SQL (4)</t>
  </si>
  <si>
    <t>Agile Methodology (3), Airflow (3), API Development (4), Athena (5), AWS (4), AWS Glue (5), AWS Lambda (5), AWS Redshift (5), AWS S3 (5), Azure Databricks (3), Bash Scripting (5), Celery (2), CI/CD pipelines (5), Data Architect (4), Data Engineering (5), Data Governance (3), Docker (4), EC2 (4), ETL (4), Flask (4), Lambda (4), Leadership (4), Numpy (3), Pandas (3), S3 (5), Scala (4), Shell Scripting (4), Snowflake (3), Solution Design (4), Spark (5), Step Function (4), Team Management (4), Terraform (5)</t>
  </si>
  <si>
    <t>BRD (3), Business Analysis (3), Capital markets (3), Data Analysis &amp; Data Visualization (3), Power BI (2), Process Automation (3), Program Management (3), Project Management (3)</t>
  </si>
  <si>
    <t>Data Analysis &amp; Data Visualization (5), Data Modeling (5), Data Visualization and Modelling (5), NPrinting (4), PL/SQL (3), PostgreSQL (3), Power BI (3), Qlik Administration (5), Qlik Sense/ SAAS (5), Qlikview (4), SQL (4)</t>
  </si>
  <si>
    <t>BI (5), BRD (5), Business &amp; Data Analysis (5), Business Analysis (5), CSS (2), Data Analysis &amp; Data Visualization (5), Data Engineering (3), Data Modeling (4), Data Strategy &amp; Solutioning (5), ETL (4), Figma (2), HTML (2), Jira (5), MySQL (4), PL/SQL (3), Power BI (4), Process Automation (3), Project Management (4), Python (1), Qlik Administration (4), Qlik Alerting (4), Qlik Dev-Hub (3), Qlik Extensions/Mashup (3), Qliksense/Saas,Qlikview, NPrinting, QMC (4), SQL (4), SSRS (3), Tableau (2), Team Management (4), Wireframing (3)</t>
  </si>
  <si>
    <t>Business &amp; Data Analysis (4), Data Modeling (5), DAX (5), Power BI (5), Power query (5), Power Query Editior (5)</t>
  </si>
  <si>
    <t>PostgreSQL (3), Power BI (2), Qlik (3), SQL (3)</t>
  </si>
  <si>
    <t>ADF (1), ADLS (2), Azure Databricks (3), BI (5), Business &amp; Data Analysis (4), Business Analysis (4), Dashboard Wireframes (4), Data Analysis &amp; Data Visualization (5), Data Architect (3), Data Engineering (3), Data Modeling (4), Data Strategy &amp; Solutioning (4), Data Structures (3), Data Visualization and Modelling (5), DAX (5), ETL (3), GCP Big Query (3), Pandas (4), PBI (5), PostgreSQL (3), Power BI (), Power pivot (5), Power query (5), SQL ()</t>
  </si>
  <si>
    <t>Data Analysis &amp; Data Visualization (4), DAX (4), Informatica (3), Power BI (4), Power Query Editior (4), SQL (4)</t>
  </si>
  <si>
    <t>AWS (3), ETL (4), Numpy (3), Pandas (3), Python (3), Spark (4), SQL (4)</t>
  </si>
  <si>
    <t>Azure Data factory (2), Azure Databricks (2), Data Analysis &amp; Data Visualization (4), Data Modeling (4), PostgreSQL (3), Power BI (3), Qlik (), SQL (4), SSIS (4)</t>
  </si>
  <si>
    <t>Associate Machine Learning Engineer</t>
  </si>
  <si>
    <t>Machine Learning</t>
  </si>
  <si>
    <t>API Development (3), Azure Databricks (3), FastAPI (3), Generative AI (3), Guardrails AI (3), Langchain (3), LLM (3), Python (3)</t>
  </si>
  <si>
    <t>Nagpur</t>
  </si>
  <si>
    <t>PL/SQL (3), Power apps (3), Power BI (4)</t>
  </si>
  <si>
    <t>AWS (3), Azure Data factory (3), Azure Databricks (4), MS Fabric (3), PySpark (4), Python (3), Spark (3), SQL (3)</t>
  </si>
  <si>
    <t>Noida</t>
  </si>
  <si>
    <t>ADO (4), Agile Methodology (4), BRD (4), Business &amp; Data Analysis (3), Business Analysis (5), Data Analysis &amp; Data Visualization (3), Jira (2), Machine Learning (2), Power BI (2), Program Management (3), Project Management (3), Scrum (4), SQL (2), Tableau (2), Team Management (3)</t>
  </si>
  <si>
    <t>Tirupari</t>
  </si>
  <si>
    <t>Data Visualization and Modelling (4), NPrinting (2), Qlik Sense/ SAAS (4)</t>
  </si>
  <si>
    <t>Business Analysis (), Data Analysis (), Data Modeling (), DAX (), Power Automate (), Power BI (), Power pivot (), Power Query Editior (), SQL ()</t>
  </si>
  <si>
    <t>AWS S3 (2), Azure Git (), Data Analysis &amp; Data Visualization (3), Data Science (), Data Visualization and Modelling (2), Deep Learning (3), Docker (2), FastAPI (2), Flask (3), Generative AI (2), Git (3), Glue (1), Jira (3), Langchain (2), LLM (3), Machine Learning (4), MongoDB (2), MySQL (3), NLP (3), Numpy (4), OPPs (3), Pandas (4), PostgreSQL (2), Python (4), SQL (4)</t>
  </si>
  <si>
    <t>Sukhpur</t>
  </si>
  <si>
    <t>Data Modeling (3), Data Visualization and Modelling (4), DAX (3), Power apps (4), Power BI (4), Power query (3)</t>
  </si>
  <si>
    <t>AWS (4), AWS S3 (4), CodeCommit (4), Data Science (4), Deep Learning (4), Git (4), LLM (4), Machine Learning (4), NLP (4), Numpy (4), Pandas (4), Putty (4), Python (4), S3 (4)</t>
  </si>
  <si>
    <t>API Development (4), AWS (4), Azure Databricks (4), BI (3), Data Analysis &amp; Data Visualization (4), ETL (4), FastAPI (4), Generative AI (4), LLM (4), Machine Learning (3), Python (4), SQL (4)</t>
  </si>
  <si>
    <t>Test Engineer</t>
  </si>
  <si>
    <t>Khalapur</t>
  </si>
  <si>
    <t>Oracle (3), Power BI (4), Qlik Sense/ SAAS (3), SQL (3), Tableau (3), Talend (2)</t>
  </si>
  <si>
    <t>ADF (2), Azure Data factory (2), BI (4), Business &amp; Data Analysis (3), Data Analysis (5), Data Analysis &amp; Data Visualization (4), Data Engineering (1), Data Modeling (4), Data Visualization and Modelling (4), Data Warehousing (1), DAX (3), Documentation (4), Git (2), Jira (4), MS Fabric (2), MySQL (2), PBI (4), Power apps (3), Power Automate (3), Power BI (4), Power pivot (4), Power query (4), Power Query Editior (4), PySpark (2), Python (2), Qliksense/Saas,Qlikview, NPrinting, QMC (2)</t>
  </si>
  <si>
    <t>Data Architecture</t>
  </si>
  <si>
    <t>AWS (5), BI (5), Data Architect (5), Data Governance (4), Data Modeling (5), Data Strategy &amp; Solutioning (5), Data Warehousing (5), ETL (4), Power BI (3), Solution Design (4), SQL (5), Tableau (4)</t>
  </si>
  <si>
    <t>Associate Architect-Data Engineering</t>
  </si>
  <si>
    <t>Azure (2), Azure Databricks (3), ETL (2), Power BI (1), PySpark (3), Python (3), Spark (3), SQL (4)</t>
  </si>
  <si>
    <t>AWS (3), Django (3), Flask (3), Flutter (3), Node JS (3), PostgreSQL (3), Python (3), React JS (3)</t>
  </si>
  <si>
    <t>Data Visualization and Modelling (5), NPrinting (5), Power BI (3), Qlik Sense/ SAAS (5), Qlikview (5), QMC (5)</t>
  </si>
  <si>
    <t>ADF (2), Azure Databricks (2), Azure synapse database analytics (2), BI (2), Data Analysis &amp; Data Visualization (3), Data Visualization and Modelling (3), MySQL (3), NPrinting (3), Numpy (2), Pandas (2), Power BI (3), Python (2), Qlik Sense/ SAAS (3), Qliksense/Saas,Qlikview, NPrinting, QMC (3), SQL (3)</t>
  </si>
  <si>
    <t>API Development (2), AWS (3), AWS Redshift (4), Bash Scripting (3), Business &amp; Data Analysis (4), Data Engineering (4), Data Modeling (4), EC2 (5), ETL (4), Glue (3), Informatica (3), Lambda (3), PostgreSQL (5), PySpark (3), Python (3), SQL (5)</t>
  </si>
  <si>
    <t>Angular 15 (4), Angular JS (), AWS (3), Azure (3), CSS (5), Django (4), Express JS (4), FastAPI (3), HTML (5), Javascript (5), MongoDB (), Node JS (), PostgreSQL (3), React JS (4), SQL (3), Typescript (4)</t>
  </si>
  <si>
    <t>Ghaziabad</t>
  </si>
  <si>
    <t>Project manager</t>
  </si>
  <si>
    <t>Agile Methodology (5), Business Analysis (4), Program Management (3), Scrum (5), SQL (3)</t>
  </si>
  <si>
    <t>Senior Manager-PMO</t>
  </si>
  <si>
    <t>AWS (4), Program Management (5), Scrum (5)</t>
  </si>
  <si>
    <t>Vijayawada</t>
  </si>
  <si>
    <t>API Development (4), AWS (3), AWS Glue (3), AWS Lambda (3), AWS Redshift (3), AWS S3 (4), Azure DevOps (4), CodeCommit (4), CSS (4), Documentation (4), DYNAMODB (3), EC2 (4), FastAPI (5), Flask (5), Git (4), HTML (4), IAM (3), Java (3), Javascript (4), Jira (4), Lambda (4), Linux (4), MongoDB (5), MySQL (4), Node JS (4), NoSQL (4), Pandas (4), PostgreSQL (5), Putty (4), Python (5), RDS (4), React JS (2), Redis (4), RESTful API (5), SQL (5), SQS (4), SSIS (3), Typescript (2)</t>
  </si>
  <si>
    <t>Agile Methodology (4), BI (4), Data Analysis &amp; Data Visualization (4), Leadership (5), Program Management (4), Project Management (4), Team Management (5)</t>
  </si>
  <si>
    <t>Gorahpur</t>
  </si>
  <si>
    <t>Talend</t>
  </si>
  <si>
    <t>Agile Methodology (3), CodeCommit (3), Data Warehousing (3), ETL (4), Groovy (), Java (3), PostgreSQL (3), SQL (), Talend ()</t>
  </si>
  <si>
    <t>Data Analysis (3), Data Engineering (), ETL (3), MySQL (3), PostgreSQL (3), SQL (3)</t>
  </si>
  <si>
    <t>West Bengal</t>
  </si>
  <si>
    <t>API Development (4), AWS (5), AWS Glue (3), AWS Lambda (4), Azure DevOps (4), Celery (4), CI/CD pipelines (4), CodeCommit (5), Data Structures (4), Django (5), Docker (4), DRF (5), EC2 (5), ETL (3), FastAPI (4), Flask (4), Git (5), HTML (3), Linux (5), MySQL (4), NoSQL (3), Numpy (3), Pandas (3), PostgreSQL (5), Python (5), RDS (5), Redis (4), RESTful API (5), S3 (4), SNS (5), SQL (5), SQS (4), Terraform (3)</t>
  </si>
  <si>
    <t>Idukki</t>
  </si>
  <si>
    <t>Power BI (3)</t>
  </si>
  <si>
    <t>Adobe Suite (4), Adobe XD (5), Agile Methodology (3), AWS S3 (3), Bootstrap (4), Corel Draw (5), CSS (3), Dashboard Wireframes (5), Figma (5), HTML (4), Jira (4), Leadership (3), MS Visio (3), PBI (2), Power BI (2), Prototyping (5), Solution Design (4), UI UX Development (5), Wireframing (5), Wordpress Development (5)</t>
  </si>
  <si>
    <t>AWS (3), AWS Glue (4), AWS Redshift (3), Azure DevOps (3), CodeCommit (3), Data Modeling (3), Data Warehousing (3), ETL (4), Git (3), IAM (3), Lambda (4), Python (4), S3 (4), SQL (4)</t>
  </si>
  <si>
    <t>Agile Methodology (3), BRD (4), Business &amp; Data Analysis (4), Business Analysis (4), Dashboard Wireframes (4), Data Strategy &amp; Solutioning (2), Presales (3), Project Management (4), Wireframing (4)</t>
  </si>
  <si>
    <t>API Development (4), AWS (3), Azure (3), Azure Cloud (3), Azure Databricks (2), Django (4), Flask (4), Git (4), HTML (2), Jira (4), Linux (3), MySQL (3), OPPs (4), PostgreSQL (3), Putty (4), Python (4), RESTful API (4), Scrum (4), SQL (3), Terraform (4)</t>
  </si>
  <si>
    <t>Senior-Business Analyst</t>
  </si>
  <si>
    <t>Agile Methodology (5), AWS (3), BRD (5), Business &amp; Data Analysis (5), Business Analysis (5), Data Analysis &amp; Data Visualization (5), Data Visualization and Modelling (4), Documentation (5), Jira (5), Leadership (5), Power BI (4), Project Management (5), Qlik Mashup (5), Scrum (5), SQL (3), Tableau (5), Wireframing (5)</t>
  </si>
  <si>
    <t>AWS (3), Azure Databricks (4), PySpark (4), Python (4), SQL (4)</t>
  </si>
  <si>
    <t>Azure Data factory (3), DWH (4), PL/SQL (3), Power BI (3), Power pivot (2), Power query (3), Power Query Editior (3), Python (2), SQL (4), SSAS (3), SSIS (4), SSRS (3)</t>
  </si>
  <si>
    <t>API Development (3), Azure Databricks (2), Django (3), FastAPI (3), Flask (), Generative AI (3), Git (4), NoSQL (3), PostgreSQL (), Python ()</t>
  </si>
  <si>
    <t>AWS (), AWS S3 (4), Data Engineering (4), Data Modeling (5), MySQL (5), Pandas (4), PostgreSQL (3), PySpark (3), Python (4), SQL (), Talend ()</t>
  </si>
  <si>
    <t>Airflow (3), Alerting (4), API Development (5), Athena (3), AWS (4), AWS Lambda (4), AWS Redshift (3), AWS S3 (4), Azure (3), Bash Scripting (4), CI/CD pipelines (5), Cloud Solutioning (5), Data Modeling (4), Data Structures (5), Django (4), Docker (5), EC2 (5), ETL (4), Express JS (4), FastAPI (4), Flask (4), GCP Big Query (4), Git (5), HTML (5), IAM (5), Java (4), Jquery (4), Lambda (4), Langchain (2), Linux (4), LLM (4), Next (4), NLP (3), Node JS (4), NodeJS (5), NoSQL (4), Process Automation (4), Prompt Engineering (4), PySpark (4), Python (4), RDS (4), React JS (4), React Native (3), Redis (4), Redshift (3), RESTful API (5), S3 (5), SNS (4), SQL (4), Terraform (4)</t>
  </si>
  <si>
    <t>Azure Databricks (4), Azure Storage accounts (3), Data Engineering (3), Pentaho (2), PySpark (3), Python (3), SQL (4)</t>
  </si>
  <si>
    <t>ETL Developer</t>
  </si>
  <si>
    <t>ETL (5), Informatica (5), SQL (4), SSIS (3), Terradata (4)</t>
  </si>
  <si>
    <t>Power BI (4), Qlik Sense/ SAAS (3), Qlikview (3)</t>
  </si>
  <si>
    <t>ADF (5), Azure Databricks (4), ETL (5), Pentaho (4), SQL (4), Talend (4)</t>
  </si>
  <si>
    <t>BRD (4), Data Analysis &amp; Data Visualization (3), MS Visio (3)</t>
  </si>
  <si>
    <t>Agile Methodology (4), AWS (2), Azure (2), Azure Cloud (1), Azure DevOps (4), BRD (5), Business &amp; Data Analysis (4), Business Analysis (5), Capital markets (2), CodeCommit (3), Dashboard Wireframes (5), Data Analysis (4), Data Analysis &amp; Data Visualization (4), Data Engineering (3), Data Science (1), Data Visualization and Modelling (3), Documentation (4), Jira (4), Leadership (4), MS Fabric (3), MS Visio (4), MySQL (3), Power BI (3), Program Management (4), Project Management (4), Prototyping (5), Qlik (2), Scrum (4), Team Management (4), UI UX Development (3), Wireframing (5)</t>
  </si>
  <si>
    <t>MongoDB (4), Node JS (4), Python (3), Redis (3)</t>
  </si>
  <si>
    <t>Virudhunagar</t>
  </si>
  <si>
    <t>Angular 15 (5), Bootstrap (4), CSS (4), EC2 (4), Flutter (5), HTML (4), Javascript (4), Jquery (4), MySQL (4), Node JS (3), Python (3), React JS (3), Typescript (4)</t>
  </si>
  <si>
    <t>AWS (4), Azure Databricks (4), Data Engineering (4), Data Governance (4), ETL (4), Linux (5), Numpy (2), Python (3), Qlik (3), Qlik Administration (4), QMC (3), SQL (4), Talend (4), Team Management (4)</t>
  </si>
  <si>
    <t>Airflow (3), Azure Cloud (3), Azure Data factory (3), Azure Databricks (3), Azure Git (3), Azure Storage accounts (3), Azure synapse database analytics (3), Data Engineering (3), GCP Big Query (3), Git (3), PySpark (3), Python (3), SQL (3), SSIS (3), Tableau (3)</t>
  </si>
  <si>
    <t>Ahmednagar</t>
  </si>
  <si>
    <t>ADF (3), ADLS (4), Azure (3), Azure Cloud (3), Azure Containers (3), Azure Data factory (4), Azure Databricks (2), Azure DevOps (3), Azure Git (5), Azure Storage accounts (3), Data Analysis (5), Data Engineering (5), Data Strategy &amp; Solutioning (5), Data Warehousing (4), EC2 (4), ETL (3), HQL (3), Jira (5), Leadership (3), Linux (2), MySQL (5), NoSQL (3), Oracle (3), Pentaho (2), PL/SQL (3), PostgreSQL (5), Project Management (4), Putty (2), PySpark (5), Python (3), Scala (2), Shell Scripting (2), Spark (5), SQL (5), Team Management (5)</t>
  </si>
  <si>
    <t>ADF (4), Agile Methodology (), AWS (), AWS Lambda (), AWS Redshift (), AWS S3 (4), Azure (3), BI (), Business &amp; Data Analysis (), Business Analysis (), Data Analysis (), Data Analysis &amp; Data Visualization (), Data Architect (), Data Governance (4), Data Modeling (), Data Science (), Data Strategy &amp; Solutioning (5), Data Visualization and Modelling (5), NPrinting (4), Numpy (5), Power BI (), Qlik (), Qlik Reporting (5), Qlik Sense/ SAAS (), Qliksense/Saas,Qlikview, NPrinting, QMC (), Scrum (4), Snowflake (), SQL (), Statistical Modelling (4), Tableau ()</t>
  </si>
  <si>
    <t>Ghaziyabad</t>
  </si>
  <si>
    <t>NPrinting (4), Qlik Sense/ SAAS (4), Qlikview (3), QMC (3)</t>
  </si>
  <si>
    <t>BRD (5), Business &amp; Data Analysis (5), Business Analysis (5), Data Analysis &amp; Data Visualization (5), Documentation (5), HTML (4), Jira (5), Leadership (5), MySQL (4), Power BI (4), Process Automation (5), Scrum (5), SQL (4), Tableau (5), Team Management (4)</t>
  </si>
  <si>
    <t>Associate Test Lead</t>
  </si>
  <si>
    <t>Tester</t>
  </si>
  <si>
    <t>Agile Methodology (4), AWS (3), BRD (4), Data Warehousing (5), Documentation (4), DWH (5), ETL (5), Informatica (5), MongoDB (5), MySQL (4), NoSQL (4), PostgreSQL (3), Project Management (4), Putty (4), Qlik (3), Scrum (4), SQL (4), Team Management (5), Terradata (4)</t>
  </si>
  <si>
    <t>Azure Cloud (3), CI/CD pipelines (3), Deep Learning (4), Django (3), Docker (4), FastAPI (5), Flask (4), Generative AI (4), Git (4), Langchain (5), Linux (5), LLM (5), Machine Learning (4), MLops (4), NLP (4), Pandas (4), Prompt Engineering (4), Python (5)</t>
  </si>
  <si>
    <t>Data Analysis (4), Data Analysis &amp; Data Visualization (4), Data Science (), Data Visualization and Modelling (4), Generative AI (), LLM (), Machine Learning (), Prompt Engineering (), Python (), Statistical Modelling ()</t>
  </si>
  <si>
    <t>ADF (3), Azure DevOps (2), Data Modeling (4), DAX (4), ETL (4), Jira (4), PBI (4), Power BI (4), Power query (4), Power Query Editior (4), SQL (4)</t>
  </si>
  <si>
    <t>Business &amp; Data Analysis (2), Business Analysis (3), Project Management (3)</t>
  </si>
  <si>
    <t>API Development (5), AWS (3), CI/CD pipelines (3), CSS (4), Data Structures (5), Docker (4), EC2 (3), Express JS (5), Git (5), HTML (5), Java (5), Javascript (5), Linux (5), MongoDB (5), MySQL (5), Next (5), NodeJS (5), NoSQL (4), OPPs (5), PostgreSQL (5), React JS (5), RESTful API (5), SpringBoot (5), SQL (5), Typescript (5)</t>
  </si>
  <si>
    <t>Azure Data factory (3), Data Modeling (4), ETL (5), PostgreSQL (4), SQL (5), Talend (5)</t>
  </si>
  <si>
    <t>Senior Architect-Data Engineering</t>
  </si>
  <si>
    <t>Belgav</t>
  </si>
  <si>
    <t>Azure Data factory (4), Azure Databricks (), Azure synapse database analytics (3), Business &amp; Data Analysis (3), Data Analysis (4), Data Analysis &amp; Data Visualization (3), Data Architect (), Data Engineering (5), Data Governance (4), Data Modeling (4), Data Strategy &amp; Solutioning (4), Data Structures (3), Data Visualization and Modelling (1), Data Warehousing (5), Terradata (2), Text and Data Mining (1)</t>
  </si>
  <si>
    <t>Docker (3), FastAPI (3), Generative AI (4), LLM (3), Machine Learning (5), NLP (4), Numpy (4), Pandas (5), Python (5), SQL ()</t>
  </si>
  <si>
    <t>Agile Methodology (), AWS (), AWS S3 (3), Documentation (4), ETL (3), Oracle (), PostgreSQL (), SQL (3), Talend ()</t>
  </si>
  <si>
    <t>ADF (4), Azure (4), Azure Databricks (4), ETL (4), Python (3), SQL (4)</t>
  </si>
  <si>
    <t>Agile Methodology (), Angular 15 (), Bootstrap (3), Data Structures (4), Git (3), HTML (5), Java (4), Javascript (4), MongoDB (), Node JS (), Python (), React JS (4), Reduc (), RESTful API (), Typescript ()</t>
  </si>
  <si>
    <t>Data Analysis &amp; Data Visualization (4), DAX (3), GCP Big Query (3), Git (3), Jira (3), Power BI (4), SQL (4)</t>
  </si>
  <si>
    <t>Azure Data factory (1), Data Modeling (4), DAX (3), Power Automate (2), Power BI (3), Power query (3), SQL (2)</t>
  </si>
  <si>
    <t>Bootstrap (4), CSS (4), Data Structures (3), HTML (5), Java (3), Javascript (4), MySQL (4), PL/SQL (4), PostgreSQL (4), Python (3), SQL (4)</t>
  </si>
  <si>
    <t>Flutter Developer</t>
  </si>
  <si>
    <t>Azure Git (4), Dart - Flutter (4), Flutter (5), Git (4), MySQL (3)</t>
  </si>
  <si>
    <t>Gondia</t>
  </si>
  <si>
    <t>ADLS (4), Azure (4), Azure Databricks (4), ETL (5), PySpark (3), Python (4), SQL (5)</t>
  </si>
  <si>
    <t>AWS (4), AWS Redshift (4), AWS S3 (5), Data Engineering (4), Docker (3), ETL (5), Git (3), HTML (3), Java (2), Linux (2), MySQL (4), NoSQL (1), PL/SQL (3), PostgreSQL (4), Redshift (2), RESTful API (3), Snowflake (3), SQL (4), Tableau (2), Talend (5)</t>
  </si>
  <si>
    <t>Hyderabad</t>
  </si>
  <si>
    <t>ADLS (2), Airflow (4), AWS (3), AWS Glue (4), AWS Lambda (2), AWS Redshift (3), Azure Data factory (2), Azure Databricks (3), BI (2), Data Analysis (3), Data Analysis &amp; Data Visualization (3), Data Engineering (3), Data Science (3), Data Warehousing (3), ETL (3), Glue (4), Iceberg Framework (3), Informatica (3), Jira (3), LLM (2), Machine Learning (3), MySQL (5), NLP (3), Numpy (4), Pandas (5), Power BI (3), PySpark (4), Python (4), RDS (3), S3 (4), Solution Design (3), SQL (4), Terradata (4)</t>
  </si>
  <si>
    <t>Data Visualization and Modelling (4), Machine Learning (2), Python (3), Qlik Alerting (2), Qliksense/Saas,Qlikview, NPrinting, QMC (4)</t>
  </si>
  <si>
    <t>Oracle (4), PL/SQL (4), SSRS (4)</t>
  </si>
  <si>
    <t>CoE Lead-ML</t>
  </si>
  <si>
    <t>BI (5), Business &amp; Data Analysis (5), Business Analysis (5), Data Analysis (5), Data Analysis &amp; Data Visualization (5), Data Science (4), Data Strategy &amp; Solutioning (4), Data Visualization and Modelling (4), Leadership (4), Machine Learning (5), Pandas (3), PL/SQL (3), Power query (5), Python (4), Team Management (5)</t>
  </si>
  <si>
    <t>UK</t>
  </si>
  <si>
    <t>Raipur</t>
  </si>
  <si>
    <t>API Development (4), Azure (4), Azure Databricks (4), Azure DevOps (4), Bootstrap (4), Data Modeling (4), Data Structures (4), Lambda (4), Langchain (4), LLM (4), Machine Learning (4), MongoDB (4), MySQL (4), NoSQL (4), Numpy (4), Python (4), R (4)</t>
  </si>
  <si>
    <t>Airflow (3), AWS (3), AWS Glue (2), AWS Lambda (2), AWS Redshift (3), AWS S3 (3), Data Engineering (3), EC2 (3), ETL (3), PySpark (2), Python (3), Snowflake (2), SQL (3), Talend (3)</t>
  </si>
  <si>
    <t>AWS (4), CI/CD pipelines (5), Docker (5), Python (3)</t>
  </si>
  <si>
    <t>Senior Test Engineer</t>
  </si>
  <si>
    <t>Data Analysis &amp; Data Visualization (3), ETL (3), MS Fabric (2), Numpy (3), Pandas (3), Power BI (3), PySpark (3), Python (3), Qlik Reporting (2), SQL (3), Talend (3)</t>
  </si>
  <si>
    <t>Agile Methodology (5), Athena (5), AWS Glue (5), AWS Redshift (5), Azure DevOps (5), Azure Git (5), Java (4), MySQL (3), Python (3)</t>
  </si>
  <si>
    <t>AWS S3 (3), ETL (4), MySQL (4), Oracle (4), RESTful API (3), SQL (4), Talend (4)</t>
  </si>
  <si>
    <t>Associate Test Engineer</t>
  </si>
  <si>
    <t>Srikakulam</t>
  </si>
  <si>
    <t>CSS (4), HTML (4), Java (2), Javascript (2), MySQL (3), Python (3), Talend (1)</t>
  </si>
  <si>
    <t>Azure (3), Azure Data factory (1), Azure Databricks (3), MySQL (5), Pandas (4), PySpark (4), Python (4), SQL (5)</t>
  </si>
  <si>
    <t>Angular JS (4), API Development (2), AWS Glue (2), AWS Lambda (2), AWS Redshift (3), AWS S3 (2), CI/CD pipelines (4), Docker (1), Git (5), HTML (5), Javascript (5), Prompt Engineering (5), SQL (4)</t>
  </si>
  <si>
    <t>Angular JS (4), Django (3), MongoDB (4), Node JS (4), Python (3), React JS (5), RESTful API (4), Typescript (4)</t>
  </si>
  <si>
    <t>Azure Data factory (5), Azure Databricks (4), Azure Storage accounts (4), CI/CD pipelines (3), Data Engineering (4), Git (4), Numpy (3), Pandas (5), PySpark (4), Python (5)</t>
  </si>
  <si>
    <t>Qlik (3), Qlik Sense/ SAAS (3), Qliksense/Saas,Qlikview, NPrinting, QMC (3)</t>
  </si>
  <si>
    <t>Delivery Head (UK &amp; Europe)</t>
  </si>
  <si>
    <t>Agile Methodology (5), BRD (5), Business Analysis (5), Documentation (5), Figma (3), Jira (5), Leadership (5), Presales (3), Project Management (5), Scrum (5), Team Management (5), Wireframing (3)</t>
  </si>
  <si>
    <t>ACR (4), Azure Databricks (5), Azure Web APP (5), Data Science (5), FastAPI (5), Langchain (4), LLM (5), Machine Learning (4), MongoDB (5), NLP (5), PySpark (4), Python (5)</t>
  </si>
  <si>
    <t>Odisha</t>
  </si>
  <si>
    <t>Agile Methodology (5), API Development (5), Business Analysis (4), CI/CD pipelines (5), CodeCommit (5), Data Analysis &amp; Data Visualization (5), Data Governance (5), Data Science (5), Documentation (5), FastAPI (5), Generative AI (5), Guardrails AI (5), Jira (5), Lambda (5), Langchain (5), LLM (5), Machine Learning (5), MLops (5), MySQL (5), NLP (5), PostgreSQL (5), Power BI (4), Project Management (5), Prompt Engineering (5), Scrum (5), SQL (5), Tableau (5)</t>
  </si>
  <si>
    <t>ADF (4), Azure Databricks (4), Azure Storage accounts (4), ETL (4), PySpark (3), Python (3), SQL (3)</t>
  </si>
  <si>
    <t>Business Analysis (5), Power BI (4), Project Management (5), Scrum (5)</t>
  </si>
  <si>
    <t>Amravati</t>
  </si>
  <si>
    <t>ADF (4), ADLS (4), Airflow (2), Azure (3), Azure Cloud (4), Azure Containers (4), Azure Data factory (3), Azure Databricks (3), Azure DevOps (3), Azure Git (4), Azure Storage accounts (4), Bash Scripting (4), C++ (2), CSS (3), Data Analysis (3), Data Engineering (3), Django (3), Docker (3), ETL (3), Git (4), HTML (3), Javascript (3), Jira (3), Linux (3), MongoDB (4), MySQL (4), NoSQL (3), Oracle (4), PL/SQL (3), PostgreSQL (3), Putty (4), PySpark (3), Python (3), Shell Scripting (4), Spark (3), SQL (4)</t>
  </si>
  <si>
    <t>Chandrapur</t>
  </si>
  <si>
    <t>ADF (4), Azure Cloud (4), Azure Databricks (4), Azure DevOps (4), Azure Storage accounts (4), CI/CD pipelines (4), ETL (4), Pentaho (4), PostgreSQL (3), Python (5), Spark (4), SQL (4)</t>
  </si>
  <si>
    <t>Azure Cloud (4), Azure DevOps (4), Azure Git (4), CSS (3), Data Engineering (4), Django (4), Docker (3), Express JS (4), FastAPI (4), Jira (4), MongoDB (4), Node JS (4), Project Management (4), Python (4), React JS (4), RESTful API (4), UI UX Development (4)</t>
  </si>
  <si>
    <t>Bihar</t>
  </si>
  <si>
    <t>API Development (4), Data Modeling (3), Deep Learning (3), Django (4), Flask (5), Machine Learning (3), MySQL (5), Python (4), RESTful API (4)</t>
  </si>
  <si>
    <t>ADLS (3), Azure Data factory (4), ETL (4), Jira (4), PostgreSQL (4), Qlik (3)</t>
  </si>
  <si>
    <t>Dist</t>
  </si>
  <si>
    <t>Agile Methodology (4), Documentation (4), ETL (4), Jira (3), PostgreSQL (4), SQL (4)</t>
  </si>
  <si>
    <t>AWS (4), AWS Glue (4), AWS Redshift (3), AWS S3 (4), Azure Databricks (4), Data Engineering (4), Git (3), PySpark (4), Python (4), SQL (5)</t>
  </si>
  <si>
    <t>Ghrushneshwar Colony</t>
  </si>
  <si>
    <t>Pyspark Developer</t>
  </si>
  <si>
    <t>Azure (4), Azure Cloud (4), Azure Databricks (4), Azure DevOps (3), Azure Storage accounts (5), Data Engineering (5), PostgreSQL (5), PySpark (5), SQL (5)</t>
  </si>
  <si>
    <t>jalgaon</t>
  </si>
  <si>
    <t>Azure (3), Azure Cloud (3), Azure Containers (3), Azure Databricks (4), Data Engineering (4), Data Science (3), Pandas (3), PostgreSQL (4), PySpark (5), Python (4), Spark (4), SQL (4)</t>
  </si>
  <si>
    <t>BI (4), Business &amp; Data Analysis (4), Data Visualization and Modelling (4), MySQL (4), Pandas (4), Power BI (4), Python (4), SQL (5), Tableau (4)</t>
  </si>
  <si>
    <t>Nehru Nagar</t>
  </si>
  <si>
    <t>Agile Methodology (5), BRD (5), Business &amp; Data Analysis (4), Business Analysis (5), Data Analysis (4), Data Analysis &amp; Data Visualization (4), Documentation (5), Jira (5), PL/SQL (4), Power BI (4), Program Management (5), Project Management (5), Prototyping (5), Scrum (5), SQL (3), Tableau (4), Team Management (4), Wireframing (3)</t>
  </si>
  <si>
    <t>Maharashtra</t>
  </si>
  <si>
    <t>Azure</t>
  </si>
  <si>
    <t>ADF (3), ADLS (2), Azure (3), Azure Cloud (3), Azure Containers (3), Azure Data factory (3), Azure Databricks (3), Azure DevOps (2), Azure Storage accounts (3), C++ (3), Docker (3), Informatica (4), Java (2), Linux (3), MySQL (3), Oracle (3), Pentaho (3), PL/SQL (4), PostgreSQL (3), SQL (3)</t>
  </si>
  <si>
    <t>Nigdi</t>
  </si>
  <si>
    <t>ADF (4), ADLS (4), Azure (4), Azure Cloud (4), Azure Containers (4), Azure Data factory (4), Azure Databricks (4), Azure Storage accounts (4), Data Engineering (4), ETL (4), Jira (4), MySQL (4), PySpark (4), Python (3), SQL (4)</t>
  </si>
  <si>
    <t>AWS (3), BRD (3), Business &amp; Data Analysis (3), Business Analysis (3), Dashboard Wireframes (3), Data Analysis (2), Data Analysis &amp; Data Visualization (2), Data Strategy &amp; Solutioning (2), Documentation (3), Figma (3), Generative AI (3), Jira (3), Power apps (3), Power BI (3), Process Automation (4), Project Management (3), Scrum (3), Solution Design (2), SQL (3), Wireframing (3)</t>
  </si>
  <si>
    <t>Azure Cloud (3), Data Analysis (4), Data Visualization and Modelling (4), DAX (4), MySQL (4), Numpy (2), Pandas (3), Power BI (4), Power Query Editior (4), Python (4), SQL (4)</t>
  </si>
  <si>
    <t>Ulhasnagar</t>
  </si>
  <si>
    <t>API Development (5), AWS (4), AWS Glue (4), AWS Lambda (5), AWS Redshift (4), Azure Databricks (3), CI/CD pipelines (3), CodeCommit (3), Data Analysis &amp; Data Visualization (3), Data Engineering (4), Data Science (4), Documentation (4), Generative AI (3), Git (4), Machine Learning (4), MySQL (4), Numpy (5), Pandas (5), PostgreSQL (4), Power BI (2), PySpark (4), Python (5), RDS (5), Redshift (2), RESTful API (3), SQL (4)</t>
  </si>
  <si>
    <t>Qlik Dev-Hub (3), Qlik Sense/ SAAS (3)</t>
  </si>
  <si>
    <t>Mahbubnagar</t>
  </si>
  <si>
    <t>CSS (2), Data Analysis &amp; Data Visualization (3), DAX (3), ETL (2), HTML (2), MySQL (2), Numpy (2), Pandas (2), PostgreSQL (2), Power BI (3), Power Query Editior (3), Python (2), Qliksense/Saas,Qlikview, NPrinting, QMC (1), Tableau (2)</t>
  </si>
  <si>
    <t>Data Analysis &amp; Data Visualization (4), Power BI (4), Power pivot (3), Power query (3), SQL (2)</t>
  </si>
  <si>
    <t>Mira road (E)</t>
  </si>
  <si>
    <t>Data Analysis (2), Data Engineering (3), ETL (2)</t>
  </si>
  <si>
    <t>Mysore</t>
  </si>
  <si>
    <t>Data Engineering (3), ETL (3), PySpark (3), SQL (3)</t>
  </si>
  <si>
    <t>Data Analysis (2), Data Visualization and Modelling (2), Machine Learning (1), Power BI (2), Python (2), SQL (1)</t>
  </si>
  <si>
    <t>Punjab</t>
  </si>
  <si>
    <t>C++ (1), CI/CD pipelines (3), CodeCommit (5), CSS (5), FastAPI (3), Flask (4), Generative AI (1), Java (4), Javascript (5), Machine Learning (1), PostgreSQL (4), Python (5), React JS (5), RESTful API (4), UI UX Development (4)</t>
  </si>
  <si>
    <t>Girnanagar,Nandgaon</t>
  </si>
  <si>
    <t>Qlik (3), QMC (3)</t>
  </si>
  <si>
    <t>Sawedi</t>
  </si>
  <si>
    <t>AWS (2), AWS S3 (3), DWH (3), EC2 (3), ETL (3), IAM (3), MySQL (3), Project Management (2), Python (2), SQL (3), SSIS (2)</t>
  </si>
  <si>
    <t>Airoli</t>
  </si>
  <si>
    <t>NPrinting (4), Power BI (3), Qlik (4), Qlik Sense/ SAAS (5), Qliksense/Saas,Qlikview, NPrinting, QMC (4), SQL (3)</t>
  </si>
  <si>
    <t>Warud</t>
  </si>
  <si>
    <t>Azure Data factory (3), Azure Databricks (3), SQL (3)</t>
  </si>
  <si>
    <t>ADF (2), AWS S3 (1), Azure (3), Azure Databricks (2), Data Analysis &amp; Data Visualization (2), Data Engineering (2), ETL (2), MS Fabric (2), MySQL (2), Power BI (2), PySpark (2), Python (2), Spark (2), SQL (3)</t>
  </si>
  <si>
    <t>Adgaon</t>
  </si>
  <si>
    <t>Data Analysis &amp; Data Visualization (3), Data Visualization and Modelling (3), DAX (2), Power BI (3), Power query (3), SQL (3)</t>
  </si>
  <si>
    <t>Warora</t>
  </si>
  <si>
    <t>Data Analysis (4), Data Analysis &amp; Data Visualization (4), Data Modeling (4), Data Visualization and Modelling (4), DAX (3), MySQL (3), Power BI (4), Power query (4), Power Query Editior (4), SQL (4)</t>
  </si>
  <si>
    <t>panvel</t>
  </si>
  <si>
    <t>Agile Methodology (4), Documentation (4), FastAPI (4), Generative AI (3), Jira (4), Process Automation (4), Python (4), Scrum (4), SQL (4)</t>
  </si>
  <si>
    <t>Generative AI (4), LLM (4), Pandas (4), Python (4)</t>
  </si>
  <si>
    <t>Dombivli East</t>
  </si>
  <si>
    <t>AWS (2), Azure Databricks (2), ETL (2), LLM (2), MySQL (3), Pandas (3), PySpark (2), Python (2), Tableau (2)</t>
  </si>
  <si>
    <t>AWS (3), AWS Lambda (3), AWS S3 (3), Azure Cloud (3), Azure Containers (3), Azure Data factory (2), Azure Databricks (3), Azure DevOps (3), Azure Git (3), Bash Scripting (3), CI/CD pipelines (3), Data Science (4), Deep Learning (4), Docker (2), Flask (3), Generative AI (3), Git (3), Lambda (3), LLM (3), Machine Learning (4), MySQL (4), Prompt Engineering (3), Python (4)</t>
  </si>
  <si>
    <t>Data Visualization and Modelling (3), Jira (4), Power BI (3), Power Query Editior (3), SQL (4), SSIS (3), SSRS (3)</t>
  </si>
  <si>
    <t>Agile Methodology (5), Business Analysis (2), Oracle (4), PL/SQL (4), Project Management (3), Scrum (5), SQL (4)</t>
  </si>
  <si>
    <t>Telangana</t>
  </si>
  <si>
    <t>Qlik Sense/ SAAS (4), SQL (3)</t>
  </si>
  <si>
    <t>Gwalior</t>
  </si>
  <si>
    <t>Tableau</t>
  </si>
  <si>
    <t>Data Analysis (4), MySQL (4), Tableau (4)</t>
  </si>
  <si>
    <t>Hosur</t>
  </si>
  <si>
    <t>AWS (3), AWS Lambda (3), CI/CD pipelines (3), CodeCommit (3), Docker (3), EC2 (3), Git (3), IAM (3), Lambda (3), Python (3), RDS (3), S3 (3), Terraform (3)</t>
  </si>
  <si>
    <t>Dombivali</t>
  </si>
  <si>
    <t>API Development (5), Express JS (5), Git (4), HTML (2), Javascript (5), MySQL (4), Node JS (5), NoSQL (3), React JS (4), Typescript (4)</t>
  </si>
  <si>
    <t>Agile Methodology (3), Power BI (2), Program Management (3), Project Management (4), Team Management (4)</t>
  </si>
  <si>
    <t>Business &amp; Data Analysis (3), Business Analysis (), Data Analysis &amp; Data Visualization (3), Data Modeling (3), Data Visualization and Modelling (), DAX (), Leadership (), MS Fabric (2), Numpy (), Pandas (3), PL/SQL (), Power BI (3), Power query (3), Power Query Editior (), Python (3), SQL (3), Statistical Modelling (3), Team Management (4)</t>
  </si>
  <si>
    <t>AWS (3), Azure Databricks (4), Linux (4), SSIS (3), Talend (4)</t>
  </si>
  <si>
    <t>Kolhapur</t>
  </si>
  <si>
    <t>Data Visualization and Modelling (3), DAX (3), Power BI (4), Power Query Editior (3), SQL (3)</t>
  </si>
  <si>
    <t>ADF (3), Azure synapse database analytics (3), Power BI (4), Power Query Editior (4), SQL (4), SSRS (3)</t>
  </si>
  <si>
    <t>Power BI (3), SQL (3)</t>
  </si>
  <si>
    <t>ADF (), Airflow (), Azure Cloud (), BI (), Business &amp; Data Analysis (), Business Analysis (), Dashboard Wireframes (), Data Analysis (), Data Analysis &amp; Data Visualization (), Data Visualization and Modelling (), Generative AI (), Machine Learning (), MS Fabric (), MySQL (), NLP (), PL/SQL (), PostgreSQL (), Power BI (), Power pivot (), Power query (), PySpark (), Python (), Redis (), Statistical Modelling (), Tableau ()</t>
  </si>
  <si>
    <t>Dwarka Nashik</t>
  </si>
  <si>
    <t>Azure Data factory (2), Power BI (3), Snowflake (1), SQL (3)</t>
  </si>
  <si>
    <t>Agile Methodology (3), Business Analysis (4), Documentation (4), Intellicus (2), Jira (3), Qlik (2)</t>
  </si>
  <si>
    <t>Chowk</t>
  </si>
  <si>
    <t>AWS (4), AWS Glue (4), AWS Lambda (4), AWS Redshift (3), AWS S3 (4), Data Engineering (4), Data Warehousing (3), Git (3), Oracle (3), PySpark (4), Python (3), Snowflake (3), SNS (3), SQL (4), SQS (3)</t>
  </si>
  <si>
    <t>Faizabad</t>
  </si>
  <si>
    <t>ADF (1), BI (3), DAX (3), Documentation (3), Machine Learning (1), Power BI (3), Snowflake (2), SQL (3)</t>
  </si>
  <si>
    <t>Agile Methodology (4), AWS (4), Azure (4), BI (3), BRD (4), Cloud Solutioning (3), Dashboard Wireframes (4), Data Analysis &amp; Data Visualization (4), Data Strategy &amp; Solutioning (3), DAX (3), Deep Learning (2), Figma (3), Generative AI (3), Jira (4), Leadership (4), Machine Learning (3), Power BI (3), Program Management (4), Python (4), Qlik (3), Tableau (3)</t>
  </si>
  <si>
    <t>AWS (3), Azure Databricks (2), CSS (3), Data Visualization and Modelling (2), Generative AI (3), Lambda (4), Langchain (2), LLM (3), Machine Learning (2), MySQL (3), Pandas (3), Power BI (2), Python (4), S3 (2), SQL (3)</t>
  </si>
  <si>
    <t>Adobe XD (3), Agile Methodology (5), BRD (4), Figma (3), Jira (3), MS Visio (3), Wireframing (4)</t>
  </si>
  <si>
    <t>Chennai</t>
  </si>
  <si>
    <t>AWS S3 (2), Azure Databricks (5), Data Science (5), Data Visualization and Modelling (5), Deep Learning (5), Generative AI (4), Jira (5), LLM (4), Machine Learning (5), MySQL (5), Pandas (5), PySpark (5), Python (5), R (5), SQL (5), Statistical Modelling (5), Team Management (4), Time Series Analysis (5)</t>
  </si>
  <si>
    <t>Vadodara</t>
  </si>
  <si>
    <t>Adobe XD (3), Agile Methodology (3), Bootstrap (3), CSS (3), Dashboard Wireframes (4), Figma (4), HTML (3), Jira (2), Prototyping (5), UI UX Development (4), Wireframing (5)</t>
  </si>
  <si>
    <t>US</t>
  </si>
  <si>
    <t>Agile Methodology (4), Business &amp; Data Analysis (5), Power BI (3), Project Management (5), Qliksense/Saas,Qlikview, NPrinting, QMC (4), SQL (4), Tableau (3)</t>
  </si>
  <si>
    <t>Agile Methodology (4), Program Management (4), Scrum (4)</t>
  </si>
  <si>
    <t>Azure Data factory (3), Data Modeling (4), Data Warehousing (4), ETL (4), Generative AI (2), Langchain (2), LLM (2), Machine Learning (2), Numpy (3), Pandas (3), Project Management (4), Python (3), Scrum (3), Team Management (3)</t>
  </si>
  <si>
    <t>Agile Methodology (), Data Analysis &amp; Data Visualization (), Data Engineering (), Data Strategy &amp; Solutioning (), ETL (), Jira (), Process Automation (), Program Management (), Scrum (), SQL (), Tableau ()</t>
  </si>
  <si>
    <t>ADF (3), ADLS (4), Azure Cloud (4), Azure Containers (4), Azure Databricks (4), Data Engineering (4), Data Warehousing (4), PySpark (4), SQL (4)</t>
  </si>
  <si>
    <t>Pimpri Chinchwad</t>
  </si>
  <si>
    <t>AWS (5), Data Science (5), Deep Learning (4), Django (4), Git (4), Machine Learning (5), MySQL (5), NLP (5), Numpy (5), Pandas (5), PostgreSQL (5), Power BI (5), Python (5), R (5), SQL (5), Tableau (5)</t>
  </si>
  <si>
    <t>Data Analysis (4), Data Analysis &amp; Data Visualization (4), Data Warehousing (5), ETL (5), Oracle (5), Power BI (3), PySpark (3), Snowflake (4), SQL (5)</t>
  </si>
  <si>
    <t>Azure (4), Azure Databricks (2), Azure DevOps (4), Azure Storage accounts (4), Data Engineering (4), Data Science (4), FastAPI (4), Generative AI (4), Langchain (4), LLM (4), Machine Learning (4), MLops (3), NLP (4), Numpy (4), Pandas (4), Prompt Engineering (4), Python (4)</t>
  </si>
  <si>
    <t>Agile Methodology (4), Business Analysis (4), Documentation (4), Generative AI (3), MS Visio (4), Presales (2), Project Management (4)</t>
  </si>
  <si>
    <t>Associate Software Developer</t>
  </si>
  <si>
    <t>Angular JS (3), API Development (4), AWS (2), Bootstrap (3), Dart - Flutter (4), Documentation (4), FastAPI (4), Flutter (4), Git (4), Javascript (2), Linux (3), MongoDB (2), NLP (1), NodeJS (4), React JS (2), Typescript (2)</t>
  </si>
  <si>
    <t>Nerul East, Navi Mumbai</t>
  </si>
  <si>
    <t>Mumbai Suburban</t>
  </si>
  <si>
    <t>BI (5), Business &amp; Data Analysis (5), C++ (4), Data Analysis (5), Data Analysis &amp; Data Visualization (5), Data Modeling (5), Data Visualization and Modelling (5), Javascript (4), NPrinting (5), Power BI (3), Qlik (5), Qlik Administration (5), Qlik Dev-Hub (5), Qlik Extensions/Mashup (5), Qlik Mashup (5), Qlik Reporting (5), Qlik Sense/ SAAS (4), Qliksense/Saas,Qlikview, NPrinting, QMC (5), Qlikview (5), QMC (5), SQL (3)</t>
  </si>
  <si>
    <t>Manchester</t>
  </si>
  <si>
    <t>Agile Methodology (4), Airflow (4), AWS (3), AWS Glue (2), AWS Lambda (2), AWS Redshift (4), AWS S3 (4), Azure Data factory (1), Bash Scripting (4), Data Analysis (4), Data Analysis &amp; Data Visualization (4), Data Architect (3), Data Engineering (4), Data Modeling (3), Data Science (3), Data Warehousing (3), Documentation (4), DWH (3), EC2 (3), ETL (4), GCP Big Query (2), Git (3), Glue (3), IAM (2), Informatica (4), Jira (3), Lambda (2), MySQL (4), Oracle (4), Pandas (3), PL/SQL (2), PostgreSQL (2), Putty (4), PySpark (2), Python (3), Redshift (4), S3 (4), Scrum (3), Shell Scripting (4), SNS (1), Solution Design (3), SQL (4), Step Function (1), Team Management (4), Terradata (3)</t>
  </si>
  <si>
    <t>New Delhi</t>
  </si>
  <si>
    <t>Data Science (4), Deep Learning (4), FastAPI (3), Generative AI (4), Git (3), Linux (3), LLM (4), Machine Learning (4), MongoDB (3), Numpy (5), Pandas (5), Prompt Engineering (4), Python (4), Statistical Modelling (3)</t>
  </si>
  <si>
    <t>Azure Data factory (2), Business &amp; Data Analysis (3), Data Analysis &amp; Data Visualization (5), DAX (5), Power BI (5), Power query (5), Qlik (2), SQL (3)</t>
  </si>
  <si>
    <t>Musharambhag</t>
  </si>
  <si>
    <t>Agile Methodology (4), Data Analysis (4), Java (3), MySQL (3), Qliksense/Saas,Qlikview, NPrinting, QMC (4)</t>
  </si>
  <si>
    <t>Product Manager</t>
  </si>
  <si>
    <t>Satara</t>
  </si>
  <si>
    <t>FastAPI (3), Generative AI (3), Langchain (3), Machine Learning (4), Numpy (3), Pandas (3), Python (4), SQL (3)</t>
  </si>
  <si>
    <t>AWS (5), CodeCommit (5), Deep Learning (4), Docker (3), Flask (4), Generative AI (4), Machine Learning (4), NLP (4), Python (4)</t>
  </si>
  <si>
    <t>mumbai</t>
  </si>
  <si>
    <t>Bootstrap (2), CSS (3), Dart - Flutter (4), Flutter (4), HTML (3), Javascript (3), Jquery (2), Mashups (1), Python (3), Qlik Mashup (1), RESTful API (1)</t>
  </si>
  <si>
    <t>Agile Methodology (4), Documentation (4), FastAPI (3), Java (3), Jira (4), Process Automation (3), Scrum (3), SQL (3)</t>
  </si>
  <si>
    <t>Dharashiv</t>
  </si>
  <si>
    <t>AWS (4), AWS Lambda (4), AWS S3 (4), CI/CD pipelines (4), Docker (4), Git (4), IAM (4), Linux (4), Terraform (4)</t>
  </si>
  <si>
    <t xml:space="preserve">Nagpur </t>
  </si>
  <si>
    <t>CI/CD pipelines (3), Data Engineering (3), MySQL (3), Oracle (3), PL/SQL (3), Putty (4), Shell Scripting (4), SQL (3)</t>
  </si>
  <si>
    <t xml:space="preserve">Asansol </t>
  </si>
  <si>
    <t>Agile Methodology (), Data Analysis &amp; Data Visualization (), Data Warehousing (), ETL (), Informatica (), Jira (), Pentaho (), Python (), SQL (), SSIS ()</t>
  </si>
  <si>
    <t>Azure (4), BI (4), Business &amp; Data Analysis (3), Business Analysis (4), C++ (3), Data Analysis (4), Data Analysis &amp; Data Visualization (4), Data Architect (4), Data Governance (4), Data Modeling (4), ETL (4), GCP Big Query (4), Informatica (3), Leadership (3), MySQL (3), NoSQL (3), Oracle (4), Pentaho (3), PL/SQL (3), PostgreSQL (3), S3 (3), Solution Design (4), SQL (3), SSIS (3), SSRS (3), Tableau (3), Talend (4)</t>
  </si>
  <si>
    <t>ADLS (4), Azure Data factory (4), Azure Databricks (4), MS Fabric (2), PySpark (4), Python (4), SQL (4)</t>
  </si>
  <si>
    <t>MySQL (3), Power BI (3), Python (3), Qlik Replicate (2), Qlik Sense/ SAAS (4)</t>
  </si>
  <si>
    <t>Pimpri-Chinchwad</t>
  </si>
  <si>
    <t>Azure Data factory (4), Azure Databricks (4), Azure Storage accounts (4), PySpark (5), SQL (4)</t>
  </si>
  <si>
    <t>API Development (4), AWS Lambda (2), AWS S3 (2), Celery (2), Django (4), DRF (5), Git (3), HTML (3), Langchain (2), MySQL (3), Pandas (2), Python (4), RESTful API (4)</t>
  </si>
  <si>
    <t>Nerul, Navi Mumbai</t>
  </si>
  <si>
    <t>Dart - Flutter (3), Flutter (3), HTML (2), Java (2), Leadership (3), MySQL (2), Power BI (1), Python (2)</t>
  </si>
  <si>
    <t>Azure DevOps (2), BRD (2), Business Analysis (2), Generative AI (2), Machine Learning (2), NLP (1), Python (1), SQL (2), Tableau (2)</t>
  </si>
  <si>
    <t>BRD (2), Business Analysis (2), C++ (2), Machine Learning (1), NLP (1), Python (2), SQL (2), Tableau (1), Time Series Analysis (1)</t>
  </si>
  <si>
    <t>BI (4), PBI (3), Tableau (3)</t>
  </si>
  <si>
    <t>Data Analysis &amp; Data Visualization (), Data Modeling (), Qlik Sense/ SAAS (), Qliksense/Saas,Qlikview, NPrinting, QMC (), Qlikview ()</t>
  </si>
  <si>
    <t>DAX (3), Power BI (3), Power query (3), Power Query Editior (3), SQL (3)</t>
  </si>
  <si>
    <t>Navi mumbai</t>
  </si>
  <si>
    <t>ADLS (3), Azure Data factory (3), Azure Databricks (4), Azure DevOps (2), PySpark (3), Python (3), Shell Scripting (2), SQL (4)</t>
  </si>
  <si>
    <t>bengaluru</t>
  </si>
  <si>
    <t>AWS (4), Bash Scripting (4), CI/CD pipelines (4), Docker (4), Documentation (4), EC2 (4), Git (4), Jira (4), Linux (4), MySQL (3), RDS (4), S3 (4), SQL (3)</t>
  </si>
  <si>
    <t>BI (), Data Modeling (), ETL (), Power BI (), Power query (), SQL ()</t>
  </si>
  <si>
    <t>Palamu</t>
  </si>
  <si>
    <t>Data Analysis (), Data Science (), Deep Learning (), Generative AI (), Machine Learning (), MySQL (), NLP (), SQL (), Tableau (), Time Series Analysis ()</t>
  </si>
  <si>
    <t>ADF (3), ADLS (3), Agile Methodology (3), Azure (3), Azure Cloud (3), Azure Containers (3), Azure Data factory (3), Azure Databricks (2), Azure Storage accounts (2), Azure synapse database analytics (3), BI (2), Data Analysis (4), Data Analysis &amp; Data Visualization (3), Data Engineering (4), Data Governance (3), Data Modeling (3), Data Warehousing (3), DAX (2), Documentation (4), DWH (3), ETL (4), MySQL (4), PostgreSQL (5), Power BI (3), Power query (3), PySpark (2), Spark (3), SQL (5), Tableau (2), Team Management (3)</t>
  </si>
  <si>
    <t>Associate BI Engineer</t>
  </si>
  <si>
    <t>Vasai West</t>
  </si>
  <si>
    <t>Qlik Reporting (3), Qlik Sense/ SAAS (3)</t>
  </si>
  <si>
    <t>New Mumbai</t>
  </si>
  <si>
    <t>C++ (), Data Analysis (), Data Engineering (), Data Science (), Deep Learning (), Generative AI (), LLM (), Machine Learning (), MySQL (), NLP (), Numpy (), Pandas (), Prompt Engineering (), Putty (), Python (), Shell Scripting (), Tableau (), Team Management ()</t>
  </si>
  <si>
    <t>ADLS (4), Agile Methodology (5), Azure Cloud (4), Azure Data factory (4), Azure Databricks (4), Azure DevOps (3), Azure Storage accounts (4), Azure synapse database analytics (3), CI/CD pipelines (4), Data Engineering (4), Data Warehousing (3), Documentation (4), Git (4), Jira (4), MySQL (4), PySpark (4), Python (3), Spark (4)</t>
  </si>
  <si>
    <t>Chittoor</t>
  </si>
  <si>
    <t>Generative AI (), Python ()</t>
  </si>
  <si>
    <t>Intern - Data Science</t>
  </si>
  <si>
    <t>CSS (), Data Analysis (), Data Analysis &amp; Data Visualization (), Data Science (), Javascript (), Leadership (), R (), SQL (), Tableau ()</t>
  </si>
  <si>
    <t>vashi</t>
  </si>
  <si>
    <t>Adobe XD (4), AWS (2), BI (2), Business &amp; Data Analysis (2), CSS (4), Data Analysis (4), Data Analysis &amp; Data Visualization (4), Data Science (1), Data Visualization and Modelling (3), Figma (4), HTML (4), Leadership (4), Power BI (4), Python (4), SQL (4), Team Management (4), UI UX Development (3)</t>
  </si>
  <si>
    <t>Agile Methodology (4), Aurora (3), Data Warehousing (4), DWH (4), ETL (4), PostgreSQL (4), Putty (3), Scrum (4), Snowflake (5), SQL (5), Team Management (4)</t>
  </si>
  <si>
    <t>Airflow (1), Angular 15 (3), API Development (3), AWS S3 (2), Azure Cloud (2), CSS (3), Docker (2), FastAPI (3), Git (3), HTML (3), Java (3), Javascript (3), Jira (3), Linux (3), MySQL (3), Python (3), React JS (3), RESTful API (3), SpringBoot (3), SQL (3), Typescript (3)</t>
  </si>
  <si>
    <t>Durg</t>
  </si>
  <si>
    <t>C++ (3), Power BI (2)</t>
  </si>
  <si>
    <t>Ghaizabad</t>
  </si>
  <si>
    <t>Agile Methodology (3), Azure Cloud (3), Azure Data factory (2), BI (4), BRD (3), CI/CD pipelines (2), Cloud Solutioning (3), Data Analysis &amp; Data Visualization (4), Data Strategy &amp; Solutioning (4), ETL (3), Generative AI (2), MS Fabric (3), NPrinting (4), Project Management (3), Qlik Alerting (3), Qlik Automation (3), Qlik Reporting (4), Qlik Sense/ SAAS (4), Scrum (4), Team Management (4)</t>
  </si>
  <si>
    <t>Azure Databricks (), Data Engineering (), PySpark (), Python (), Spark (), SQL ()</t>
  </si>
  <si>
    <t>Sr. No</t>
  </si>
  <si>
    <t xml:space="preserve">Column Name </t>
  </si>
  <si>
    <t xml:space="preserve">Description </t>
  </si>
  <si>
    <t>This column contains the unique employee ID for each resource. Each number represents one particular employee</t>
  </si>
  <si>
    <t>Contains the full name of the employee mapped to the Employee Number.</t>
  </si>
  <si>
    <t>Date of Joining of the employee in the organization.</t>
  </si>
  <si>
    <t>December  Project Name</t>
  </si>
  <si>
    <t>Contains the name of the project to which the employee is allocated for the month of December.</t>
  </si>
  <si>
    <t>Total number of leave hours taken by the employee during the month.</t>
  </si>
  <si>
    <t>Contains total holiday hours applicable for the employee for the month.</t>
  </si>
  <si>
    <t>Total hours spent on billable project work during the month.</t>
  </si>
  <si>
    <t>Total hours spent on non-billable activities (internal work, training, bench, non-billable project etc.).</t>
  </si>
  <si>
    <t xml:space="preserve">Contains total working hours for the month  ( Leaves + Holiday + Billable Hours + Non-Billable Hours ) </t>
  </si>
  <si>
    <t>This column shows the total working hours after excluding leave and holiday  hours.</t>
  </si>
  <si>
    <t xml:space="preserve">This column shows the percentage of billable hours calculated based on total hours excluding leaves. </t>
  </si>
  <si>
    <t>This column shows the percentage of non-billable hours calculated based on total hours excluding leaves.</t>
  </si>
  <si>
    <t>This column shows the utilization status of the employee based on their billable percentage. If Less than 85 % its Critical . If greater than 85 % its Good</t>
  </si>
  <si>
    <t>This column is used to add remarks related to utilization, project</t>
  </si>
  <si>
    <t>This column shows the category or group the employee belongs to (such as COE, Aixponent, Intern or Project Type ( Fixed , Fixed/ T&amp;M, T&amp;M).</t>
  </si>
  <si>
    <t>This column shows whether the employee is working as Billable ( Yes or No ) in the particular project.</t>
  </si>
  <si>
    <t>This column captures the upcoming project assignment, showing the new project name if applicable; otherwise, it shows the current active project.</t>
  </si>
  <si>
    <t>This column shows whether the employee’s deployment to the project is confirmed, and the actual confirmation date.</t>
  </si>
  <si>
    <t>This column shows whether the employee has resigned or not (Yes/No).</t>
  </si>
  <si>
    <t>This column shows the employee’s last working date if they have resigned.</t>
  </si>
  <si>
    <t>This column is used by the Project Manager to add any comments related to the employee’s project</t>
  </si>
  <si>
    <t>Resource Utilization -  ( Questions on monthly basis )</t>
  </si>
  <si>
    <t xml:space="preserve">Show me, list of resources with utilization level as Good  </t>
  </si>
  <si>
    <t xml:space="preserve">Show me, list of resources with utilization level as Critical </t>
  </si>
  <si>
    <t xml:space="preserve">Show me, list of resources with billable  below  50 % </t>
  </si>
  <si>
    <t xml:space="preserve">Show me, list of resources with billable  between 50 % - 85% </t>
  </si>
  <si>
    <t xml:space="preserve">Show me, list of resources with billable  below  85 % </t>
  </si>
  <si>
    <t>Give me overall Billable Utilization  precentage  in XYZ month</t>
  </si>
  <si>
    <t xml:space="preserve">Show me, list of  resources with zero billable hours </t>
  </si>
  <si>
    <t xml:space="preserve">Show me, list of resources in COE </t>
  </si>
  <si>
    <t>Show me, list of resources in Aixponent</t>
  </si>
  <si>
    <t>Show me list of total interns</t>
  </si>
  <si>
    <t>Show me,  list of resources who are below 50 % with project name &amp;  project type</t>
  </si>
  <si>
    <t>Show me, list of  billable resources who are equal to 100 %</t>
  </si>
  <si>
    <t>Show me list of Active resigned employee</t>
  </si>
  <si>
    <t>show me list of employees who have resigned in XYZ month</t>
  </si>
  <si>
    <t xml:space="preserve">Show me list of resources with  utilization level as good in T&amp;M Project </t>
  </si>
  <si>
    <t xml:space="preserve">Show me list of resources with  utilization level as good in Fixed Project </t>
  </si>
  <si>
    <t xml:space="preserve">Show list of resources  in Bench </t>
  </si>
  <si>
    <t xml:space="preserve">Show list of resources resources with  utilization level as Critical in Fixed Project </t>
  </si>
  <si>
    <t xml:space="preserve">Show list of  resources with  utilization level as Critical in T&amp;M Project </t>
  </si>
  <si>
    <t xml:space="preserve">Show me list  of Aixponent core team </t>
  </si>
  <si>
    <t>how many employee got released last month/quarter/year</t>
  </si>
  <si>
    <t>(Multiple Items)</t>
  </si>
  <si>
    <t>Sum of Utlization %</t>
  </si>
  <si>
    <t>(blank)</t>
  </si>
  <si>
    <t>AIXponent Core Team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</si>
</sst>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6">
    <font>
      <sz val="11"/>
      <color theme="1"/>
      <name val="Aptos Narrow"/>
      <family val="2"/>
      <scheme val="minor"/>
    </font>
    <font>
      <b/>
      <sz val="9"/>
      <color theme="1"/>
      <name val="Calibri"/>
      <family val="2"/>
    </font>
    <font>
      <sz val="10"/>
      <color rgb="FF000000"/>
      <name val="Calibri"/>
      <family val="2"/>
    </font>
    <font>
      <sz val="11"/>
      <color rgb="FF000000"/>
      <name val="Aptos Narrow"/>
      <family val="2"/>
    </font>
    <font>
      <sz val="11"/>
      <color rgb="FFFF0000"/>
      <name val="Aptos Narrow"/>
      <family val="2"/>
      <scheme val="minor"/>
    </font>
    <font>
      <sz val="11"/>
      <color rgb="FF000000"/>
      <name val="Aptos Narrow"/>
      <family val="2"/>
      <scheme val="minor"/>
    </font>
    <font>
      <b/>
      <sz val="11"/>
      <color theme="1"/>
      <name val="Aptos Narrow"/>
      <family val="2"/>
      <scheme val="minor"/>
    </font>
    <font>
      <b/>
      <sz val="8"/>
      <color theme="1"/>
      <name val="Calibri"/>
      <family val="2"/>
    </font>
    <font>
      <sz val="10"/>
      <color theme="1"/>
      <name val="Arial"/>
      <family val="2"/>
    </font>
    <font>
      <sz val="11"/>
      <color theme="1"/>
      <name val="Aptos Narrow"/>
      <family val="2"/>
      <scheme val="minor"/>
    </font>
    <font>
      <b/>
      <sz val="10"/>
      <color theme="1"/>
      <name val="Arial"/>
      <family val="2"/>
    </font>
    <font>
      <sz val="11"/>
      <color rgb="FF9C0006"/>
      <name val="Aptos Narrow"/>
      <family val="2"/>
      <scheme val="minor"/>
    </font>
    <font>
      <sz val="10"/>
      <name val="Calibri"/>
      <family val="2"/>
    </font>
    <font>
      <sz val="11"/>
      <color theme="1"/>
      <name val="-Apple-System"/>
      <charset val="1"/>
    </font>
    <font>
      <sz val="11"/>
      <color rgb="FF242424"/>
      <name val="Aptos Narrow"/>
      <family val="2"/>
    </font>
    <font>
      <sz val="10"/>
      <color theme="1"/>
      <name val="Calibri"/>
      <family val="2"/>
    </font>
  </fonts>
  <fills count="9">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rgb="FFFFFFFF"/>
        <bgColor rgb="FF000000"/>
      </patternFill>
    </fill>
    <fill>
      <patternFill patternType="solid">
        <fgColor theme="8"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rgb="FF92D05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2">
    <xf numFmtId="0" fontId="0" fillId="0" borderId="0"/>
    <xf numFmtId="9" fontId="9" fillId="0" borderId="0" applyFont="0" applyFill="0" applyBorder="0" applyAlignment="0" applyProtection="0"/>
  </cellStyleXfs>
  <cellXfs count="88">
    <xf numFmtId="0" fontId="0" fillId="0" borderId="0" xfId="0"/>
    <xf numFmtId="0" fontId="0" fillId="0" borderId="1" xfId="0" applyBorder="1" applyAlignment="1">
      <alignment horizontal="center"/>
    </xf>
    <xf numFmtId="0" fontId="3" fillId="0" borderId="1" xfId="0" applyFont="1" applyBorder="1"/>
    <xf numFmtId="0" fontId="0" fillId="0" borderId="1" xfId="0" applyBorder="1"/>
    <xf numFmtId="0" fontId="0" fillId="0" borderId="1" xfId="0" applyBorder="1" applyAlignment="1">
      <alignment horizontal="left"/>
    </xf>
    <xf numFmtId="0" fontId="3" fillId="0" borderId="1" xfId="0" applyFont="1" applyBorder="1" applyAlignment="1">
      <alignment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0" fillId="0" borderId="0" xfId="0" applyAlignment="1">
      <alignment horizontal="center"/>
    </xf>
    <xf numFmtId="9" fontId="1" fillId="5" borderId="1" xfId="0" applyNumberFormat="1" applyFont="1" applyFill="1" applyBorder="1" applyAlignment="1">
      <alignment horizontal="center" vertical="center" wrapText="1"/>
    </xf>
    <xf numFmtId="49" fontId="1" fillId="5" borderId="1" xfId="0" applyNumberFormat="1" applyFont="1" applyFill="1" applyBorder="1" applyAlignment="1">
      <alignment horizontal="center" vertical="center" wrapText="1"/>
    </xf>
    <xf numFmtId="0" fontId="0" fillId="0" borderId="0" xfId="0" applyAlignment="1">
      <alignment wrapText="1"/>
    </xf>
    <xf numFmtId="0" fontId="0" fillId="0" borderId="4" xfId="0" applyBorder="1"/>
    <xf numFmtId="0" fontId="0" fillId="0" borderId="4" xfId="0" applyBorder="1" applyAlignment="1">
      <alignment horizontal="center"/>
    </xf>
    <xf numFmtId="0" fontId="0" fillId="0" borderId="1" xfId="0" applyBorder="1" applyAlignment="1">
      <alignment wrapText="1"/>
    </xf>
    <xf numFmtId="0" fontId="0" fillId="0" borderId="1" xfId="0" applyBorder="1" applyAlignment="1">
      <alignment horizontal="center" wrapText="1"/>
    </xf>
    <xf numFmtId="10" fontId="0" fillId="0" borderId="0" xfId="0" applyNumberFormat="1"/>
    <xf numFmtId="10" fontId="0" fillId="0" borderId="1" xfId="0" applyNumberFormat="1" applyBorder="1"/>
    <xf numFmtId="0" fontId="0" fillId="0" borderId="2" xfId="0" applyBorder="1"/>
    <xf numFmtId="0" fontId="6" fillId="0" borderId="0" xfId="0" applyFont="1"/>
    <xf numFmtId="0" fontId="8" fillId="0" borderId="0" xfId="0" applyFont="1"/>
    <xf numFmtId="0" fontId="7" fillId="2" borderId="1" xfId="0"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0" fontId="0" fillId="0" borderId="0" xfId="0" applyAlignment="1">
      <alignment vertical="center"/>
    </xf>
    <xf numFmtId="0" fontId="2" fillId="4" borderId="1" xfId="0" applyFont="1" applyFill="1" applyBorder="1" applyAlignment="1">
      <alignment vertical="center" readingOrder="1"/>
    </xf>
    <xf numFmtId="15" fontId="2" fillId="0" borderId="1" xfId="0" applyNumberFormat="1" applyFont="1" applyBorder="1" applyAlignment="1">
      <alignment vertical="center"/>
    </xf>
    <xf numFmtId="0" fontId="0" fillId="0" borderId="1" xfId="0" applyBorder="1" applyAlignment="1">
      <alignment horizontal="center" vertical="center"/>
    </xf>
    <xf numFmtId="9" fontId="0" fillId="5" borderId="1" xfId="0" applyNumberFormat="1" applyFill="1" applyBorder="1" applyAlignment="1">
      <alignment horizontal="center" vertical="center"/>
    </xf>
    <xf numFmtId="9" fontId="4"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0" fontId="2" fillId="0" borderId="1" xfId="0" applyFont="1" applyBorder="1" applyAlignment="1">
      <alignment vertical="center" readingOrder="1"/>
    </xf>
    <xf numFmtId="0" fontId="3" fillId="0" borderId="1" xfId="0" applyFont="1" applyBorder="1" applyAlignment="1">
      <alignment vertical="center"/>
    </xf>
    <xf numFmtId="0" fontId="0" fillId="0" borderId="1" xfId="0" applyBorder="1" applyAlignment="1">
      <alignment vertical="center" wrapText="1"/>
    </xf>
    <xf numFmtId="0" fontId="5"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5" fillId="0" borderId="1" xfId="0" applyFont="1" applyBorder="1" applyAlignment="1">
      <alignment wrapText="1"/>
    </xf>
    <xf numFmtId="0" fontId="10" fillId="2" borderId="1" xfId="0" applyFont="1" applyFill="1" applyBorder="1" applyAlignment="1">
      <alignment horizontal="center"/>
    </xf>
    <xf numFmtId="0" fontId="10" fillId="2" borderId="1" xfId="0" applyFont="1" applyFill="1" applyBorder="1" applyAlignment="1">
      <alignment horizontal="left"/>
    </xf>
    <xf numFmtId="0" fontId="2" fillId="4" borderId="0" xfId="0" applyFont="1" applyFill="1" applyAlignment="1">
      <alignment vertical="center" readingOrder="1"/>
    </xf>
    <xf numFmtId="0" fontId="2" fillId="4" borderId="1" xfId="0" applyFont="1" applyFill="1" applyBorder="1" applyAlignment="1">
      <alignment horizontal="center" vertical="center" readingOrder="1"/>
    </xf>
    <xf numFmtId="0" fontId="2" fillId="4" borderId="0" xfId="0" applyFont="1" applyFill="1" applyAlignment="1">
      <alignment horizontal="center" vertical="center" readingOrder="1"/>
    </xf>
    <xf numFmtId="15" fontId="2" fillId="0" borderId="1" xfId="0" applyNumberFormat="1" applyFont="1" applyBorder="1" applyAlignment="1">
      <alignment vertical="center" wrapText="1"/>
    </xf>
    <xf numFmtId="0" fontId="11" fillId="0" borderId="1" xfId="0" applyFont="1" applyBorder="1" applyAlignment="1">
      <alignment wrapText="1"/>
    </xf>
    <xf numFmtId="15" fontId="0" fillId="0" borderId="1" xfId="0" applyNumberFormat="1" applyBorder="1"/>
    <xf numFmtId="0" fontId="1" fillId="3" borderId="1" xfId="0" applyFont="1" applyFill="1" applyBorder="1" applyAlignment="1">
      <alignment horizontal="center" vertical="center" wrapText="1"/>
    </xf>
    <xf numFmtId="15" fontId="12" fillId="0" borderId="5" xfId="0" applyNumberFormat="1" applyFont="1" applyBorder="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applyAlignment="1">
      <alignment vertical="center" wrapText="1"/>
    </xf>
    <xf numFmtId="0" fontId="6" fillId="0" borderId="1" xfId="0" applyFont="1" applyBorder="1"/>
    <xf numFmtId="0" fontId="0" fillId="7" borderId="0" xfId="0" applyFill="1" applyAlignment="1">
      <alignment horizontal="left"/>
    </xf>
    <xf numFmtId="10" fontId="0" fillId="7" borderId="0" xfId="0" applyNumberFormat="1" applyFill="1"/>
    <xf numFmtId="0" fontId="0" fillId="0" borderId="0" xfId="0" pivotButton="1" applyAlignment="1">
      <alignment wrapText="1"/>
    </xf>
    <xf numFmtId="0" fontId="0" fillId="0" borderId="0" xfId="0" applyAlignment="1">
      <alignment horizontal="center" vertical="center" wrapText="1"/>
    </xf>
    <xf numFmtId="0" fontId="6" fillId="0" borderId="1" xfId="0" applyFont="1" applyBorder="1" applyAlignment="1">
      <alignment horizontal="right"/>
    </xf>
    <xf numFmtId="0" fontId="6" fillId="0" borderId="1" xfId="0" applyFont="1" applyBorder="1" applyAlignment="1">
      <alignment horizontal="left"/>
    </xf>
    <xf numFmtId="10" fontId="0" fillId="0" borderId="0" xfId="0" applyNumberFormat="1" applyAlignment="1">
      <alignment horizontal="center" vertical="center" wrapText="1"/>
    </xf>
    <xf numFmtId="9" fontId="0" fillId="0" borderId="1" xfId="0" applyNumberFormat="1" applyBorder="1"/>
    <xf numFmtId="0" fontId="11" fillId="0" borderId="1" xfId="0" applyFont="1" applyBorder="1"/>
    <xf numFmtId="0" fontId="5" fillId="0" borderId="1" xfId="0" applyFont="1" applyBorder="1"/>
    <xf numFmtId="10" fontId="0" fillId="8" borderId="0" xfId="0" applyNumberFormat="1" applyFill="1"/>
    <xf numFmtId="0" fontId="6" fillId="0" borderId="4" xfId="0" applyFont="1" applyBorder="1"/>
    <xf numFmtId="0" fontId="6" fillId="3" borderId="1" xfId="0" applyFont="1" applyFill="1" applyBorder="1" applyAlignment="1">
      <alignment horizontal="center"/>
    </xf>
    <xf numFmtId="0" fontId="0" fillId="0" borderId="3" xfId="0" applyBorder="1"/>
    <xf numFmtId="0" fontId="0" fillId="0" borderId="6" xfId="0" applyBorder="1"/>
    <xf numFmtId="0" fontId="6" fillId="3" borderId="1" xfId="0" applyFont="1" applyFill="1" applyBorder="1"/>
    <xf numFmtId="0" fontId="0" fillId="7" borderId="0" xfId="0" applyFill="1"/>
    <xf numFmtId="0" fontId="14" fillId="0" borderId="0" xfId="0" applyFont="1"/>
    <xf numFmtId="0" fontId="0" fillId="6" borderId="0" xfId="0" applyFill="1"/>
    <xf numFmtId="0" fontId="6" fillId="6" borderId="1" xfId="0" applyFont="1" applyFill="1" applyBorder="1"/>
    <xf numFmtId="0" fontId="0" fillId="3" borderId="0" xfId="0" applyFill="1"/>
    <xf numFmtId="0" fontId="15" fillId="0" borderId="0" xfId="0" applyFont="1" applyAlignment="1">
      <alignment vertical="center" wrapText="1"/>
    </xf>
    <xf numFmtId="0" fontId="0" fillId="3" borderId="5" xfId="0" applyFill="1" applyBorder="1" applyAlignment="1">
      <alignment horizontal="right" vertical="center" wrapText="1"/>
    </xf>
    <xf numFmtId="0" fontId="0" fillId="3" borderId="5" xfId="0" applyFill="1" applyBorder="1" applyAlignment="1">
      <alignment horizontal="center" vertical="center" wrapText="1"/>
    </xf>
    <xf numFmtId="0" fontId="0" fillId="0" borderId="5" xfId="0" applyBorder="1"/>
    <xf numFmtId="0" fontId="0" fillId="0" borderId="5" xfId="0" applyBorder="1" applyAlignment="1">
      <alignment wrapText="1"/>
    </xf>
    <xf numFmtId="0" fontId="2" fillId="4" borderId="5" xfId="0" applyFont="1" applyFill="1" applyBorder="1" applyAlignment="1">
      <alignment vertical="center" readingOrder="1"/>
    </xf>
    <xf numFmtId="0" fontId="15" fillId="0" borderId="5" xfId="0" applyFont="1" applyBorder="1" applyAlignment="1">
      <alignment vertical="center" wrapText="1"/>
    </xf>
    <xf numFmtId="14" fontId="0" fillId="0" borderId="5" xfId="0" applyNumberFormat="1" applyBorder="1"/>
    <xf numFmtId="0" fontId="0" fillId="0" borderId="5" xfId="0" applyBorder="1" applyAlignment="1">
      <alignment horizontal="center"/>
    </xf>
    <xf numFmtId="164" fontId="0" fillId="0" borderId="5" xfId="0" applyNumberFormat="1" applyBorder="1" applyAlignment="1">
      <alignment horizontal="center" vertical="center"/>
    </xf>
    <xf numFmtId="0" fontId="2" fillId="0" borderId="5" xfId="0" applyFont="1" applyBorder="1" applyAlignment="1">
      <alignment vertical="center" readingOrder="1"/>
    </xf>
    <xf numFmtId="0" fontId="2" fillId="0" borderId="5" xfId="0" applyFont="1" applyBorder="1"/>
    <xf numFmtId="0" fontId="13" fillId="0" borderId="5" xfId="0" applyFont="1" applyBorder="1"/>
    <xf numFmtId="15" fontId="5" fillId="0" borderId="5" xfId="0" applyNumberFormat="1" applyFont="1" applyBorder="1"/>
  </cellXfs>
  <cellStyles count="2">
    <cellStyle name="Normal" xfId="0" builtinId="0"/>
    <cellStyle name="Percent" xfId="1" builtinId="5"/>
  </cellStyles>
  <dxfs count="28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
      <numFmt numFmtId="14" formatCode="0.00%"/>
    </dxf>
    <dxf>
      <alignment wrapText="1"/>
    </dxf>
    <dxf>
      <alignment vertical="center"/>
    </dxf>
    <dxf>
      <fill>
        <patternFill patternType="solid">
          <bgColor rgb="FF92D050"/>
        </patternFill>
      </fill>
    </dxf>
    <dxf>
      <fill>
        <patternFill patternType="solid">
          <bgColor rgb="FF92D050"/>
        </patternFill>
      </fill>
    </dxf>
    <dxf>
      <alignment wrapText="1"/>
    </dxf>
    <dxf>
      <numFmt numFmtId="14" formatCode="0.00%"/>
    </dxf>
    <dxf>
      <numFmt numFmtId="14" formatCode="0.00%"/>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wrapText="1"/>
    </dxf>
    <dxf>
      <alignment wrapText="1"/>
    </dxf>
    <dxf>
      <alignment vertical="center"/>
    </dxf>
    <dxf>
      <alignment horizontal="center"/>
    </dxf>
    <dxf>
      <numFmt numFmtId="14" formatCode="0.00%"/>
    </dxf>
    <dxf>
      <numFmt numFmtId="14" formatCode="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07.927850578701" createdVersion="8" refreshedVersion="8" minRefreshableVersion="3" recordCount="355" xr:uid="{40232CB4-BD3C-42A1-AAC8-15DF0AB1730B}">
  <cacheSource type="worksheet">
    <worksheetSource ref="A1:U356" sheet="November 25"/>
  </cacheSource>
  <cacheFields count="22">
    <cacheField name="Employee Number" numFmtId="0">
      <sharedItems containsSemiMixedTypes="0" containsString="0" containsNumber="1" containsInteger="1" minValue="100003" maxValue="400048"/>
    </cacheField>
    <cacheField name="Employee " numFmtId="0">
      <sharedItems/>
    </cacheField>
    <cacheField name="DOJ" numFmtId="15">
      <sharedItems containsSemiMixedTypes="0" containsNonDate="0" containsDate="1" containsString="0" minDate="2015-01-15T00:00:00" maxDate="2025-11-27T00:00:00"/>
    </cacheField>
    <cacheField name="November Project Name" numFmtId="0">
      <sharedItems/>
    </cacheField>
    <cacheField name="Leaves " numFmtId="0">
      <sharedItems containsSemiMixedTypes="0" containsString="0" containsNumber="1" minValue="0" maxValue="180"/>
    </cacheField>
    <cacheField name="Holidays" numFmtId="0">
      <sharedItems containsSemiMixedTypes="0" containsString="0" containsNumber="1" containsInteger="1" minValue="0" maxValue="0"/>
    </cacheField>
    <cacheField name="Billable Hours " numFmtId="0">
      <sharedItems containsSemiMixedTypes="0" containsString="0" containsNumber="1" minValue="0" maxValue="180"/>
    </cacheField>
    <cacheField name="Non Billable Hours " numFmtId="0">
      <sharedItems containsSemiMixedTypes="0" containsString="0" containsNumber="1" minValue="0" maxValue="180"/>
    </cacheField>
    <cacheField name="Total Hours " numFmtId="0">
      <sharedItems containsSemiMixedTypes="0" containsString="0" containsNumber="1" containsInteger="1" minValue="27" maxValue="180"/>
    </cacheField>
    <cacheField name="Tota Hrs Exc Leave" numFmtId="0">
      <sharedItems containsSemiMixedTypes="0" containsString="0" containsNumber="1" minValue="0" maxValue="180"/>
    </cacheField>
    <cacheField name="Billable Exc Leaves %" numFmtId="9">
      <sharedItems containsSemiMixedTypes="0" containsString="0" containsNumber="1" minValue="0" maxValue="1"/>
    </cacheField>
    <cacheField name="Non Billable Exc Leaves %" numFmtId="9">
      <sharedItems containsMixedTypes="1" containsNumber="1" minValue="0" maxValue="1"/>
    </cacheField>
    <cacheField name="Utlization Lvl" numFmtId="0">
      <sharedItems/>
    </cacheField>
    <cacheField name="Comments" numFmtId="0">
      <sharedItems/>
    </cacheField>
    <cacheField name="COE/Aixponent/Intern" numFmtId="0">
      <sharedItems count="13">
        <s v="T&amp;M Project"/>
        <s v="Fixed Project"/>
        <s v="COE Gen AI"/>
        <s v="Bench"/>
        <s v="COE - Microsoft - Fabric/Power BI"/>
        <s v="AIXponent Core Team"/>
        <s v="COE - Qlik/Talend"/>
        <s v="COE - Databricks"/>
        <s v="PreSales"/>
        <s v="AIXponent"/>
        <s v="Intern"/>
        <s v="POC"/>
        <s v="UK - Sol Architect"/>
      </sharedItems>
    </cacheField>
    <cacheField name="Billability" numFmtId="0">
      <sharedItems containsBlank="1"/>
    </cacheField>
    <cacheField name="Project name" numFmtId="0">
      <sharedItems/>
    </cacheField>
    <cacheField name="Confirm Project Deployment Date" numFmtId="0">
      <sharedItems containsNonDate="0" containsDate="1" containsString="0" containsBlank="1" minDate="2025-09-15T00:00:00" maxDate="2025-12-09T00:00:00"/>
    </cacheField>
    <cacheField name="Resignation Status" numFmtId="0">
      <sharedItems count="2">
        <s v="No"/>
        <s v="Yes"/>
      </sharedItems>
    </cacheField>
    <cacheField name="LWD" numFmtId="164">
      <sharedItems containsDate="1" containsBlank="1" containsMixedTypes="1" minDate="1899-12-30T00:00:00" maxDate="2026-01-27T00:00:00"/>
    </cacheField>
    <cacheField name="PM Comments" numFmtId="0">
      <sharedItems containsBlank="1"/>
    </cacheField>
    <cacheField name="Utilization %" numFmtId="0" formula="'Billable Hours '/'Tota Hrs Exc Leave'"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ique Shaikh" refreshedDate="46031.497527083331" createdVersion="8" refreshedVersion="8" minRefreshableVersion="3" recordCount="348" xr:uid="{4A44EA2A-608C-48EA-BD6C-F41356E3B800}">
  <cacheSource type="worksheet">
    <worksheetSource ref="A1:U1048576" sheet="December 25"/>
  </cacheSource>
  <cacheFields count="22">
    <cacheField name="Employee Number" numFmtId="0">
      <sharedItems containsString="0" containsBlank="1" containsNumber="1" containsInteger="1" minValue="50004" maxValue="400052"/>
    </cacheField>
    <cacheField name="Employee " numFmtId="0">
      <sharedItems containsBlank="1"/>
    </cacheField>
    <cacheField name="DOJ" numFmtId="0">
      <sharedItems containsNonDate="0" containsDate="1" containsString="0" containsBlank="1" minDate="2015-01-15T00:00:00" maxDate="2025-12-25T00:00:00"/>
    </cacheField>
    <cacheField name="December Project Name" numFmtId="0">
      <sharedItems containsBlank="1"/>
    </cacheField>
    <cacheField name="Leaves " numFmtId="0">
      <sharedItems containsString="0" containsBlank="1" containsNumber="1" minValue="0" maxValue="189"/>
    </cacheField>
    <cacheField name="Holidays" numFmtId="0">
      <sharedItems containsString="0" containsBlank="1" containsNumber="1" containsInteger="1" minValue="0" maxValue="18"/>
    </cacheField>
    <cacheField name="Billable Hours " numFmtId="0">
      <sharedItems containsString="0" containsBlank="1" containsNumber="1" minValue="0" maxValue="198"/>
    </cacheField>
    <cacheField name="Non Billable Hours " numFmtId="0">
      <sharedItems containsString="0" containsBlank="1" containsNumber="1" minValue="0" maxValue="207"/>
    </cacheField>
    <cacheField name="Total Hours " numFmtId="0">
      <sharedItems containsString="0" containsBlank="1" containsNumber="1" containsInteger="1" minValue="0" maxValue="207"/>
    </cacheField>
    <cacheField name="Tota Hrs Exc Leave" numFmtId="0">
      <sharedItems containsString="0" containsBlank="1" containsNumber="1" minValue="0" maxValue="207"/>
    </cacheField>
    <cacheField name="Billable Exc Leaves %" numFmtId="0">
      <sharedItems containsString="0" containsBlank="1" containsNumber="1" minValue="0" maxValue="1"/>
    </cacheField>
    <cacheField name="Non Billable Exc Leaves %" numFmtId="0">
      <sharedItems containsBlank="1" containsMixedTypes="1" containsNumber="1" minValue="0" maxValue="1"/>
    </cacheField>
    <cacheField name="Utlization Lvl" numFmtId="0">
      <sharedItems containsBlank="1"/>
    </cacheField>
    <cacheField name="Comments" numFmtId="0">
      <sharedItems containsBlank="1"/>
    </cacheField>
    <cacheField name="COE/Aixponent/Intern" numFmtId="0">
      <sharedItems containsBlank="1" count="24">
        <s v="T&amp;M Project"/>
        <s v="Fixed Project"/>
        <s v="AIXponent Core Team"/>
        <s v="Bench"/>
        <s v="Maternity Leave"/>
        <s v="AIXponent Core Team Support"/>
        <s v="Aixponent"/>
        <s v="COE - Qlik/Talend"/>
        <s v="Resignation_Bench"/>
        <s v="COE Gen AI"/>
        <s v="PreSales"/>
        <s v="COE - Databricks"/>
        <s v="Resgination_Project"/>
        <s v="Bench/POC"/>
        <s v="COE - Microsoft - Fabric/Power BI"/>
        <s v="UK Delivery Manager"/>
        <s v="Intern"/>
        <s v="Intern - COE"/>
        <m/>
        <s v="UK - Sol Architect" u="1"/>
        <s v="COE" u="1"/>
        <s v="Databricks Center of Excellence (CoE) - Internal" u="1"/>
        <s v="" u="1"/>
        <s v="M_Leave" u="1"/>
      </sharedItems>
    </cacheField>
    <cacheField name="Billability" numFmtId="0">
      <sharedItems containsBlank="1"/>
    </cacheField>
    <cacheField name="Project name" numFmtId="0">
      <sharedItems containsBlank="1"/>
    </cacheField>
    <cacheField name="Confirm Project Deployment Date" numFmtId="0">
      <sharedItems containsNonDate="0" containsDate="1" containsString="0" containsBlank="1" minDate="2025-12-09T00:00:00" maxDate="2026-01-13T00:00:00"/>
    </cacheField>
    <cacheField name="Resignation Status" numFmtId="0">
      <sharedItems containsBlank="1" count="3">
        <s v="No"/>
        <s v="Yes"/>
        <m/>
      </sharedItems>
    </cacheField>
    <cacheField name="LWD" numFmtId="0">
      <sharedItems containsDate="1" containsBlank="1" containsMixedTypes="1" minDate="2025-12-01T00:00:00" maxDate="2026-04-03T00:00:00"/>
    </cacheField>
    <cacheField name="PM Comments" numFmtId="0">
      <sharedItems containsNonDate="0" containsString="0" containsBlank="1"/>
    </cacheField>
    <cacheField name="Utlization %" numFmtId="0" formula="'Billable Hours '/'Tota Hrs Exc Leav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5">
  <r>
    <n v="100003"/>
    <s v="Rutuja Samalad"/>
    <d v="2015-01-15T00:00:00"/>
    <s v="BCG -T&amp;M"/>
    <n v="18"/>
    <n v="0"/>
    <n v="162"/>
    <n v="0"/>
    <n v="180"/>
    <n v="162"/>
    <n v="1"/>
    <n v="0"/>
    <s v="Good"/>
    <s v="BCG -T&amp;M - B"/>
    <x v="0"/>
    <s v="No"/>
    <s v="BCG"/>
    <d v="2025-10-30T00:00:00"/>
    <x v="0"/>
    <s v=""/>
    <s v="Will be Non-Billable as per Jitender till someone offboarded from BCG"/>
  </r>
  <r>
    <n v="100007"/>
    <s v="Priyanka Patil"/>
    <d v="2015-11-02T00:00:00"/>
    <s v="ABSLI Qlik Dashboard - Fixed &amp; Fixed T&amp;M"/>
    <n v="18"/>
    <n v="0"/>
    <n v="162"/>
    <n v="0"/>
    <n v="180"/>
    <n v="162"/>
    <n v="1"/>
    <n v="0"/>
    <s v="Good"/>
    <s v="ABSLI Qlik Dashboard - Fixed &amp; Fixed T&amp;M"/>
    <x v="1"/>
    <s v="Yes"/>
    <s v="ABSLI"/>
    <m/>
    <x v="0"/>
    <s v=""/>
    <m/>
  </r>
  <r>
    <n v="100010"/>
    <s v="Devang Sanghavi"/>
    <d v="2016-07-01T00:00:00"/>
    <s v="Endurance Technologies-Dashboard Performance Optimization &amp; Overall Performance Improvement _x000a_EY-ABHL - T&amp;M_x000a_Niva Bupa DWA - Fixed_x000a_TATA AIG T&amp;M"/>
    <n v="9"/>
    <n v="0"/>
    <n v="171"/>
    <n v="0"/>
    <n v="180"/>
    <n v="171"/>
    <n v="1"/>
    <n v="0"/>
    <s v="Good"/>
    <s v="EY-ABHL - T&amp;M_x000a_Niva Bupa DWA - Fixed_x000a_TATA AIG T&amp;M"/>
    <x v="0"/>
    <s v="Yes"/>
    <s v="EY - ABHL"/>
    <m/>
    <x v="0"/>
    <s v=""/>
    <m/>
  </r>
  <r>
    <n v="100012"/>
    <s v="Ashish Bhatia"/>
    <d v="2016-11-24T00:00:00"/>
    <s v="DSS Ashish - T&amp;M"/>
    <n v="27"/>
    <n v="0"/>
    <n v="153"/>
    <n v="0"/>
    <n v="180"/>
    <n v="153"/>
    <n v="1"/>
    <n v="0"/>
    <s v="Good"/>
    <s v="DSS Ashish - T&amp;M"/>
    <x v="0"/>
    <s v="Yes"/>
    <s v="DSS T&amp;M"/>
    <m/>
    <x v="0"/>
    <s v=""/>
    <m/>
  </r>
  <r>
    <n v="100020"/>
    <s v="Gaurav Yardi"/>
    <d v="2017-07-17T00:00:00"/>
    <s v="Niva Bupa  - CR New Reports &amp; Enhancement - T&amp;M"/>
    <n v="45"/>
    <n v="0"/>
    <n v="135"/>
    <n v="0"/>
    <n v="180"/>
    <n v="135"/>
    <n v="1"/>
    <n v="0"/>
    <s v="Good"/>
    <s v="Niva Bupa  - CR New Reports &amp; Enhancement - T&amp;M"/>
    <x v="0"/>
    <s v="Yes"/>
    <s v="Niva Bupa"/>
    <m/>
    <x v="0"/>
    <s v=""/>
    <m/>
  </r>
  <r>
    <n v="100023"/>
    <s v="Onkar Jangam"/>
    <d v="2018-06-12T00:00:00"/>
    <s v="SBI Life T&amp;M"/>
    <n v="27"/>
    <n v="0"/>
    <n v="153"/>
    <n v="0"/>
    <n v="180"/>
    <n v="153"/>
    <n v="1"/>
    <n v="0"/>
    <s v="Good"/>
    <s v="SBI Life T&amp;M"/>
    <x v="0"/>
    <s v="Yes"/>
    <s v="SBI Life"/>
    <m/>
    <x v="1"/>
    <s v=""/>
    <m/>
  </r>
  <r>
    <n v="100030"/>
    <s v="Mitesh Panchal"/>
    <d v="2018-12-19T00:00:00"/>
    <s v="SBI Life T&amp;M"/>
    <n v="36"/>
    <n v="0"/>
    <n v="144"/>
    <n v="0"/>
    <n v="180"/>
    <n v="144"/>
    <n v="1"/>
    <n v="0"/>
    <s v="Good"/>
    <s v="SBI Life T&amp;M"/>
    <x v="0"/>
    <s v="Yes"/>
    <s v="SBI Life"/>
    <m/>
    <x v="1"/>
    <s v=""/>
    <m/>
  </r>
  <r>
    <n v="100031"/>
    <s v="Hansel Fernandes"/>
    <d v="2019-01-02T00:00:00"/>
    <s v="Kemsley Mills"/>
    <n v="9"/>
    <n v="0"/>
    <n v="171"/>
    <n v="0"/>
    <n v="180"/>
    <n v="171"/>
    <n v="1"/>
    <n v="0"/>
    <s v="Good"/>
    <s v="Kemsley Mills"/>
    <x v="1"/>
    <s v="Yes"/>
    <s v="Kemsley Mills"/>
    <m/>
    <x v="0"/>
    <s v=""/>
    <m/>
  </r>
  <r>
    <n v="100032"/>
    <s v="Sayali Kapdule"/>
    <d v="2019-01-21T00:00:00"/>
    <s v="HDFC Life Bis - T&amp;M"/>
    <n v="9"/>
    <n v="0"/>
    <n v="171"/>
    <n v="0"/>
    <n v="180"/>
    <n v="171"/>
    <n v="1"/>
    <n v="0"/>
    <s v="Good"/>
    <s v="HDFC Life Bis - T&amp;M"/>
    <x v="0"/>
    <s v="Yes"/>
    <s v="HDFC Life Bis"/>
    <m/>
    <x v="0"/>
    <s v=""/>
    <m/>
  </r>
  <r>
    <n v="100036"/>
    <s v="Dhanaji Roman"/>
    <d v="2019-02-18T00:00:00"/>
    <s v="SBI Life T&amp;M"/>
    <n v="18"/>
    <n v="0"/>
    <n v="162"/>
    <n v="0"/>
    <n v="180"/>
    <n v="162"/>
    <n v="1"/>
    <n v="0"/>
    <s v="Good"/>
    <s v="SBI Life T&amp;M"/>
    <x v="0"/>
    <s v="Yes"/>
    <s v="SBI Life"/>
    <m/>
    <x v="0"/>
    <s v=""/>
    <m/>
  </r>
  <r>
    <n v="100040"/>
    <s v="Bapu Damare"/>
    <d v="2019-03-18T00:00:00"/>
    <s v="Adani Logistics"/>
    <n v="90"/>
    <n v="0"/>
    <n v="90"/>
    <n v="0"/>
    <n v="180"/>
    <n v="90"/>
    <n v="1"/>
    <n v="0"/>
    <s v="Good"/>
    <s v="Adani Logistics"/>
    <x v="1"/>
    <s v="Yes"/>
    <s v="Adani Logistics"/>
    <m/>
    <x v="0"/>
    <s v=""/>
    <m/>
  </r>
  <r>
    <n v="100042"/>
    <s v="Sumit Shinde"/>
    <d v="2019-04-03T00:00:00"/>
    <s v="ABSLI Qlik Dashboard - Fixed &amp; Fixed T&amp;M"/>
    <n v="9"/>
    <n v="0"/>
    <n v="171"/>
    <n v="0"/>
    <n v="180"/>
    <n v="171"/>
    <n v="1"/>
    <n v="0"/>
    <s v="Good"/>
    <s v="ABSLI - B"/>
    <x v="1"/>
    <s v="Yes"/>
    <s v="ABSLI"/>
    <m/>
    <x v="0"/>
    <s v=""/>
    <m/>
  </r>
  <r>
    <n v="100046"/>
    <s v="Chirag Nakrani"/>
    <d v="2019-04-22T00:00:00"/>
    <s v="Talent Pool - India_x000a_Data Coach _x000a_Niva Bupa  - CR New Reports &amp; Enhancement - T&amp;M"/>
    <n v="9"/>
    <n v="0"/>
    <n v="99"/>
    <n v="72"/>
    <n v="180"/>
    <n v="171"/>
    <n v="0.57894736842105265"/>
    <n v="0.42105263157894735"/>
    <s v="Critical"/>
    <s v="Talent Pool - India - NB_x000a_Niva Bupa  - CR New Reports &amp; Enhancement - T&amp;M - B ( 50% Billable only )_x000a_DataCoach - B"/>
    <x v="1"/>
    <s v="Yes"/>
    <s v="Mankind"/>
    <d v="2025-11-26T00:00:00"/>
    <x v="0"/>
    <s v=""/>
    <s v="50 % Billable in Niva Bupa CR "/>
  </r>
  <r>
    <n v="100052"/>
    <s v="Chalapathi Rao"/>
    <d v="2019-06-17T00:00:00"/>
    <s v="AIXponent - Internal_x000a_Data Science &amp; ML Center of Excellence (COE) _x000a_Data Coach _x000a_TATA AIG AIxponent Implementation - Fixed"/>
    <n v="0"/>
    <n v="0"/>
    <n v="5"/>
    <n v="175"/>
    <n v="180"/>
    <n v="180"/>
    <n v="2.7777777777777776E-2"/>
    <n v="0.97222222222222221"/>
    <s v="Critical"/>
    <s v="AIXponent - Internal - NB_x000a_TATA AIG AIxponent Implementation - Fixed - NB_x000a_Data Coach - B_x000a_Data Science &amp; ML Center of Excellence - NB"/>
    <x v="2"/>
    <s v="No"/>
    <s v="TATA AIG AIX"/>
    <m/>
    <x v="0"/>
    <s v=""/>
    <m/>
  </r>
  <r>
    <n v="100053"/>
    <s v="Vaishnavi Singh"/>
    <d v="2019-06-27T00:00:00"/>
    <s v="Talent Pool - India"/>
    <n v="0"/>
    <n v="0"/>
    <n v="0"/>
    <n v="180"/>
    <n v="180"/>
    <n v="180"/>
    <n v="0"/>
    <n v="1"/>
    <s v="Critical"/>
    <s v="Talent Pool - India - NB"/>
    <x v="3"/>
    <s v="No"/>
    <s v="Bench"/>
    <m/>
    <x v="0"/>
    <s v=""/>
    <m/>
  </r>
  <r>
    <n v="100056"/>
    <s v="Swapna Rachcha"/>
    <d v="2019-07-11T00:00:00"/>
    <s v="BCG -T&amp;M"/>
    <n v="0"/>
    <n v="0"/>
    <n v="45"/>
    <n v="0"/>
    <n v="45"/>
    <n v="45"/>
    <n v="1"/>
    <n v="0"/>
    <s v="Good"/>
    <s v="BCG -T&amp;M"/>
    <x v="0"/>
    <s v="Yes"/>
    <s v="BCG"/>
    <m/>
    <x v="1"/>
    <d v="2025-11-12T00:00:00"/>
    <m/>
  </r>
  <r>
    <n v="100060"/>
    <s v="Shubham Saraswat"/>
    <d v="2019-12-02T00:00:00"/>
    <s v="Eligarf TUI T&amp;M"/>
    <n v="9"/>
    <n v="0"/>
    <n v="171"/>
    <n v="0"/>
    <n v="180"/>
    <n v="171"/>
    <n v="1"/>
    <n v="0"/>
    <s v="Good"/>
    <s v="Eligarf TUI T&amp;M"/>
    <x v="0"/>
    <s v="Yes"/>
    <s v="Eligarf TUI"/>
    <m/>
    <x v="0"/>
    <s v=""/>
    <m/>
  </r>
  <r>
    <n v="100068"/>
    <s v="Sagar Bane"/>
    <d v="2020-02-10T00:00:00"/>
    <s v="Eligarf TUI T&amp;M"/>
    <n v="27"/>
    <n v="0"/>
    <n v="153"/>
    <n v="0"/>
    <n v="180"/>
    <n v="153"/>
    <n v="1"/>
    <n v="0"/>
    <s v="Good"/>
    <s v="Eligarf TUI T&amp;M"/>
    <x v="0"/>
    <s v="Yes"/>
    <s v="Eligarf TUI"/>
    <m/>
    <x v="0"/>
    <s v=""/>
    <m/>
  </r>
  <r>
    <n v="100078"/>
    <s v="Tanmayee Rawle"/>
    <d v="2020-10-01T00:00:00"/>
    <s v="ABSLI Qlik Dashboard - Fixed &amp; Fixed T&amp;M"/>
    <n v="0"/>
    <n v="0"/>
    <n v="180"/>
    <n v="0"/>
    <n v="180"/>
    <n v="180"/>
    <n v="1"/>
    <n v="0"/>
    <s v="Good"/>
    <s v="ABSLI Qlik Dashboard - Fixed &amp; Fixed T&amp;M"/>
    <x v="0"/>
    <s v="Yes"/>
    <s v="ABSLI"/>
    <m/>
    <x v="0"/>
    <s v=""/>
    <m/>
  </r>
  <r>
    <n v="100081"/>
    <s v="Mandar Kadam"/>
    <d v="2020-11-19T00:00:00"/>
    <s v="Emory - Fixed"/>
    <n v="27"/>
    <n v="0"/>
    <n v="153"/>
    <n v="0"/>
    <n v="180"/>
    <n v="153"/>
    <n v="1"/>
    <n v="0"/>
    <s v="Good"/>
    <s v="Emory - Fixed"/>
    <x v="4"/>
    <s v="Yes"/>
    <s v="Emory"/>
    <m/>
    <x v="0"/>
    <s v=""/>
    <m/>
  </r>
  <r>
    <n v="100086"/>
    <s v="Sharmistha Ghosh"/>
    <d v="2020-11-23T00:00:00"/>
    <s v="Talent Pool - India_x000a_Data Coach _x000a_Nuvama Gen AI - Fixed_x000a_TATA AIG AIxponent Implementation - Fixed"/>
    <n v="9"/>
    <n v="0"/>
    <n v="163"/>
    <n v="8"/>
    <n v="180"/>
    <n v="171"/>
    <n v="0.95321637426900585"/>
    <n v="4.6783625730994149E-2"/>
    <s v="Good"/>
    <s v="Nuvama Gen AI - Fixed - NB_x000a_TATA AIG AIxponent Implementation - Fixed - B"/>
    <x v="1"/>
    <s v="Yes"/>
    <s v="Multiple Projects"/>
    <m/>
    <x v="0"/>
    <s v=""/>
    <m/>
  </r>
  <r>
    <n v="100089"/>
    <s v="Rutuja Limaye"/>
    <d v="2020-12-09T00:00:00"/>
    <s v="Odyssey Hotels Group"/>
    <n v="0"/>
    <n v="0"/>
    <n v="180"/>
    <n v="0"/>
    <n v="180"/>
    <n v="180"/>
    <n v="1"/>
    <n v="0"/>
    <s v="Good"/>
    <s v="Odyssey Hotels Group"/>
    <x v="1"/>
    <s v="Yes"/>
    <s v="Odyssey"/>
    <m/>
    <x v="0"/>
    <s v=""/>
    <m/>
  </r>
  <r>
    <n v="100090"/>
    <s v="Hitesh Satange"/>
    <d v="2020-12-09T00:00:00"/>
    <s v="HDFC Life Data Lab - T&amp;M"/>
    <n v="13.5"/>
    <n v="0"/>
    <n v="166.5"/>
    <n v="0"/>
    <n v="180"/>
    <n v="166.5"/>
    <n v="1"/>
    <n v="0"/>
    <s v="Good"/>
    <s v="HDFC Life Data Lab - T&amp;M"/>
    <x v="0"/>
    <s v="Yes"/>
    <s v="HDFC Life Data Lab"/>
    <m/>
    <x v="1"/>
    <d v="2026-01-23T00:00:00"/>
    <m/>
  </r>
  <r>
    <n v="100096"/>
    <s v="Suyog Hemant Patil"/>
    <d v="2020-12-25T00:00:00"/>
    <s v="HDFC Life Data Lab - T&amp;M"/>
    <n v="9"/>
    <n v="0"/>
    <n v="171"/>
    <n v="0"/>
    <n v="180"/>
    <n v="171"/>
    <n v="1"/>
    <n v="0"/>
    <s v="Good"/>
    <s v="HDFC Life Data Lab - T&amp;M"/>
    <x v="0"/>
    <s v="Yes"/>
    <s v="HDFC Life Data Lab"/>
    <m/>
    <x v="0"/>
    <s v=""/>
    <m/>
  </r>
  <r>
    <n v="100102"/>
    <s v="Rahul Arshad"/>
    <d v="2021-01-01T00:00:00"/>
    <s v="HDFC Life SalesTap - Fixed / T&amp;M"/>
    <n v="18"/>
    <n v="0"/>
    <n v="162"/>
    <n v="0"/>
    <n v="180"/>
    <n v="162"/>
    <n v="1"/>
    <n v="0"/>
    <s v="Good"/>
    <s v="HDFC Life SalesTap - Fixed / T&amp;M"/>
    <x v="0"/>
    <s v="Yes"/>
    <s v="HDFC Life SalesTap"/>
    <m/>
    <x v="0"/>
    <s v=""/>
    <m/>
  </r>
  <r>
    <n v="100099"/>
    <s v="Vikash Singh"/>
    <d v="2021-01-07T00:00:00"/>
    <s v="Adani Logistics"/>
    <n v="18"/>
    <n v="0"/>
    <n v="162"/>
    <n v="0"/>
    <n v="180"/>
    <n v="162"/>
    <n v="1"/>
    <n v="0"/>
    <s v="Good"/>
    <s v="Adani Logistics"/>
    <x v="1"/>
    <s v="Yes"/>
    <s v="Adani Logistics"/>
    <m/>
    <x v="0"/>
    <s v=""/>
    <m/>
  </r>
  <r>
    <n v="100104"/>
    <s v="Aman Verma"/>
    <d v="2021-01-15T00:00:00"/>
    <s v="Translation Application_x000a_AIXponent - Internal"/>
    <n v="0"/>
    <n v="0"/>
    <n v="90"/>
    <n v="90"/>
    <n v="180"/>
    <n v="180"/>
    <n v="0.5"/>
    <n v="0.5"/>
    <s v="Critical"/>
    <s v="Translation Application - B_x000a_Aixponent - NB"/>
    <x v="1"/>
    <s v="Yes"/>
    <s v="Translation Application"/>
    <d v="2025-10-14T00:00:00"/>
    <x v="0"/>
    <s v=""/>
    <m/>
  </r>
  <r>
    <n v="100108"/>
    <s v="Janhavi Sanchit Patil"/>
    <d v="2021-01-22T00:00:00"/>
    <s v="HDFC Life Bis - T&amp;M"/>
    <n v="45"/>
    <n v="0"/>
    <n v="135"/>
    <n v="0"/>
    <n v="180"/>
    <n v="135"/>
    <n v="1"/>
    <n v="0"/>
    <s v="Good"/>
    <s v="HDFC Life Bis - T&amp;M"/>
    <x v="0"/>
    <s v="Yes"/>
    <s v="HDFC Life Bis"/>
    <m/>
    <x v="0"/>
    <s v=""/>
    <m/>
  </r>
  <r>
    <n v="100109"/>
    <s v="Bilal khan"/>
    <d v="2021-01-25T00:00:00"/>
    <s v="Transporeon - Data ingesiton"/>
    <n v="0"/>
    <n v="0"/>
    <n v="135"/>
    <n v="18"/>
    <n v="153"/>
    <n v="153"/>
    <n v="0.88235294117647056"/>
    <n v="0.11764705882352941"/>
    <s v="Good"/>
    <s v="Transporeon - Data ingesiton"/>
    <x v="1"/>
    <s v="Yes"/>
    <s v="DS Smith - Transporeon"/>
    <d v="2025-10-30T00:00:00"/>
    <x v="1"/>
    <d v="2025-11-25T00:00:00"/>
    <m/>
  </r>
  <r>
    <n v="100110"/>
    <s v="Venkatasuman Jada"/>
    <d v="2021-01-27T00:00:00"/>
    <s v="Talent Pool - India"/>
    <n v="45"/>
    <n v="0"/>
    <n v="0"/>
    <n v="135"/>
    <n v="180"/>
    <n v="135"/>
    <n v="0"/>
    <n v="1"/>
    <s v="Critical"/>
    <s v="Talent Pool - India - NB"/>
    <x v="3"/>
    <s v="No"/>
    <s v="Bench"/>
    <m/>
    <x v="0"/>
    <s v=""/>
    <m/>
  </r>
  <r>
    <n v="100115"/>
    <s v="Shashikant Maurya"/>
    <d v="2021-02-16T00:00:00"/>
    <s v="Talent Pool - India_x000a_TATA AIG AIxponent Implementation - Fixed"/>
    <n v="54"/>
    <n v="0"/>
    <n v="94"/>
    <n v="32"/>
    <n v="180"/>
    <n v="126"/>
    <n v="0.74603174603174605"/>
    <n v="0.25396825396825395"/>
    <s v="Critical"/>
    <s v="TATA AIG AIxponent Implementation - Fixed - B_x000a_Talent Pool - India - NB"/>
    <x v="1"/>
    <s v="Yes"/>
    <s v="TATA AIG AIX"/>
    <m/>
    <x v="0"/>
    <s v=""/>
    <m/>
  </r>
  <r>
    <n v="100116"/>
    <s v="Abhishek Thalanki"/>
    <d v="2021-03-01T00:00:00"/>
    <s v="Eligraph Mediavision T&amp;M"/>
    <n v="0"/>
    <n v="0"/>
    <n v="180"/>
    <n v="0"/>
    <n v="180"/>
    <n v="180"/>
    <n v="1"/>
    <n v="0"/>
    <s v="Good"/>
    <s v="Eligraph Mediavision T&amp;M"/>
    <x v="0"/>
    <s v="Yes"/>
    <s v="Eligraph Mediavision"/>
    <m/>
    <x v="0"/>
    <s v=""/>
    <m/>
  </r>
  <r>
    <n v="100117"/>
    <s v="Sweta Dedhia"/>
    <d v="2021-03-09T00:00:00"/>
    <s v=""/>
    <n v="180"/>
    <n v="0"/>
    <n v="0"/>
    <n v="0"/>
    <n v="180"/>
    <n v="0"/>
    <n v="0"/>
    <s v=""/>
    <s v="Critical"/>
    <s v="M_Leave"/>
    <x v="3"/>
    <s v="No"/>
    <s v="Bench"/>
    <m/>
    <x v="0"/>
    <s v=""/>
    <m/>
  </r>
  <r>
    <n v="100118"/>
    <s v="Lakshay Sharma"/>
    <d v="2021-03-10T00:00:00"/>
    <s v="Novel Jewels Opp ( Power BI + SQL ) - T&amp;M"/>
    <n v="27"/>
    <n v="0"/>
    <n v="153"/>
    <n v="0"/>
    <n v="180"/>
    <n v="153"/>
    <n v="1"/>
    <n v="0"/>
    <s v="Good"/>
    <s v="Novel Jewels Opp ( Power BI + SQL ) - T&amp;M"/>
    <x v="0"/>
    <s v="Yes"/>
    <s v="Novel Jewels Opp"/>
    <m/>
    <x v="0"/>
    <s v=""/>
    <m/>
  </r>
  <r>
    <n v="100121"/>
    <s v="Ravi Pachipala"/>
    <d v="2021-03-11T00:00:00"/>
    <s v="Poonawalla Fincorp - T&amp;M"/>
    <n v="36"/>
    <n v="0"/>
    <n v="135"/>
    <n v="0"/>
    <n v="171"/>
    <n v="135"/>
    <n v="1"/>
    <n v="0"/>
    <s v="Good"/>
    <s v="Poonawalla Fincorp - T&amp;M - B"/>
    <x v="0"/>
    <s v="Yes"/>
    <s v="Poonawalla Fincorp"/>
    <m/>
    <x v="0"/>
    <s v=""/>
    <m/>
  </r>
  <r>
    <n v="100130"/>
    <s v="Praneeth Reddy"/>
    <d v="2021-04-01T00:00:00"/>
    <s v="HDFC Life Digi Lab - T&amp;M"/>
    <n v="18"/>
    <n v="0"/>
    <n v="162"/>
    <n v="0"/>
    <n v="180"/>
    <n v="162"/>
    <n v="1"/>
    <n v="0"/>
    <s v="Good"/>
    <s v="HDFC Life Digi Lab - T&amp;M"/>
    <x v="0"/>
    <s v="Yes"/>
    <s v="HDFC Life Digi Lab"/>
    <m/>
    <x v="0"/>
    <s v=""/>
    <m/>
  </r>
  <r>
    <n v="100127"/>
    <s v="Shuchi Jain"/>
    <d v="2021-04-12T00:00:00"/>
    <s v="GCPL - T&amp;M"/>
    <n v="0"/>
    <n v="0"/>
    <n v="180"/>
    <n v="0"/>
    <n v="180"/>
    <n v="180"/>
    <n v="1"/>
    <n v="0"/>
    <s v="Good"/>
    <s v="GCPL - T&amp;M"/>
    <x v="0"/>
    <s v="Yes"/>
    <s v="GCPL"/>
    <m/>
    <x v="0"/>
    <s v=""/>
    <m/>
  </r>
  <r>
    <n v="100135"/>
    <s v="Ashwini Jadhav"/>
    <d v="2021-05-11T00:00:00"/>
    <s v="Qlik Tech T&amp;M"/>
    <n v="4.5"/>
    <n v="0"/>
    <n v="175.5"/>
    <n v="0"/>
    <n v="180"/>
    <n v="175.5"/>
    <n v="1"/>
    <n v="0"/>
    <s v="Good"/>
    <s v="Qlik Tech T&amp;M"/>
    <x v="0"/>
    <s v="Yes"/>
    <s v="Qlik Tech"/>
    <m/>
    <x v="0"/>
    <s v=""/>
    <m/>
  </r>
  <r>
    <n v="100147"/>
    <s v="Archita Redij"/>
    <d v="2021-06-01T00:00:00"/>
    <s v="BCG -T&amp;M"/>
    <n v="18"/>
    <n v="0"/>
    <n v="162"/>
    <n v="0"/>
    <n v="180"/>
    <n v="162"/>
    <n v="1"/>
    <n v="0"/>
    <s v="Good"/>
    <s v="BCG -T&amp;M"/>
    <x v="0"/>
    <s v="Yes"/>
    <s v="BCG"/>
    <m/>
    <x v="0"/>
    <s v=""/>
    <m/>
  </r>
  <r>
    <n v="100149"/>
    <s v="Sonal Panchal"/>
    <d v="2021-06-24T00:00:00"/>
    <s v="AIXponent - Internal_x000a_Talent Pool - India_x000a_Qlik QAP_x000a_Nuvama Gen AI - Fixed"/>
    <n v="9"/>
    <n v="0"/>
    <n v="80.78"/>
    <n v="90.22"/>
    <n v="180"/>
    <n v="171"/>
    <n v="0.47239766081871348"/>
    <n v="0.52760233918128652"/>
    <s v="Critical"/>
    <s v="AIXponent - Internal - NB_x000a_Qlik QAP - B_x000a_Nuvama - B_x000a_Talent Pool - India - NB"/>
    <x v="5"/>
    <s v="No"/>
    <s v="Multiple Projects"/>
    <m/>
    <x v="0"/>
    <s v=""/>
    <m/>
  </r>
  <r>
    <n v="100153"/>
    <s v="Ashwini Yogesh Ladhe"/>
    <d v="2021-07-15T00:00:00"/>
    <s v="Talent Pool - India_x000a_Finance P&amp;L Dashboard - Fixed_x000a_Niva Bupa DWA - Fixed_x000a_Qlik Tech T&amp;M"/>
    <n v="22.5"/>
    <n v="0"/>
    <n v="130"/>
    <n v="27.5"/>
    <n v="180"/>
    <n v="157.5"/>
    <n v="0.82539682539682535"/>
    <n v="0.17460317460317459"/>
    <s v="Critical"/>
    <s v="Finance P&amp;L Dashboard - Fixed - B_x000a_Niva Bupa DWA - Fixed - B_x000a_Talent Pool - NB_x000a_Qlik Tech - B"/>
    <x v="1"/>
    <s v="Yes"/>
    <s v="Niva Bupa"/>
    <m/>
    <x v="0"/>
    <s v=""/>
    <m/>
  </r>
  <r>
    <n v="100156"/>
    <s v="Priyanka Bijjargi"/>
    <d v="2021-08-02T00:00:00"/>
    <s v="E Invoicing - Fixed"/>
    <n v="36"/>
    <n v="0"/>
    <n v="144"/>
    <n v="0"/>
    <n v="180"/>
    <n v="144"/>
    <n v="1"/>
    <n v="0"/>
    <s v="Good"/>
    <s v="E Invoicing - Fixed"/>
    <x v="1"/>
    <s v="Yes"/>
    <s v="E Invoicing"/>
    <m/>
    <x v="0"/>
    <s v=""/>
    <m/>
  </r>
  <r>
    <n v="100157"/>
    <s v="Nidhi Gupta"/>
    <d v="2021-08-12T00:00:00"/>
    <s v="Datafactory - T&amp;M"/>
    <n v="13.5"/>
    <n v="0"/>
    <n v="166.5"/>
    <n v="0"/>
    <n v="180"/>
    <n v="166.5"/>
    <n v="1"/>
    <n v="0"/>
    <s v="Good"/>
    <s v="Datafactory - T&amp;M"/>
    <x v="0"/>
    <s v="Yes"/>
    <s v="DSS - Production Support"/>
    <d v="2025-10-29T00:00:00"/>
    <x v="0"/>
    <s v=""/>
    <m/>
  </r>
  <r>
    <n v="100166"/>
    <s v="Roma Mukhi"/>
    <d v="2021-09-14T00:00:00"/>
    <s v="Datafactory - T&amp;M"/>
    <n v="9"/>
    <n v="0"/>
    <n v="171"/>
    <n v="0"/>
    <n v="180"/>
    <n v="171"/>
    <n v="1"/>
    <n v="0"/>
    <s v="Good"/>
    <s v="Datafactory - T&amp;M"/>
    <x v="0"/>
    <s v="Yes"/>
    <s v="Datafactory"/>
    <m/>
    <x v="0"/>
    <s v=""/>
    <m/>
  </r>
  <r>
    <n v="100167"/>
    <s v="Karan Mansukhani"/>
    <d v="2021-09-15T00:00:00"/>
    <s v="SBI Life T&amp;M"/>
    <n v="27"/>
    <n v="0"/>
    <n v="153"/>
    <n v="0"/>
    <n v="180"/>
    <n v="153"/>
    <n v="1"/>
    <n v="0"/>
    <s v="Good"/>
    <s v="SBI Life T&amp;M"/>
    <x v="0"/>
    <s v="Yes"/>
    <s v="SBI Life"/>
    <m/>
    <x v="0"/>
    <s v=""/>
    <m/>
  </r>
  <r>
    <n v="100170"/>
    <s v="Nidhi Bhasker"/>
    <d v="2021-09-27T00:00:00"/>
    <s v="Mondelez Manufacturing Report - T&amp;M"/>
    <n v="9"/>
    <n v="0"/>
    <n v="171"/>
    <n v="0"/>
    <n v="180"/>
    <n v="171"/>
    <n v="1"/>
    <n v="0"/>
    <s v="Good"/>
    <s v="Mondelez Manufacturing Report - T&amp;M"/>
    <x v="0"/>
    <s v="Yes"/>
    <s v="Mondelez Manufacturing Report"/>
    <m/>
    <x v="0"/>
    <s v=""/>
    <m/>
  </r>
  <r>
    <n v="100171"/>
    <s v="Yogesh Arekar"/>
    <d v="2021-09-30T00:00:00"/>
    <s v="TATA AIG T&amp;M"/>
    <n v="18"/>
    <n v="0"/>
    <n v="162"/>
    <n v="0"/>
    <n v="180"/>
    <n v="162"/>
    <n v="1"/>
    <n v="0"/>
    <s v="Good"/>
    <s v="TATA AIG T&amp;M"/>
    <x v="0"/>
    <s v="Yes"/>
    <s v="TATA AIG"/>
    <m/>
    <x v="0"/>
    <s v=""/>
    <m/>
  </r>
  <r>
    <n v="100192"/>
    <s v="Bansari Tanna"/>
    <d v="2021-10-11T00:00:00"/>
    <s v="AIXponent - Internal_x000a_TATA AIG AIxponent Implementation - Fixed"/>
    <n v="4.5"/>
    <n v="0"/>
    <n v="93"/>
    <n v="82.5"/>
    <n v="180"/>
    <n v="175.5"/>
    <n v="0.52991452991452992"/>
    <n v="0.47008547008547008"/>
    <s v="Critical"/>
    <s v="AIXponent - Internal - NB_x000a_TATA AIG AIxponent Implementation - Fixed - B"/>
    <x v="1"/>
    <s v="Yes"/>
    <s v="TATA AIG AIX"/>
    <m/>
    <x v="0"/>
    <s v=""/>
    <m/>
  </r>
  <r>
    <n v="100181"/>
    <s v="Sagar Vadsola"/>
    <d v="2021-10-19T00:00:00"/>
    <s v="TATA AIG T&amp;M"/>
    <n v="18"/>
    <n v="0"/>
    <n v="162"/>
    <n v="0"/>
    <n v="180"/>
    <n v="162"/>
    <n v="1"/>
    <n v="0"/>
    <s v="Good"/>
    <s v="TATA AIG T&amp;M"/>
    <x v="0"/>
    <s v="Yes"/>
    <s v="TATA AIG"/>
    <m/>
    <x v="0"/>
    <s v=""/>
    <m/>
  </r>
  <r>
    <n v="100188"/>
    <s v="Kajal Poojari"/>
    <d v="2021-11-08T00:00:00"/>
    <s v="Talent Pool - India_x000a_Emory - Fixed"/>
    <n v="0"/>
    <n v="0"/>
    <n v="126"/>
    <n v="54"/>
    <n v="180"/>
    <n v="180"/>
    <n v="0.7"/>
    <n v="0.3"/>
    <s v="Critical"/>
    <s v="Talent Pool - India - NB_x000a_Emory - B"/>
    <x v="1"/>
    <s v="Yes"/>
    <s v="Emory"/>
    <d v="2025-11-11T00:00:00"/>
    <x v="0"/>
    <s v=""/>
    <m/>
  </r>
  <r>
    <n v="100189"/>
    <s v="Meghana Pillay"/>
    <d v="2021-11-08T00:00:00"/>
    <s v="SBI Life T&amp;M"/>
    <n v="27"/>
    <n v="0"/>
    <n v="153"/>
    <n v="0"/>
    <n v="180"/>
    <n v="153"/>
    <n v="1"/>
    <n v="0"/>
    <s v="Good"/>
    <s v="SBI Life T&amp;M"/>
    <x v="0"/>
    <s v="Yes"/>
    <s v="SBI Life"/>
    <m/>
    <x v="0"/>
    <s v=""/>
    <m/>
  </r>
  <r>
    <n v="100186"/>
    <s v="Vikas Mishra"/>
    <d v="2021-11-08T00:00:00"/>
    <s v="Loyalty Barcode into Databricks - Fixed"/>
    <n v="0"/>
    <n v="0"/>
    <n v="54"/>
    <n v="0"/>
    <n v="54"/>
    <n v="54"/>
    <n v="1"/>
    <n v="0"/>
    <s v="Good"/>
    <s v="Loyalty Barcode into Databricks - Fixed"/>
    <x v="1"/>
    <s v="Yes"/>
    <s v="Loyality Barcode into Databricks"/>
    <m/>
    <x v="1"/>
    <d v="2025-11-11T00:00:00"/>
    <m/>
  </r>
  <r>
    <n v="100195"/>
    <s v="Nida Jawre"/>
    <d v="2021-11-22T00:00:00"/>
    <s v="HDFC Life Data Lab - T&amp;M"/>
    <n v="36"/>
    <n v="0"/>
    <n v="144"/>
    <n v="0"/>
    <n v="180"/>
    <n v="144"/>
    <n v="1"/>
    <n v="0"/>
    <s v="Good"/>
    <s v="HDFC Life Data Lab - T&amp;M"/>
    <x v="0"/>
    <s v="Yes"/>
    <s v="HDFC Life Data Lab"/>
    <m/>
    <x v="0"/>
    <s v=""/>
    <m/>
  </r>
  <r>
    <n v="100196"/>
    <s v="Sonal Patil"/>
    <d v="2021-12-01T00:00:00"/>
    <s v="TATA AIG T&amp;M"/>
    <n v="0"/>
    <n v="0"/>
    <n v="180"/>
    <n v="0"/>
    <n v="180"/>
    <n v="180"/>
    <n v="1"/>
    <n v="0"/>
    <s v="Good"/>
    <s v="TATA AIG T&amp;M"/>
    <x v="0"/>
    <s v="Yes"/>
    <s v="TATA AIG"/>
    <m/>
    <x v="0"/>
    <s v=""/>
    <m/>
  </r>
  <r>
    <n v="100199"/>
    <s v="Mehul Rane"/>
    <d v="2021-12-20T00:00:00"/>
    <s v="HDFC Life Digi Lab - T&amp;M"/>
    <n v="18"/>
    <n v="0"/>
    <n v="162"/>
    <n v="0"/>
    <n v="180"/>
    <n v="162"/>
    <n v="1"/>
    <n v="0"/>
    <s v="Good"/>
    <s v="HDFC Life Digi Lab - T&amp;M"/>
    <x v="0"/>
    <s v="Yes"/>
    <s v="HDFC Life Digi Lab"/>
    <m/>
    <x v="0"/>
    <s v=""/>
    <m/>
  </r>
  <r>
    <n v="100200"/>
    <s v="Rupesh Saw"/>
    <d v="2021-12-24T00:00:00"/>
    <s v="E2E South - T&amp;M"/>
    <n v="27"/>
    <n v="0"/>
    <n v="153"/>
    <n v="0"/>
    <n v="180"/>
    <n v="153"/>
    <n v="1"/>
    <n v="0"/>
    <s v="Good"/>
    <s v="E2E South - T&amp;M"/>
    <x v="0"/>
    <s v="Yes"/>
    <s v="E2E South"/>
    <m/>
    <x v="0"/>
    <s v=""/>
    <m/>
  </r>
  <r>
    <n v="100204"/>
    <s v="Bhushan Mahajan"/>
    <d v="2021-12-27T00:00:00"/>
    <s v="SBI Life T&amp;M"/>
    <n v="0"/>
    <n v="0"/>
    <n v="180"/>
    <n v="0"/>
    <n v="180"/>
    <n v="180"/>
    <n v="1"/>
    <n v="0"/>
    <s v="Good"/>
    <s v="SBI Life T&amp;M"/>
    <x v="0"/>
    <s v="Yes"/>
    <s v="SBI Life"/>
    <m/>
    <x v="0"/>
    <s v=""/>
    <m/>
  </r>
  <r>
    <n v="100206"/>
    <s v="Basavaraj Korwar"/>
    <d v="2022-01-03T00:00:00"/>
    <s v="Xanadu - T&amp;M"/>
    <n v="36"/>
    <n v="0"/>
    <n v="144"/>
    <n v="0"/>
    <n v="180"/>
    <n v="144"/>
    <n v="1"/>
    <n v="0"/>
    <s v="Good"/>
    <s v="Xanadu - T&amp;M"/>
    <x v="0"/>
    <s v="Yes"/>
    <s v="Xanadu"/>
    <m/>
    <x v="0"/>
    <s v=""/>
    <m/>
  </r>
  <r>
    <n v="100210"/>
    <s v="Nilesh Pandey "/>
    <d v="2022-01-10T00:00:00"/>
    <s v="Afcons Qlik SaaS Migration_x000a_Comviva Talend Migration_x000a_Qlik &amp; Talend Center of Excellence - Internal"/>
    <n v="45"/>
    <n v="0"/>
    <n v="135"/>
    <n v="0"/>
    <n v="180"/>
    <n v="135"/>
    <n v="1"/>
    <n v="0"/>
    <s v="Good"/>
    <s v="Afcons Qlik SaaS Migration - B_x000a_Comviva Talend Migration - B_x000a_Qlik &amp; Talend Center of Excellence - Internal - B"/>
    <x v="6"/>
    <s v="Yes"/>
    <s v="Afcons"/>
    <m/>
    <x v="0"/>
    <s v=""/>
    <m/>
  </r>
  <r>
    <n v="100213"/>
    <s v="Siddheshwar Kadam"/>
    <d v="2022-01-21T00:00:00"/>
    <s v="SBI Life T&amp;M"/>
    <n v="18"/>
    <n v="0"/>
    <n v="162"/>
    <n v="0"/>
    <n v="180"/>
    <n v="162"/>
    <n v="1"/>
    <n v="0"/>
    <s v="Good"/>
    <s v="SBI Life T&amp;M"/>
    <x v="0"/>
    <s v="Yes"/>
    <s v="SBI Life"/>
    <m/>
    <x v="1"/>
    <d v="2025-12-18T00:00:00"/>
    <m/>
  </r>
  <r>
    <n v="100217"/>
    <s v="Harshal Sanas"/>
    <d v="2022-02-07T00:00:00"/>
    <s v="M&amp;M - T&amp;M"/>
    <n v="45"/>
    <n v="0"/>
    <n v="135"/>
    <n v="0"/>
    <n v="180"/>
    <n v="135"/>
    <n v="1"/>
    <n v="0"/>
    <s v="Good"/>
    <s v="M&amp;M - T&amp;M"/>
    <x v="0"/>
    <s v="Yes"/>
    <s v="M&amp;M"/>
    <m/>
    <x v="0"/>
    <s v=""/>
    <m/>
  </r>
  <r>
    <n v="100222"/>
    <s v="Tejas Belhekar"/>
    <d v="2022-02-28T00:00:00"/>
    <s v="Eligraph Xantura T&amp;M"/>
    <n v="18"/>
    <n v="0"/>
    <n v="162"/>
    <n v="0"/>
    <n v="180"/>
    <n v="162"/>
    <n v="1"/>
    <n v="0"/>
    <s v="Good"/>
    <s v="Eligraph Xantura T&amp;M"/>
    <x v="0"/>
    <s v="Yes"/>
    <s v="Eligraph Xantura"/>
    <m/>
    <x v="0"/>
    <s v=""/>
    <m/>
  </r>
  <r>
    <n v="100231"/>
    <s v="Prathamesh Prakash Bait"/>
    <d v="2022-04-01T00:00:00"/>
    <s v="ABSLI Qlik Dashboard - Fixed &amp; Fixed T&amp;M"/>
    <n v="108"/>
    <n v="0"/>
    <n v="72"/>
    <n v="0"/>
    <n v="180"/>
    <n v="72"/>
    <n v="1"/>
    <n v="0"/>
    <s v="Good"/>
    <s v="ABSLI Qlik Dashboard - Fixed &amp; Fixed T&amp;M"/>
    <x v="1"/>
    <s v="Yes"/>
    <s v="ABSLI"/>
    <m/>
    <x v="0"/>
    <s v=""/>
    <m/>
  </r>
  <r>
    <n v="100245"/>
    <s v="Meeth Shetty"/>
    <d v="2022-04-18T00:00:00"/>
    <s v="T&amp;M FTE Support- Gen AI"/>
    <n v="72"/>
    <n v="0"/>
    <n v="108"/>
    <n v="0"/>
    <n v="180"/>
    <n v="108"/>
    <n v="1"/>
    <n v="0"/>
    <s v="Good"/>
    <s v="T&amp;M FTE Support- Gen AI - B"/>
    <x v="0"/>
    <s v="Yes"/>
    <s v="T&amp;M FTE Support- Gen AI"/>
    <m/>
    <x v="0"/>
    <s v=""/>
    <m/>
  </r>
  <r>
    <n v="100237"/>
    <s v="Anjali Yadav"/>
    <d v="2022-04-22T00:00:00"/>
    <s v="Afcons Qlik SaaS Migration_x000a_Qlik Admin - Internal_x000a_GCPL - T&amp;M"/>
    <n v="27"/>
    <n v="0"/>
    <n v="153"/>
    <n v="0"/>
    <n v="180"/>
    <n v="153"/>
    <n v="1"/>
    <n v="0"/>
    <s v="Good"/>
    <s v="Afcons Qlik SaaS Migration - B_x000a_Qlik Admin - Internal - B_x000a_GCPL - T&amp;M - B"/>
    <x v="0"/>
    <s v="Yes"/>
    <s v="Multiple Projects"/>
    <m/>
    <x v="0"/>
    <s v=""/>
    <m/>
  </r>
  <r>
    <n v="100243"/>
    <s v="Sonal Vijaykumar Jamadar"/>
    <d v="2022-05-19T00:00:00"/>
    <s v=""/>
    <n v="180"/>
    <n v="0"/>
    <n v="0"/>
    <n v="0"/>
    <n v="180"/>
    <n v="0"/>
    <n v="0"/>
    <s v=""/>
    <s v="Critical"/>
    <s v="M_Leave"/>
    <x v="3"/>
    <s v="No"/>
    <s v="Bench"/>
    <m/>
    <x v="0"/>
    <s v=""/>
    <m/>
  </r>
  <r>
    <n v="100244"/>
    <s v="Preetham J"/>
    <d v="2022-06-01T00:00:00"/>
    <s v="Talent Pool - India"/>
    <n v="0"/>
    <n v="0"/>
    <n v="0"/>
    <n v="180"/>
    <n v="180"/>
    <n v="180"/>
    <n v="0"/>
    <n v="1"/>
    <s v="Critical"/>
    <s v="Talent Pool - India - NB"/>
    <x v="3"/>
    <s v="No"/>
    <s v="Bench"/>
    <m/>
    <x v="1"/>
    <d v="2025-11-28T00:00:00"/>
    <m/>
  </r>
  <r>
    <n v="100246"/>
    <s v="Pranab Kumar Bal"/>
    <d v="2022-06-13T00:00:00"/>
    <s v="BCG -T&amp;M_x000a_Emory - Fixed"/>
    <n v="36"/>
    <n v="0"/>
    <n v="54"/>
    <n v="90"/>
    <n v="180"/>
    <n v="144"/>
    <n v="0.375"/>
    <n v="0.625"/>
    <s v="Critical"/>
    <s v="BCG -T&amp;M - NB_x000a_Emory - B"/>
    <x v="1"/>
    <s v="Yes"/>
    <s v="Emory"/>
    <d v="2025-11-17T00:00:00"/>
    <x v="0"/>
    <s v=""/>
    <m/>
  </r>
  <r>
    <n v="100248"/>
    <s v="Shaikh Farhan"/>
    <d v="2022-06-20T00:00:00"/>
    <s v="BCG -T&amp;M"/>
    <n v="27"/>
    <n v="0"/>
    <n v="153"/>
    <n v="0"/>
    <n v="180"/>
    <n v="153"/>
    <n v="1"/>
    <n v="0"/>
    <s v="Good"/>
    <s v="BCG -T&amp;M"/>
    <x v="0"/>
    <s v="Yes"/>
    <s v="BCG"/>
    <m/>
    <x v="0"/>
    <s v=""/>
    <m/>
  </r>
  <r>
    <n v="100249"/>
    <s v="Om Jagdish Ghag"/>
    <d v="2022-06-20T00:00:00"/>
    <s v="IIB Reporting- Resource"/>
    <n v="9"/>
    <n v="0"/>
    <n v="171"/>
    <n v="0"/>
    <n v="180"/>
    <n v="171"/>
    <n v="1"/>
    <n v="0"/>
    <s v="Good"/>
    <s v="IIB Reporting- Resource"/>
    <x v="0"/>
    <s v="Yes"/>
    <s v="IIB Reporting- Resource"/>
    <m/>
    <x v="1"/>
    <d v="2025-12-05T00:00:00"/>
    <m/>
  </r>
  <r>
    <n v="100253"/>
    <s v="Harsh Suresh Khandelwal"/>
    <d v="2022-06-22T00:00:00"/>
    <s v="ABSLI Qlik Dashboard - Fixed &amp; Fixed T&amp;M"/>
    <n v="45"/>
    <n v="0"/>
    <n v="135"/>
    <n v="0"/>
    <n v="180"/>
    <n v="135"/>
    <n v="1"/>
    <n v="0"/>
    <s v="Good"/>
    <s v="ABSLI Qlik Dashboard - Fixed &amp; Fixed T&amp;M"/>
    <x v="0"/>
    <s v="Yes"/>
    <s v="ABSLI"/>
    <m/>
    <x v="0"/>
    <s v=""/>
    <m/>
  </r>
  <r>
    <n v="100256"/>
    <s v="Jyoti Yadav"/>
    <d v="2022-07-04T00:00:00"/>
    <s v="SBI Life T&amp;M"/>
    <n v="27"/>
    <n v="0"/>
    <n v="153"/>
    <n v="0"/>
    <n v="180"/>
    <n v="153"/>
    <n v="1"/>
    <n v="0"/>
    <s v="Good"/>
    <s v="SBI Life T&amp;M"/>
    <x v="0"/>
    <s v="Yes"/>
    <s v="SBI Life"/>
    <m/>
    <x v="0"/>
    <s v=""/>
    <m/>
  </r>
  <r>
    <n v="100259"/>
    <s v="Joe Kuruppassery"/>
    <d v="2022-07-18T00:00:00"/>
    <s v="Afcons Qlik SaaS Migration"/>
    <n v="0"/>
    <n v="0"/>
    <n v="180"/>
    <n v="0"/>
    <n v="180"/>
    <n v="180"/>
    <n v="1"/>
    <n v="0"/>
    <s v="Good"/>
    <s v="Afcons Qlik SaaS Migration"/>
    <x v="1"/>
    <s v="Yes"/>
    <s v="Afcons"/>
    <d v="2025-10-27T00:00:00"/>
    <x v="0"/>
    <s v=""/>
    <m/>
  </r>
  <r>
    <n v="100272"/>
    <s v="Yash Patel"/>
    <d v="2022-09-23T00:00:00"/>
    <s v="TATA AIG T&amp;M"/>
    <n v="18"/>
    <n v="0"/>
    <n v="162"/>
    <n v="0"/>
    <n v="180"/>
    <n v="162"/>
    <n v="1"/>
    <n v="0"/>
    <s v="Good"/>
    <s v="TATA AIG T&amp;M"/>
    <x v="0"/>
    <s v="Yes"/>
    <s v="TATA AIG"/>
    <m/>
    <x v="0"/>
    <s v=""/>
    <m/>
  </r>
  <r>
    <n v="100273"/>
    <s v="Deepika Pradip Shinde"/>
    <d v="2022-09-29T00:00:00"/>
    <s v="Datafactory - T&amp;M"/>
    <n v="36"/>
    <n v="0"/>
    <n v="144"/>
    <n v="0"/>
    <n v="180"/>
    <n v="144"/>
    <n v="1"/>
    <n v="0"/>
    <s v="Good"/>
    <s v="Datafactory - T&amp;M"/>
    <x v="0"/>
    <s v="Yes"/>
    <s v="Datafactory"/>
    <m/>
    <x v="0"/>
    <s v=""/>
    <m/>
  </r>
  <r>
    <n v="100275"/>
    <s v="Ankit Mishra"/>
    <d v="2022-10-03T00:00:00"/>
    <s v="TATA AIG T&amp;M"/>
    <n v="18"/>
    <n v="0"/>
    <n v="162"/>
    <n v="0"/>
    <n v="180"/>
    <n v="162"/>
    <n v="1"/>
    <n v="0"/>
    <s v="Good"/>
    <s v="TATA AIG T&amp;M"/>
    <x v="0"/>
    <s v="Yes"/>
    <s v="TATA AIG"/>
    <m/>
    <x v="0"/>
    <s v=""/>
    <m/>
  </r>
  <r>
    <n v="100285"/>
    <s v="Priyanka Bhaskarrao Kedare"/>
    <d v="2022-12-02T00:00:00"/>
    <s v="Causal Analysis of CPMU and IOT Data - T&amp;M"/>
    <n v="36"/>
    <n v="0"/>
    <n v="144"/>
    <n v="0"/>
    <n v="180"/>
    <n v="144"/>
    <n v="1"/>
    <n v="0"/>
    <s v="Good"/>
    <s v="Causal Analysis of CPMU and IOT Data - T&amp;M"/>
    <x v="0"/>
    <s v="Yes"/>
    <s v="Causal Analysis of CPMU and IOT Data"/>
    <m/>
    <x v="0"/>
    <s v=""/>
    <m/>
  </r>
  <r>
    <n v="100287"/>
    <s v="Mohammed Aameruddin Mohammed Akbaruddin"/>
    <d v="2023-01-02T00:00:00"/>
    <s v="HDFC Life Bis - T&amp;M"/>
    <n v="0"/>
    <n v="0"/>
    <n v="180"/>
    <n v="0"/>
    <n v="180"/>
    <n v="180"/>
    <n v="1"/>
    <n v="0"/>
    <s v="Good"/>
    <s v="HDFC Life Bis - T&amp;M"/>
    <x v="0"/>
    <s v="Yes"/>
    <s v="HDFC Life Bis"/>
    <m/>
    <x v="0"/>
    <s v=""/>
    <m/>
  </r>
  <r>
    <n v="100288"/>
    <s v="Rohithkumar Anilkumar"/>
    <d v="2023-01-06T00:00:00"/>
    <s v="BCG -T&amp;M"/>
    <n v="27"/>
    <n v="0"/>
    <n v="153"/>
    <n v="0"/>
    <n v="180"/>
    <n v="153"/>
    <n v="1"/>
    <n v="0"/>
    <s v="Good"/>
    <s v="BCG -T&amp;M"/>
    <x v="0"/>
    <s v="Yes"/>
    <s v="BCG"/>
    <m/>
    <x v="0"/>
    <s v=""/>
    <m/>
  </r>
  <r>
    <n v="100289"/>
    <s v="Chintan Amish Shah"/>
    <d v="2023-01-09T00:00:00"/>
    <s v="Talent Pool - India"/>
    <n v="0"/>
    <n v="0"/>
    <n v="0"/>
    <n v="45"/>
    <n v="45"/>
    <n v="45"/>
    <n v="0"/>
    <n v="1"/>
    <s v="Critical"/>
    <s v="Talent Pool - India - NB"/>
    <x v="3"/>
    <s v="No"/>
    <s v="Bench"/>
    <m/>
    <x v="1"/>
    <d v="2025-11-07T00:00:00"/>
    <m/>
  </r>
  <r>
    <n v="100291"/>
    <s v="Rahul Hemant Naik"/>
    <d v="2023-01-12T00:00:00"/>
    <s v="Talent Pool - India"/>
    <n v="0"/>
    <n v="0"/>
    <n v="0"/>
    <n v="180"/>
    <n v="180"/>
    <n v="180"/>
    <n v="0"/>
    <n v="1"/>
    <s v="Critical"/>
    <s v="Talent Pool - India - NB"/>
    <x v="3"/>
    <s v="No"/>
    <s v="Bench"/>
    <m/>
    <x v="1"/>
    <d v="2025-12-01T00:00:00"/>
    <m/>
  </r>
  <r>
    <n v="100294"/>
    <s v="Abdullah Iltaf Baig"/>
    <d v="2023-02-20T00:00:00"/>
    <s v="TMS_Finance - Fixed"/>
    <n v="9"/>
    <n v="0"/>
    <n v="171"/>
    <n v="0"/>
    <n v="180"/>
    <n v="171"/>
    <n v="1"/>
    <n v="0"/>
    <s v="Good"/>
    <s v="TMS_Finance - Fixed"/>
    <x v="1"/>
    <s v="Yes"/>
    <s v="TMS_Finance"/>
    <m/>
    <x v="0"/>
    <s v=""/>
    <m/>
  </r>
  <r>
    <n v="100298"/>
    <s v="Ashish Dinanath Sharma"/>
    <d v="2023-04-03T00:00:00"/>
    <s v="GCPL - T&amp;M"/>
    <n v="27"/>
    <n v="0"/>
    <n v="153"/>
    <n v="0"/>
    <n v="180"/>
    <n v="153"/>
    <n v="1"/>
    <n v="0"/>
    <s v="Good"/>
    <s v="GCPL - T&amp;M"/>
    <x v="0"/>
    <s v="Yes"/>
    <s v="GCPL"/>
    <m/>
    <x v="0"/>
    <s v=""/>
    <m/>
  </r>
  <r>
    <n v="100302"/>
    <s v="Harshal Shivaji Mane"/>
    <d v="2023-04-20T00:00:00"/>
    <s v="DS Smith - Pool_x000a_E2E South - T&amp;M_x000a_Catalyst - (SSP FP&amp;A Reporting)_x000a_Data Foundation for Databricks PoC - T&amp;M"/>
    <n v="0"/>
    <n v="0"/>
    <n v="153"/>
    <n v="27"/>
    <n v="180"/>
    <n v="180"/>
    <n v="0.85"/>
    <n v="0.15"/>
    <s v="Critical"/>
    <s v="E2E South - T&amp;M - B_x000a_Catalyst - (SSP FP&amp;A Reporting) - NB (from 17th Billable)_x000a_Data Foundation for Databricks PoC - T&amp;M - B"/>
    <x v="0"/>
    <s v="Yes"/>
    <s v="Multiple Projects"/>
    <m/>
    <x v="0"/>
    <s v=""/>
    <m/>
  </r>
  <r>
    <n v="100305"/>
    <s v="Shubham Girish Padte"/>
    <d v="2023-04-24T00:00:00"/>
    <s v="ABSLI Qlik Dashboard - T&amp;M"/>
    <n v="9"/>
    <n v="0"/>
    <n v="171"/>
    <n v="0"/>
    <n v="180"/>
    <n v="171"/>
    <n v="1"/>
    <n v="0"/>
    <s v="Good"/>
    <s v="ABSLI Qlik Dashboard - T&amp;M - B"/>
    <x v="0"/>
    <s v="Yes"/>
    <s v="ABSLI"/>
    <m/>
    <x v="0"/>
    <s v=""/>
    <m/>
  </r>
  <r>
    <n v="100308"/>
    <s v="Rohit Pandey"/>
    <d v="2023-05-16T00:00:00"/>
    <s v="Talent Pool - India_x000a_HDFC Life Bis Vapt -T&amp;M_x000a_DIOH 360 CR - Fixed"/>
    <n v="9"/>
    <n v="0"/>
    <n v="90"/>
    <n v="81"/>
    <n v="180"/>
    <n v="171"/>
    <n v="0.52631578947368418"/>
    <n v="0.47368421052631576"/>
    <s v="Critical"/>
    <s v="Talent Pool - India - NB_x000a_HDFC Life Bis Vapt -T&amp;M - B_x000a_DIOH 360 CR - B"/>
    <x v="1"/>
    <s v="Yes"/>
    <s v="DIOH"/>
    <d v="2025-11-18T00:00:00"/>
    <x v="0"/>
    <s v=""/>
    <m/>
  </r>
  <r>
    <n v="100311"/>
    <s v="Rohan Sunil Bhansali"/>
    <d v="2023-06-02T00:00:00"/>
    <s v="E Invoicing - Fixed"/>
    <n v="18"/>
    <n v="0"/>
    <n v="162"/>
    <n v="0"/>
    <n v="180"/>
    <n v="162"/>
    <n v="1"/>
    <n v="0"/>
    <s v="Good"/>
    <s v="E Invoicing - Fixed"/>
    <x v="1"/>
    <s v="Yes"/>
    <s v="E Invoicing"/>
    <m/>
    <x v="0"/>
    <s v=""/>
    <m/>
  </r>
  <r>
    <n v="100313"/>
    <s v="Vinayak Subhashchandra Jena"/>
    <d v="2023-06-14T00:00:00"/>
    <s v="HDFC Life Digi Lab - T&amp;M"/>
    <n v="18"/>
    <n v="0"/>
    <n v="162"/>
    <n v="0"/>
    <n v="180"/>
    <n v="162"/>
    <n v="1"/>
    <n v="0"/>
    <s v="Good"/>
    <s v="HDFC Life Digi Lab - T&amp;M"/>
    <x v="0"/>
    <s v="Yes"/>
    <s v="HDFC Life Digi Lab"/>
    <m/>
    <x v="0"/>
    <s v=""/>
    <m/>
  </r>
  <r>
    <n v="100314"/>
    <s v="Shreya Rajesh Bhandge"/>
    <d v="2023-06-15T00:00:00"/>
    <s v="Migration of data sources from SQL to Fabric - ACME -T&amp;M_x000a_Emory - Fixed"/>
    <n v="27"/>
    <n v="0"/>
    <n v="144"/>
    <n v="9"/>
    <n v="180"/>
    <n v="153"/>
    <n v="0.94117647058823528"/>
    <n v="5.8823529411764705E-2"/>
    <s v="Good"/>
    <s v="Emory - Fixed"/>
    <x v="1"/>
    <s v="Yes"/>
    <s v="Emory"/>
    <m/>
    <x v="0"/>
    <s v=""/>
    <m/>
  </r>
  <r>
    <n v="100315"/>
    <s v="Hitesh Dattatray Nandavane"/>
    <d v="2023-06-15T00:00:00"/>
    <s v="Commission Calculator -T&amp;M"/>
    <n v="9"/>
    <n v="0"/>
    <n v="171"/>
    <n v="0"/>
    <n v="180"/>
    <n v="171"/>
    <n v="1"/>
    <n v="0"/>
    <s v="Good"/>
    <s v="Commission Calculator -T&amp;M"/>
    <x v="0"/>
    <s v="Yes"/>
    <s v="Commission Calculator"/>
    <m/>
    <x v="0"/>
    <s v=""/>
    <m/>
  </r>
  <r>
    <n v="100322"/>
    <s v="Anushka Sachin Gaikwad"/>
    <d v="2023-07-03T00:00:00"/>
    <s v="ABSLI Qlik Dashboard - Fixed &amp; Fixed T&amp;M"/>
    <n v="18"/>
    <n v="0"/>
    <n v="162"/>
    <n v="0"/>
    <n v="180"/>
    <n v="162"/>
    <n v="1"/>
    <n v="0"/>
    <s v="Good"/>
    <s v="ABSLI Qlik Dashboard - Fixed &amp; Fixed T&amp;M"/>
    <x v="0"/>
    <s v="Yes"/>
    <s v="ABSLI"/>
    <m/>
    <x v="0"/>
    <s v=""/>
    <m/>
  </r>
  <r>
    <n v="100319"/>
    <s v="Shivendra Singh "/>
    <d v="2023-07-03T00:00:00"/>
    <s v="BCG -T&amp;M_x000a_Trackchain - Argus - Fixed _x000a_Talent Pool - India"/>
    <n v="9"/>
    <n v="0"/>
    <n v="54"/>
    <n v="117"/>
    <n v="180"/>
    <n v="171"/>
    <n v="0.31578947368421051"/>
    <n v="0.68421052631578949"/>
    <s v="Critical"/>
    <s v="BCG -T&amp;M - B_x000a_Talent Pool - NB_x000a_Trackchain - Argus - NB"/>
    <x v="1"/>
    <s v="No"/>
    <s v="Trackchain"/>
    <m/>
    <x v="0"/>
    <s v=""/>
    <m/>
  </r>
  <r>
    <n v="100323"/>
    <s v="Swarali Rajesh More"/>
    <d v="2023-07-03T00:00:00"/>
    <s v="Commission Calculator -T&amp;M"/>
    <n v="9"/>
    <n v="0"/>
    <n v="171"/>
    <n v="0"/>
    <n v="180"/>
    <n v="171"/>
    <n v="1"/>
    <n v="0"/>
    <s v="Good"/>
    <s v="Commission Calculator -T&amp;M"/>
    <x v="0"/>
    <s v="Yes"/>
    <s v="Commission Calculator"/>
    <m/>
    <x v="0"/>
    <s v=""/>
    <m/>
  </r>
  <r>
    <n v="100324"/>
    <s v="Abhishek Mahesh Bandekar"/>
    <d v="2023-07-03T00:00:00"/>
    <s v="BCG -T&amp;M"/>
    <n v="0"/>
    <n v="0"/>
    <n v="180"/>
    <n v="0"/>
    <n v="180"/>
    <n v="180"/>
    <n v="1"/>
    <n v="0"/>
    <s v="Good"/>
    <s v="BCG -T&amp;M"/>
    <x v="0"/>
    <s v="Yes"/>
    <s v="BCG"/>
    <m/>
    <x v="1"/>
    <d v="2025-11-28T00:00:00"/>
    <m/>
  </r>
  <r>
    <n v="100320"/>
    <s v="Megha Agarwal"/>
    <d v="2023-07-03T00:00:00"/>
    <s v="Nuvama Gen AI - Fixed_x000a_Gen AI Deployment for Contracts Use Case - Fixed "/>
    <n v="0"/>
    <n v="0"/>
    <n v="180"/>
    <n v="0"/>
    <n v="180"/>
    <n v="180"/>
    <n v="1"/>
    <n v="0"/>
    <s v="Good"/>
    <s v="Nuvama Gen AI - Fixed"/>
    <x v="1"/>
    <s v="Yes"/>
    <s v="Nuvama"/>
    <m/>
    <x v="0"/>
    <s v=""/>
    <m/>
  </r>
  <r>
    <n v="100321"/>
    <s v="Shubham Rajesh Vartak"/>
    <d v="2023-07-03T00:00:00"/>
    <s v="M&amp;M - T&amp;M"/>
    <n v="27"/>
    <n v="0"/>
    <n v="153"/>
    <n v="0"/>
    <n v="180"/>
    <n v="153"/>
    <n v="1"/>
    <n v="0"/>
    <s v="Good"/>
    <s v="M&amp;M - T&amp;M"/>
    <x v="0"/>
    <s v="Yes"/>
    <s v="M&amp;M"/>
    <m/>
    <x v="0"/>
    <s v=""/>
    <m/>
  </r>
  <r>
    <n v="100325"/>
    <s v="Vinay Kumar Kureel"/>
    <d v="2023-07-03T00:00:00"/>
    <s v="Datafactory - T&amp;M"/>
    <n v="13.5"/>
    <n v="0"/>
    <n v="166.5"/>
    <n v="0"/>
    <n v="180"/>
    <n v="166.5"/>
    <n v="1"/>
    <n v="0"/>
    <s v="Good"/>
    <s v="Datafactory - T&amp;M"/>
    <x v="0"/>
    <s v="Yes"/>
    <s v="Datafactory"/>
    <m/>
    <x v="0"/>
    <s v=""/>
    <m/>
  </r>
  <r>
    <n v="100326"/>
    <s v="Priyanandini Das"/>
    <d v="2023-07-06T00:00:00"/>
    <s v="HDFC Life SalesTap - Fixed / T&amp;M"/>
    <n v="0"/>
    <n v="0"/>
    <n v="180"/>
    <n v="0"/>
    <n v="180"/>
    <n v="180"/>
    <n v="1"/>
    <n v="0"/>
    <s v="Good"/>
    <s v="HDFC Life SalesTap - Fixed / T&amp;M"/>
    <x v="0"/>
    <s v="Yes"/>
    <s v="HDFC Life SalesTap"/>
    <m/>
    <x v="0"/>
    <s v=""/>
    <m/>
  </r>
  <r>
    <n v="100327"/>
    <s v="Uday Shivaji Ahire"/>
    <d v="2023-07-10T00:00:00"/>
    <s v="HDFC Life Digi Lab - T&amp;M"/>
    <n v="31.5"/>
    <n v="0"/>
    <n v="148.5"/>
    <n v="0"/>
    <n v="180"/>
    <n v="148.5"/>
    <n v="1"/>
    <n v="0"/>
    <s v="Good"/>
    <s v="HDFC Life Digi Lab - T&amp;M"/>
    <x v="0"/>
    <s v="Yes"/>
    <s v="HDFC Life Digi Lab"/>
    <m/>
    <x v="0"/>
    <s v=""/>
    <m/>
  </r>
  <r>
    <n v="100328"/>
    <s v="Vikas Girotra"/>
    <d v="2023-07-17T00:00:00"/>
    <s v="E Invoicing - Fixed"/>
    <n v="9"/>
    <n v="0"/>
    <n v="171"/>
    <n v="0"/>
    <n v="180"/>
    <n v="171"/>
    <n v="1"/>
    <n v="0"/>
    <s v="Good"/>
    <s v="E Invoicing - Fixed"/>
    <x v="1"/>
    <s v="Yes"/>
    <s v="E Invoicing"/>
    <m/>
    <x v="0"/>
    <s v=""/>
    <m/>
  </r>
  <r>
    <n v="100341"/>
    <s v="Tushar Gupta"/>
    <d v="2023-07-17T00:00:00"/>
    <s v="E2E South - T&amp;M"/>
    <n v="36"/>
    <n v="0"/>
    <n v="144"/>
    <n v="0"/>
    <n v="180"/>
    <n v="144"/>
    <n v="1"/>
    <n v="0"/>
    <s v="Good"/>
    <s v="E2E South - T&amp;M"/>
    <x v="0"/>
    <s v="Yes"/>
    <s v="E2E South"/>
    <m/>
    <x v="0"/>
    <s v=""/>
    <m/>
  </r>
  <r>
    <n v="100329"/>
    <s v="Ayush Agrawal"/>
    <d v="2023-07-18T00:00:00"/>
    <s v="GCPL - T&amp;M"/>
    <n v="9"/>
    <n v="0"/>
    <n v="171"/>
    <n v="0"/>
    <n v="180"/>
    <n v="171"/>
    <n v="1"/>
    <n v="0"/>
    <s v="Good"/>
    <s v="GCPL - T&amp;M"/>
    <x v="0"/>
    <s v="Yes"/>
    <s v="GCPL"/>
    <m/>
    <x v="0"/>
    <s v=""/>
    <m/>
  </r>
  <r>
    <n v="100331"/>
    <s v="Reshma Dnyaneshwar Ganjure"/>
    <d v="2023-07-27T00:00:00"/>
    <s v="Data Foundation for Databricks PoC - T&amp;M"/>
    <n v="0"/>
    <n v="0"/>
    <n v="180"/>
    <n v="0"/>
    <n v="180"/>
    <n v="180"/>
    <n v="1"/>
    <n v="0"/>
    <s v="Good"/>
    <s v="Data Foundation for Databricks PoC - T&amp;M"/>
    <x v="0"/>
    <s v="Yes"/>
    <s v="Data Foundation for Databricks PoC"/>
    <m/>
    <x v="0"/>
    <s v=""/>
    <m/>
  </r>
  <r>
    <n v="100330"/>
    <s v="Kashish Mathur"/>
    <d v="2023-07-31T00:00:00"/>
    <s v="UPL T&amp;M"/>
    <n v="27"/>
    <n v="0"/>
    <n v="153"/>
    <n v="0"/>
    <n v="180"/>
    <n v="153"/>
    <n v="1"/>
    <n v="0"/>
    <s v="Good"/>
    <s v="UPL T&amp;M"/>
    <x v="0"/>
    <s v="Yes"/>
    <s v="UPL"/>
    <m/>
    <x v="0"/>
    <s v=""/>
    <m/>
  </r>
  <r>
    <n v="100332"/>
    <s v="Royston Valerian D'silva"/>
    <d v="2023-08-01T00:00:00"/>
    <s v="Datafactory - T&amp;M"/>
    <n v="0"/>
    <n v="0"/>
    <n v="180"/>
    <n v="0"/>
    <n v="180"/>
    <n v="180"/>
    <n v="1"/>
    <n v="0"/>
    <s v="Good"/>
    <s v="Datafactory - T&amp;M"/>
    <x v="0"/>
    <s v="Yes"/>
    <s v="Datafactory"/>
    <m/>
    <x v="0"/>
    <s v=""/>
    <m/>
  </r>
  <r>
    <n v="100338"/>
    <s v="Bhagyashree Satish Khaparde"/>
    <d v="2023-08-29T00:00:00"/>
    <s v="DS Smith - Pool"/>
    <n v="0"/>
    <n v="0"/>
    <n v="0"/>
    <n v="81"/>
    <n v="81"/>
    <n v="81"/>
    <n v="0"/>
    <n v="1"/>
    <s v="Critical"/>
    <s v="DS Smith - Pool - NB"/>
    <x v="3"/>
    <s v="No"/>
    <s v="Bench"/>
    <m/>
    <x v="1"/>
    <d v="2025-11-13T00:00:00"/>
    <m/>
  </r>
  <r>
    <n v="100339"/>
    <s v="Vishal Navnath Arote"/>
    <d v="2023-08-30T00:00:00"/>
    <s v="ABSLI Qlik Dashboard - Fixed &amp; Fixed T&amp;M"/>
    <n v="9"/>
    <n v="0"/>
    <n v="171"/>
    <n v="0"/>
    <n v="180"/>
    <n v="171"/>
    <n v="1"/>
    <n v="0"/>
    <s v="Good"/>
    <s v="ABSLI Qlik Dashboard - Fixed &amp; Fixed T&amp;M"/>
    <x v="0"/>
    <s v="Yes"/>
    <s v="ABSLI"/>
    <m/>
    <x v="0"/>
    <s v=""/>
    <m/>
  </r>
  <r>
    <n v="100342"/>
    <s v="Tarun Kumar Madhei"/>
    <d v="2023-09-11T00:00:00"/>
    <s v="Financial Services - T&amp;M"/>
    <n v="0"/>
    <n v="0"/>
    <n v="180"/>
    <n v="0"/>
    <n v="180"/>
    <n v="180"/>
    <n v="1"/>
    <n v="0"/>
    <s v="Good"/>
    <s v="Financial Services - T&amp;M"/>
    <x v="0"/>
    <s v="Yes"/>
    <s v="Adani Capital"/>
    <m/>
    <x v="0"/>
    <s v=""/>
    <m/>
  </r>
  <r>
    <n v="100345"/>
    <s v="Abhijit Balasaheb Tandale"/>
    <d v="2023-09-18T00:00:00"/>
    <s v="Eligarf TUI T&amp;M"/>
    <n v="18"/>
    <n v="0"/>
    <n v="162"/>
    <n v="0"/>
    <n v="180"/>
    <n v="162"/>
    <n v="1"/>
    <n v="0"/>
    <s v="Good"/>
    <s v="Eligarf TUI T&amp;M"/>
    <x v="0"/>
    <s v="Yes"/>
    <s v="Eligarf TUI"/>
    <m/>
    <x v="0"/>
    <s v=""/>
    <m/>
  </r>
  <r>
    <n v="100355"/>
    <s v="Chintamani Dattaram Taral"/>
    <d v="2023-10-18T00:00:00"/>
    <s v="Adani Logistics"/>
    <n v="31.5"/>
    <n v="0"/>
    <n v="148.5"/>
    <n v="0"/>
    <n v="180"/>
    <n v="148.5"/>
    <n v="1"/>
    <n v="0"/>
    <s v="Good"/>
    <s v="Adani Logistics"/>
    <x v="1"/>
    <s v="Yes"/>
    <s v="Adani Logistics"/>
    <m/>
    <x v="0"/>
    <s v=""/>
    <m/>
  </r>
  <r>
    <n v="100357"/>
    <s v="Ketan Waman Paunikar"/>
    <d v="2023-10-23T00:00:00"/>
    <s v="Financial Services - T&amp;M"/>
    <n v="9"/>
    <n v="0"/>
    <n v="171"/>
    <n v="0"/>
    <n v="180"/>
    <n v="171"/>
    <n v="1"/>
    <n v="0"/>
    <s v="Good"/>
    <s v="Financial Services - T&amp;M"/>
    <x v="0"/>
    <s v="Yes"/>
    <s v="Adani Capital"/>
    <m/>
    <x v="0"/>
    <s v=""/>
    <m/>
  </r>
  <r>
    <n v="100358"/>
    <s v="Rushikesh Jaiswal"/>
    <d v="2023-10-27T00:00:00"/>
    <s v="Avendus - T&amp;M"/>
    <n v="0"/>
    <n v="0"/>
    <n v="180"/>
    <n v="0"/>
    <n v="180"/>
    <n v="180"/>
    <n v="1"/>
    <n v="0"/>
    <s v="Good"/>
    <s v="Avendus - T&amp;M"/>
    <x v="0"/>
    <s v="Yes"/>
    <s v="Avendus"/>
    <d v="2025-09-22T00:00:00"/>
    <x v="0"/>
    <s v=""/>
    <m/>
  </r>
  <r>
    <n v="100359"/>
    <s v="Onkar Vijay Desai"/>
    <d v="2023-10-30T00:00:00"/>
    <s v="Talent Pool - India_x000a_Niva Bupa DWA - Fixed"/>
    <n v="18"/>
    <n v="0"/>
    <n v="29.25"/>
    <n v="132.75"/>
    <n v="180"/>
    <n v="162"/>
    <n v="0.18055555555555555"/>
    <n v="0.81944444444444442"/>
    <s v="Critical"/>
    <s v="Talent Pool - India - NB_x000a_Niva Bupa - B ( 20 % Billable )"/>
    <x v="1"/>
    <s v="Yes"/>
    <s v="Niva Bupa Fixed"/>
    <d v="2025-11-10T00:00:00"/>
    <x v="0"/>
    <s v=""/>
    <m/>
  </r>
  <r>
    <n v="100362"/>
    <s v="Shreyasee Roy"/>
    <d v="2023-11-22T00:00:00"/>
    <s v="Talent Pool - India"/>
    <n v="0"/>
    <n v="0"/>
    <n v="0"/>
    <n v="90"/>
    <n v="90"/>
    <n v="90"/>
    <n v="0"/>
    <n v="1"/>
    <s v="Critical"/>
    <s v="Talent Pool - India -NB"/>
    <x v="3"/>
    <s v="No"/>
    <s v="Bench"/>
    <m/>
    <x v="1"/>
    <d v="2025-11-13T00:00:00"/>
    <m/>
  </r>
  <r>
    <n v="100467"/>
    <s v="Sujit Jitendra Saroj"/>
    <d v="2023-12-01T00:00:00"/>
    <s v="Talent Pool - India_x000a_TATA AIG AIxponent Implementation - Fixed"/>
    <n v="18"/>
    <n v="0"/>
    <n v="85.5"/>
    <n v="76.5"/>
    <n v="180"/>
    <n v="162"/>
    <n v="0.52777777777777779"/>
    <n v="0.47222222222222221"/>
    <s v="Critical"/>
    <s v="Talent Pool - NB_x000a_TATA AIG - B"/>
    <x v="3"/>
    <s v="No"/>
    <s v="Bench"/>
    <m/>
    <x v="0"/>
    <s v=""/>
    <m/>
  </r>
  <r>
    <n v="100407"/>
    <s v="Shefali Bardikar"/>
    <d v="2023-12-01T00:00:00"/>
    <s v="Datafactory - T&amp;M"/>
    <n v="63"/>
    <n v="0"/>
    <n v="117"/>
    <n v="0"/>
    <n v="180"/>
    <n v="117"/>
    <n v="1"/>
    <n v="0"/>
    <s v="Good"/>
    <s v="Datafactory - T&amp;M - B"/>
    <x v="0"/>
    <m/>
    <s v="Datafactory"/>
    <m/>
    <x v="0"/>
    <s v=""/>
    <m/>
  </r>
  <r>
    <n v="100364"/>
    <s v="Sudarshan Chauhan"/>
    <d v="2023-12-07T00:00:00"/>
    <s v="BCG -T&amp;M"/>
    <n v="18"/>
    <n v="0"/>
    <n v="162"/>
    <n v="0"/>
    <n v="180"/>
    <n v="162"/>
    <n v="1"/>
    <n v="0"/>
    <s v="Good"/>
    <s v="BCG -T&amp;M"/>
    <x v="0"/>
    <s v="Yes"/>
    <s v="BCG"/>
    <m/>
    <x v="0"/>
    <s v=""/>
    <m/>
  </r>
  <r>
    <n v="100365"/>
    <s v="Gopeshwar Nath Dwivedi"/>
    <d v="2023-12-11T00:00:00"/>
    <s v="E Invoicing - Fixed"/>
    <n v="18"/>
    <n v="0"/>
    <n v="162"/>
    <n v="0"/>
    <n v="180"/>
    <n v="162"/>
    <n v="1"/>
    <n v="0"/>
    <s v="Good"/>
    <s v="E Invoicing - Fixed"/>
    <x v="1"/>
    <s v="Yes"/>
    <s v="E Invoicing"/>
    <m/>
    <x v="0"/>
    <s v=""/>
    <m/>
  </r>
  <r>
    <n v="100369"/>
    <s v="Nikhileshwar Pagadala"/>
    <d v="2023-12-27T00:00:00"/>
    <s v="HDFC Life Bis - T&amp;M"/>
    <n v="27"/>
    <n v="0"/>
    <n v="153"/>
    <n v="0"/>
    <n v="180"/>
    <n v="153"/>
    <n v="1"/>
    <n v="0"/>
    <s v="Good"/>
    <s v="HDFC Life Bis - T&amp;M"/>
    <x v="0"/>
    <s v="Yes"/>
    <s v="HDFC Life Bis"/>
    <m/>
    <x v="0"/>
    <s v=""/>
    <m/>
  </r>
  <r>
    <n v="100370"/>
    <s v="Mouna Sirisha"/>
    <d v="2023-12-27T00:00:00"/>
    <s v="Mondelez Digital Dms - T&amp;M"/>
    <n v="0"/>
    <n v="0"/>
    <n v="180"/>
    <n v="0"/>
    <n v="180"/>
    <n v="180"/>
    <n v="1"/>
    <n v="0"/>
    <s v="Good"/>
    <s v="Mondelez Digital Dms - T&amp;M"/>
    <x v="0"/>
    <s v="Yes"/>
    <s v="Mondelez Digital Dms"/>
    <m/>
    <x v="0"/>
    <s v=""/>
    <m/>
  </r>
  <r>
    <n v="100371"/>
    <s v="Bhairavi Dattatray Bendre"/>
    <d v="2023-12-28T00:00:00"/>
    <s v="HDFC Life Data Lab - T&amp;M"/>
    <n v="9"/>
    <n v="0"/>
    <n v="171"/>
    <n v="0"/>
    <n v="180"/>
    <n v="171"/>
    <n v="1"/>
    <n v="0"/>
    <s v="Good"/>
    <s v="HDFC Life Data Lab - T&amp;M"/>
    <x v="0"/>
    <s v="Yes"/>
    <s v="HDFC Life Data Lab"/>
    <m/>
    <x v="0"/>
    <s v=""/>
    <m/>
  </r>
  <r>
    <n v="100374"/>
    <s v="Namrata Rupendra Meshram"/>
    <d v="2024-01-02T00:00:00"/>
    <s v="Novel Jewels Opp ( Power BI + SQL ) - T&amp;M"/>
    <n v="27"/>
    <n v="0"/>
    <n v="153"/>
    <n v="0"/>
    <n v="180"/>
    <n v="153"/>
    <n v="1"/>
    <n v="0"/>
    <s v="Good"/>
    <s v="Novel Jewels Opp ( Power BI + SQL ) - T&amp;M"/>
    <x v="0"/>
    <s v="Yes"/>
    <s v="Novel Jewels Opp"/>
    <m/>
    <x v="0"/>
    <s v=""/>
    <m/>
  </r>
  <r>
    <n v="100373"/>
    <s v="Mohammad Danish Mohammad Muzaffar"/>
    <d v="2024-01-02T00:00:00"/>
    <s v="HDFC Life Data Lab - T&amp;M"/>
    <n v="13.5"/>
    <n v="0"/>
    <n v="166.5"/>
    <n v="0"/>
    <n v="180"/>
    <n v="166.5"/>
    <n v="1"/>
    <n v="0"/>
    <s v="Good"/>
    <s v="HDFC Life Data Lab - T&amp;M"/>
    <x v="0"/>
    <s v="Yes"/>
    <s v="HDFC Life Data Lab"/>
    <m/>
    <x v="0"/>
    <s v=""/>
    <m/>
  </r>
  <r>
    <n v="100466"/>
    <s v="Prathama Shashikant Bhoir"/>
    <d v="2024-01-02T00:00:00"/>
    <s v="Talent Pool - India"/>
    <n v="0"/>
    <n v="0"/>
    <n v="0"/>
    <n v="135"/>
    <n v="135"/>
    <n v="135"/>
    <n v="0"/>
    <n v="1"/>
    <s v="Critical"/>
    <s v="Talent Pool - India -NB"/>
    <x v="3"/>
    <s v="No"/>
    <s v="Bench"/>
    <m/>
    <x v="1"/>
    <d v="2025-11-30T00:00:00"/>
    <m/>
  </r>
  <r>
    <n v="100515"/>
    <s v="Hemant Hanumant Patil "/>
    <d v="2024-01-08T00:00:00"/>
    <s v="ABSLI Qlik Dashboard - Fixed &amp; Fixed T&amp;M"/>
    <n v="18"/>
    <n v="0"/>
    <n v="162"/>
    <n v="0"/>
    <n v="180"/>
    <n v="162"/>
    <n v="1"/>
    <n v="0"/>
    <s v="Good"/>
    <s v="ABSLI Qlik Dashboard - Fixed &amp; Fixed T&amp;M - B"/>
    <x v="0"/>
    <s v="Yes"/>
    <s v="ABSLI"/>
    <m/>
    <x v="0"/>
    <s v=""/>
    <m/>
  </r>
  <r>
    <n v="100376"/>
    <s v="Samiksha Ram Pawar"/>
    <d v="2024-01-08T00:00:00"/>
    <s v="Avendus - T&amp;M"/>
    <n v="36"/>
    <n v="0"/>
    <n v="144"/>
    <n v="0"/>
    <n v="180"/>
    <n v="144"/>
    <n v="1"/>
    <n v="0"/>
    <s v="Good"/>
    <s v="Avendus - T&amp;M"/>
    <x v="0"/>
    <s v="Yes"/>
    <s v="Avendus"/>
    <m/>
    <x v="0"/>
    <s v=""/>
    <m/>
  </r>
  <r>
    <n v="100378"/>
    <s v="Parikshit Agarwal"/>
    <d v="2024-01-15T00:00:00"/>
    <s v="Datafactory - T&amp;M"/>
    <n v="9"/>
    <n v="0"/>
    <n v="171"/>
    <n v="0"/>
    <n v="180"/>
    <n v="171"/>
    <n v="1"/>
    <n v="0"/>
    <s v="Good"/>
    <s v="Datafactory - T&amp;M"/>
    <x v="0"/>
    <s v="Yes"/>
    <s v="Datafactory"/>
    <m/>
    <x v="0"/>
    <s v=""/>
    <m/>
  </r>
  <r>
    <n v="100379"/>
    <s v="Pradeep Chandrakant Narvekar"/>
    <d v="2024-01-19T00:00:00"/>
    <s v="TATA AIG T&amp;M"/>
    <n v="0"/>
    <n v="0"/>
    <n v="180"/>
    <n v="0"/>
    <n v="180"/>
    <n v="180"/>
    <n v="1"/>
    <n v="0"/>
    <s v="Good"/>
    <s v="TATA AIG T&amp;M"/>
    <x v="0"/>
    <s v="Yes"/>
    <s v="TATA AIG"/>
    <m/>
    <x v="0"/>
    <s v=""/>
    <m/>
  </r>
  <r>
    <n v="100381"/>
    <s v="Rahul Jain"/>
    <d v="2024-01-22T00:00:00"/>
    <s v="HDFC Life SalesTap - Fixed / T&amp;M"/>
    <n v="0"/>
    <n v="0"/>
    <n v="180"/>
    <n v="0"/>
    <n v="180"/>
    <n v="180"/>
    <n v="1"/>
    <n v="0"/>
    <s v="Good"/>
    <s v="HDFC Life SalesTap - Fixed / T&amp;M"/>
    <x v="0"/>
    <s v="Yes"/>
    <s v="HDFC Life SalesTap"/>
    <m/>
    <x v="0"/>
    <s v=""/>
    <m/>
  </r>
  <r>
    <n v="100380"/>
    <s v="Yugandhara Yogesh Sharma"/>
    <d v="2024-01-22T00:00:00"/>
    <s v="Afcons Qlik SaaS Migration_x000a_Talent Pool - India"/>
    <n v="36"/>
    <n v="0"/>
    <n v="137"/>
    <n v="7"/>
    <n v="180"/>
    <n v="144"/>
    <n v="0.95138888888888884"/>
    <n v="4.8611111111111112E-2"/>
    <s v="Good"/>
    <s v="Afcons Qlik SaaS Migration"/>
    <x v="1"/>
    <s v="Yes"/>
    <s v="Afcons"/>
    <d v="2025-10-27T00:00:00"/>
    <x v="0"/>
    <s v=""/>
    <m/>
  </r>
  <r>
    <n v="100382"/>
    <s v="Navin Shyamlal Prajapati"/>
    <d v="2024-01-22T00:00:00"/>
    <s v="SBI - Qlik Dashboard and Contest Management - Fixed / T&amp;M"/>
    <n v="4.5"/>
    <n v="0"/>
    <n v="175.5"/>
    <n v="0"/>
    <n v="180"/>
    <n v="175.5"/>
    <n v="1"/>
    <n v="0"/>
    <s v="Good"/>
    <s v="SBI - Qlik Dashboard and Contest Management - Fixed / T&amp;M"/>
    <x v="0"/>
    <s v="Yes"/>
    <s v="SBI - Qlik Dashboard and Contest Management"/>
    <m/>
    <x v="1"/>
    <d v="2025-11-28T00:00:00"/>
    <m/>
  </r>
  <r>
    <n v="100387"/>
    <s v="Ninad Jagdale"/>
    <d v="2024-02-13T00:00:00"/>
    <s v="Kemsley Mills"/>
    <n v="45"/>
    <n v="0"/>
    <n v="135"/>
    <n v="0"/>
    <n v="180"/>
    <n v="135"/>
    <n v="1"/>
    <n v="0"/>
    <s v="Good"/>
    <s v="Kemsley Mills"/>
    <x v="1"/>
    <s v="Yes"/>
    <s v="Kemsley Mills"/>
    <d v="2025-10-20T00:00:00"/>
    <x v="0"/>
    <s v=""/>
    <m/>
  </r>
  <r>
    <n v="100390"/>
    <s v="Nandan Amalesh Tendulkar "/>
    <d v="2024-02-15T00:00:00"/>
    <s v="Talent Pool - India_x000a_Nuvama Gen AI - Fixed"/>
    <n v="36"/>
    <n v="0"/>
    <n v="14.4"/>
    <n v="129.6"/>
    <n v="180"/>
    <n v="144"/>
    <n v="0.1"/>
    <n v="0.89999999999999991"/>
    <s v="Critical"/>
    <s v="Nuvama Gen AI - Fixed - B ( 10% billable )_x000a_Talent Pool - NB"/>
    <x v="1"/>
    <s v="Yes"/>
    <s v="Nuvama Gen AI"/>
    <m/>
    <x v="0"/>
    <s v=""/>
    <m/>
  </r>
  <r>
    <n v="100393"/>
    <s v="Shivanshi Mittal"/>
    <d v="2024-02-16T00:00:00"/>
    <s v="E2E South - T&amp;M"/>
    <n v="27"/>
    <n v="0"/>
    <n v="153"/>
    <n v="0"/>
    <n v="180"/>
    <n v="153"/>
    <n v="1"/>
    <n v="0"/>
    <s v="Good"/>
    <s v="E2E South - T&amp;M"/>
    <x v="0"/>
    <s v="Yes"/>
    <s v="E2E South"/>
    <m/>
    <x v="0"/>
    <s v=""/>
    <m/>
  </r>
  <r>
    <n v="100396"/>
    <s v="Prachi Vishal Doshi"/>
    <d v="2024-02-19T00:00:00"/>
    <s v="Lucamil - T&amp;M"/>
    <n v="18"/>
    <n v="0"/>
    <n v="162"/>
    <n v="0"/>
    <n v="180"/>
    <n v="162"/>
    <n v="1"/>
    <n v="0"/>
    <s v="Good"/>
    <s v="Lucamil - T&amp;M"/>
    <x v="0"/>
    <s v="Yes"/>
    <s v="Lucamil "/>
    <d v="2025-09-15T00:00:00"/>
    <x v="0"/>
    <s v=""/>
    <m/>
  </r>
  <r>
    <n v="100399"/>
    <s v="Grandhi Venkata Sai Nagendra VamsiKrishna"/>
    <d v="2024-02-26T00:00:00"/>
    <s v="E2E South - T&amp;M"/>
    <n v="9"/>
    <n v="0"/>
    <n v="171"/>
    <n v="0"/>
    <n v="180"/>
    <n v="171"/>
    <n v="1"/>
    <n v="0"/>
    <s v="Good"/>
    <s v="E2E South - T&amp;M"/>
    <x v="0"/>
    <s v="Yes"/>
    <s v="E2E South"/>
    <d v="2025-10-07T00:00:00"/>
    <x v="0"/>
    <s v=""/>
    <m/>
  </r>
  <r>
    <n v="100400"/>
    <s v="Prathibha Das"/>
    <d v="2024-03-11T00:00:00"/>
    <s v="Talent Pool - India_x000a_IIFL Risk Dashboard Development on Qlik Sense - Fixed"/>
    <n v="0"/>
    <n v="0"/>
    <n v="10"/>
    <n v="170"/>
    <n v="180"/>
    <n v="180"/>
    <n v="5.5555555555555552E-2"/>
    <n v="0.94444444444444442"/>
    <s v="Critical"/>
    <s v="Talent Pool - India - NB_x000a_IIFL Risk Dashboard Development on Qlik Sense - Fixed - B"/>
    <x v="3"/>
    <s v="No"/>
    <s v="Bench"/>
    <m/>
    <x v="1"/>
    <s v=""/>
    <m/>
  </r>
  <r>
    <n v="100402"/>
    <s v="Abhishek Srivastava"/>
    <d v="2024-03-18T00:00:00"/>
    <s v="Comviva Talend Migration"/>
    <n v="9"/>
    <n v="0"/>
    <n v="171"/>
    <n v="0"/>
    <n v="180"/>
    <n v="171"/>
    <n v="1"/>
    <n v="0"/>
    <s v="Good"/>
    <s v="Comviva Talend Migration"/>
    <x v="1"/>
    <s v="Yes"/>
    <s v="Comviva"/>
    <d v="2025-10-31T00:00:00"/>
    <x v="0"/>
    <s v=""/>
    <m/>
  </r>
  <r>
    <n v="100403"/>
    <s v="Mahima Singla"/>
    <d v="2024-03-20T00:00:00"/>
    <s v="Talent Pool - India"/>
    <n v="0"/>
    <n v="0"/>
    <n v="0"/>
    <n v="144"/>
    <n v="144"/>
    <n v="144"/>
    <n v="0"/>
    <n v="1"/>
    <s v="Critical"/>
    <s v="Talent Pool - India - NB"/>
    <x v="3"/>
    <s v="No"/>
    <s v="Bench"/>
    <m/>
    <x v="1"/>
    <d v="2025-11-24T00:00:00"/>
    <m/>
  </r>
  <r>
    <n v="100404"/>
    <s v="Sunandit Chaudhuri"/>
    <d v="2024-03-26T00:00:00"/>
    <s v="IRM Warranty - Fixed / T&amp;M"/>
    <n v="0"/>
    <n v="0"/>
    <n v="180"/>
    <n v="0"/>
    <n v="180"/>
    <n v="180"/>
    <n v="1"/>
    <n v="0"/>
    <s v="Good"/>
    <s v="IRM Warranty - Fixed / T&amp;M"/>
    <x v="0"/>
    <s v="Yes"/>
    <s v="IRM Warranty"/>
    <m/>
    <x v="0"/>
    <s v=""/>
    <m/>
  </r>
  <r>
    <n v="100406"/>
    <s v="Alisha Joy"/>
    <d v="2024-03-26T00:00:00"/>
    <s v="DS Smith - Pool"/>
    <n v="72"/>
    <n v="0"/>
    <n v="0"/>
    <n v="108"/>
    <n v="180"/>
    <n v="108"/>
    <n v="0"/>
    <n v="1"/>
    <s v="Critical"/>
    <s v="DS Smith - Pool - NB_x000a_M_Leave"/>
    <x v="3"/>
    <s v="No"/>
    <s v="Bench"/>
    <m/>
    <x v="0"/>
    <s v=""/>
    <s v="will be going on maternity leave from 25 Nov'25"/>
  </r>
  <r>
    <n v="100412"/>
    <s v="Abhinandan Unawane"/>
    <d v="2024-04-01T00:00:00"/>
    <s v="RCA with Gen AI_x000a_Talent Pool - India_x000a_Odyssey Hotels Group"/>
    <n v="4.5"/>
    <n v="0"/>
    <n v="160.5"/>
    <n v="15"/>
    <n v="180"/>
    <n v="175.5"/>
    <n v="0.9145299145299145"/>
    <n v="8.5470085470085472E-2"/>
    <s v="Good"/>
    <s v="Talent Pool - India_x000a_Odyssey Hotels Group"/>
    <x v="1"/>
    <s v="Yes"/>
    <s v="Multiple Projects"/>
    <m/>
    <x v="0"/>
    <s v=""/>
    <m/>
  </r>
  <r>
    <n v="100411"/>
    <s v="Juhi Ashok Gianani"/>
    <d v="2024-04-01T00:00:00"/>
    <s v="E Invoicing - Fixed"/>
    <n v="36"/>
    <n v="0"/>
    <n v="144"/>
    <n v="0"/>
    <n v="180"/>
    <n v="144"/>
    <n v="1"/>
    <n v="0"/>
    <s v="Good"/>
    <s v="E Invoicing - Fixed"/>
    <x v="1"/>
    <s v="Yes"/>
    <s v="E Invoicing"/>
    <m/>
    <x v="0"/>
    <s v=""/>
    <m/>
  </r>
  <r>
    <n v="100414"/>
    <s v="Aakash Agarwal "/>
    <d v="2024-04-08T00:00:00"/>
    <s v="AIXponent - Internal"/>
    <n v="18"/>
    <n v="0"/>
    <n v="0"/>
    <n v="162"/>
    <n v="180"/>
    <n v="162"/>
    <n v="0"/>
    <n v="1"/>
    <s v="Critical"/>
    <s v="AIXponent - Internal - NB"/>
    <x v="2"/>
    <s v="No"/>
    <s v="AIXponent"/>
    <m/>
    <x v="0"/>
    <s v=""/>
    <m/>
  </r>
  <r>
    <n v="100416"/>
    <s v="Priyanka Rajendra Deshmukh"/>
    <d v="2024-04-10T00:00:00"/>
    <s v="E Invoicing - Fixed"/>
    <n v="9"/>
    <n v="0"/>
    <n v="171"/>
    <n v="0"/>
    <n v="180"/>
    <n v="171"/>
    <n v="1"/>
    <n v="0"/>
    <s v="Good"/>
    <s v="E Invoicing - Fixed"/>
    <x v="1"/>
    <s v="Yes"/>
    <s v="E Invoicing"/>
    <d v="2025-10-27T00:00:00"/>
    <x v="0"/>
    <s v=""/>
    <m/>
  </r>
  <r>
    <n v="100417"/>
    <s v="Ishwari Ashok Masalkar"/>
    <d v="2024-04-10T00:00:00"/>
    <s v="ICICI Pru amc - T&amp;M"/>
    <n v="18"/>
    <n v="0"/>
    <n v="162"/>
    <n v="0"/>
    <n v="180"/>
    <n v="162"/>
    <n v="1"/>
    <n v="0"/>
    <s v="Good"/>
    <s v="ICICI Pru amc - T&amp;M"/>
    <x v="0"/>
    <s v="Yes"/>
    <s v="ICICI Pru amc"/>
    <m/>
    <x v="1"/>
    <d v="2026-01-26T00:00:00"/>
    <m/>
  </r>
  <r>
    <n v="100424"/>
    <s v="Sushil Deepak Nyayadhish"/>
    <d v="2024-04-22T00:00:00"/>
    <s v="TATA AIG T&amp;M"/>
    <n v="0"/>
    <n v="0"/>
    <n v="180"/>
    <n v="0"/>
    <n v="180"/>
    <n v="180"/>
    <n v="1"/>
    <n v="0"/>
    <s v="Good"/>
    <s v="TATA AIG T&amp;M"/>
    <x v="0"/>
    <s v="Yes"/>
    <s v="TATA AIG"/>
    <m/>
    <x v="0"/>
    <s v=""/>
    <m/>
  </r>
  <r>
    <n v="100426"/>
    <s v="Challa Naveen Kumar"/>
    <d v="2024-04-23T00:00:00"/>
    <s v="SBI Life T&amp;M"/>
    <n v="0"/>
    <n v="0"/>
    <n v="180"/>
    <n v="0"/>
    <n v="180"/>
    <n v="180"/>
    <n v="1"/>
    <n v="0"/>
    <s v="Good"/>
    <s v="SBI Life T&amp;M"/>
    <x v="0"/>
    <s v="Yes"/>
    <s v="SBI Life"/>
    <m/>
    <x v="0"/>
    <s v=""/>
    <m/>
  </r>
  <r>
    <n v="100427"/>
    <s v="Manasi Sarang Pathak"/>
    <d v="2024-04-25T00:00:00"/>
    <s v="T&amp;M Requirement-Adani-1 API Developer"/>
    <n v="54"/>
    <n v="0"/>
    <n v="126"/>
    <n v="0"/>
    <n v="180"/>
    <n v="126"/>
    <n v="1"/>
    <n v="0"/>
    <s v="Good"/>
    <s v="T&amp;M Requirement-Adani-1 API Developer"/>
    <x v="0"/>
    <s v="Yes"/>
    <s v="T&amp;M Requirement-Adani-1 API Developer"/>
    <d v="2025-10-14T00:00:00"/>
    <x v="0"/>
    <s v=""/>
    <m/>
  </r>
  <r>
    <n v="100428"/>
    <s v="Krisha Jayendra Makwana"/>
    <d v="2024-04-29T00:00:00"/>
    <s v="Comviva Talend Migration_x000a_Talent Pool - India"/>
    <n v="36"/>
    <n v="0"/>
    <n v="135"/>
    <n v="9"/>
    <n v="180"/>
    <n v="144"/>
    <n v="0.9375"/>
    <n v="6.25E-2"/>
    <s v="Good"/>
    <s v="Comviva Talend Migration"/>
    <x v="1"/>
    <s v="Yes"/>
    <s v="Comviva"/>
    <d v="2025-11-03T00:00:00"/>
    <x v="0"/>
    <s v=""/>
    <m/>
  </r>
  <r>
    <n v="100430"/>
    <s v="Divya Singh"/>
    <d v="2024-05-02T00:00:00"/>
    <s v="Talent Pool - India"/>
    <n v="0"/>
    <n v="0"/>
    <n v="0"/>
    <n v="45"/>
    <n v="45"/>
    <n v="45"/>
    <n v="0"/>
    <n v="1"/>
    <s v="Critical"/>
    <s v="Talent Pool - India -NB"/>
    <x v="3"/>
    <s v="No"/>
    <s v="Bench"/>
    <m/>
    <x v="1"/>
    <d v="2025-11-07T00:00:00"/>
    <m/>
  </r>
  <r>
    <n v="100435"/>
    <s v="Tushar Hanumant Sable"/>
    <d v="2024-05-09T00:00:00"/>
    <s v="TATA AIG T&amp;M"/>
    <n v="9"/>
    <n v="0"/>
    <n v="171"/>
    <n v="0"/>
    <n v="180"/>
    <n v="171"/>
    <n v="1"/>
    <n v="0"/>
    <s v="Good"/>
    <s v="TATA AIG T&amp;M"/>
    <x v="0"/>
    <s v="Yes"/>
    <s v="TATA AIG"/>
    <m/>
    <x v="0"/>
    <s v=""/>
    <m/>
  </r>
  <r>
    <n v="100431"/>
    <s v="Swapnil Pandurang Yesade"/>
    <d v="2024-05-15T00:00:00"/>
    <s v="SBI Life T&amp;M"/>
    <n v="18"/>
    <n v="0"/>
    <n v="162"/>
    <n v="0"/>
    <n v="180"/>
    <n v="162"/>
    <n v="1"/>
    <n v="0"/>
    <s v="Good"/>
    <s v="SBI Life T&amp;M"/>
    <x v="0"/>
    <s v="Yes"/>
    <s v="SBI Life"/>
    <m/>
    <x v="0"/>
    <s v=""/>
    <m/>
  </r>
  <r>
    <n v="100440"/>
    <s v="Sohail Shakeel Khan"/>
    <d v="2024-05-21T00:00:00"/>
    <s v="HDFC Life Bis - T&amp;M"/>
    <n v="54"/>
    <n v="0"/>
    <n v="126"/>
    <n v="0"/>
    <n v="180"/>
    <n v="126"/>
    <n v="1"/>
    <n v="0"/>
    <s v="Good"/>
    <s v="HDFC Life Bis - T&amp;M"/>
    <x v="0"/>
    <s v="Yes"/>
    <s v="HDFC Life Bis"/>
    <m/>
    <x v="0"/>
    <s v=""/>
    <m/>
  </r>
  <r>
    <n v="100441"/>
    <s v="Dhawal Praveen Tiwari"/>
    <d v="2024-05-21T00:00:00"/>
    <s v="TATA AIG T&amp;M"/>
    <n v="0"/>
    <n v="0"/>
    <n v="180"/>
    <n v="0"/>
    <n v="180"/>
    <n v="180"/>
    <n v="1"/>
    <n v="0"/>
    <s v="Good"/>
    <s v="TATA AIG T&amp;M"/>
    <x v="0"/>
    <s v="Yes"/>
    <s v="TATA AIG"/>
    <m/>
    <x v="0"/>
    <s v=""/>
    <m/>
  </r>
  <r>
    <n v="100444"/>
    <s v="Vishakha Ranjan"/>
    <d v="2024-05-27T00:00:00"/>
    <s v="BCG -T&amp;M"/>
    <n v="49.5"/>
    <n v="0"/>
    <n v="130.5"/>
    <n v="0"/>
    <n v="180"/>
    <n v="130.5"/>
    <n v="1"/>
    <n v="0"/>
    <s v="Good"/>
    <s v="BCG -T&amp;M"/>
    <x v="0"/>
    <s v="Yes"/>
    <s v="BCG"/>
    <m/>
    <x v="1"/>
    <s v=""/>
    <m/>
  </r>
  <r>
    <n v="100447"/>
    <s v="Swati Jain"/>
    <d v="2024-05-30T00:00:00"/>
    <s v="Emory - Fixed"/>
    <n v="9"/>
    <n v="0"/>
    <n v="171"/>
    <n v="0"/>
    <n v="180"/>
    <n v="171"/>
    <n v="1"/>
    <n v="0"/>
    <s v="Good"/>
    <s v="Emory - Fixed"/>
    <x v="1"/>
    <s v="Yes"/>
    <s v="Emory"/>
    <m/>
    <x v="0"/>
    <s v=""/>
    <m/>
  </r>
  <r>
    <n v="100449"/>
    <s v="Divya Sharma"/>
    <d v="2024-05-30T00:00:00"/>
    <s v="HDFC Life Data Lab - T&amp;M"/>
    <n v="45"/>
    <n v="0"/>
    <n v="135"/>
    <n v="0"/>
    <n v="180"/>
    <n v="135"/>
    <n v="1"/>
    <n v="0"/>
    <s v="Good"/>
    <s v="HDFC Life Data Lab - T&amp;M"/>
    <x v="0"/>
    <s v="Yes"/>
    <s v="HDFC Life Data Lab"/>
    <m/>
    <x v="0"/>
    <s v=""/>
    <m/>
  </r>
  <r>
    <n v="100450"/>
    <s v="Hariharan S"/>
    <d v="2024-05-30T00:00:00"/>
    <s v="Xanadu - T&amp;M"/>
    <n v="0"/>
    <n v="0"/>
    <n v="180"/>
    <n v="0"/>
    <n v="180"/>
    <n v="180"/>
    <n v="1"/>
    <n v="0"/>
    <s v="Good"/>
    <s v="Xanadu - T&amp;M"/>
    <x v="0"/>
    <s v="Yes"/>
    <s v="Xanadu"/>
    <m/>
    <x v="0"/>
    <s v=""/>
    <m/>
  </r>
  <r>
    <n v="100452"/>
    <s v="Yogesh Rameshwar Nagare"/>
    <d v="2024-06-03T00:00:00"/>
    <s v="Talent Pool - India_x000a_Niva Bupa  - CR New Reports &amp; Enhancement - T&amp;M"/>
    <n v="0"/>
    <n v="0"/>
    <n v="40"/>
    <n v="140"/>
    <n v="180"/>
    <n v="180"/>
    <n v="0.22222222222222221"/>
    <n v="0.77777777777777779"/>
    <s v="Critical"/>
    <s v="Talent Pool - India - NB_x000a_Niva Bupa  - CR New Reports &amp; Enhancement - T&amp;M - B ( 20% Billable )"/>
    <x v="0"/>
    <s v="Yes"/>
    <s v="Niva Bupa - CR New Reports &amp; Enhancement"/>
    <m/>
    <x v="0"/>
    <s v=""/>
    <s v="In Niva Bupa 25% Billable"/>
  </r>
  <r>
    <n v="100453"/>
    <s v="Syed Sardar "/>
    <d v="2024-06-03T00:00:00"/>
    <s v="Databricks Center of Excellence (CoE) - Internal_x000a_Emory - Fixed"/>
    <n v="9"/>
    <n v="0"/>
    <n v="79"/>
    <n v="92"/>
    <n v="180"/>
    <n v="171"/>
    <n v="0.46198830409356723"/>
    <n v="0.53801169590643272"/>
    <s v="Critical"/>
    <s v="Databricks Center of Excellence (CoE) - Internal - NB_x000a_Emory - Fixed - B"/>
    <x v="7"/>
    <s v="Yes"/>
    <s v="Emory"/>
    <d v="2025-11-11T00:00:00"/>
    <x v="0"/>
    <s v=""/>
    <m/>
  </r>
  <r>
    <n v="100454"/>
    <s v="Pravin Auti "/>
    <d v="2024-06-03T00:00:00"/>
    <s v="TATA AIG T&amp;M"/>
    <n v="18"/>
    <n v="0"/>
    <n v="162"/>
    <n v="0"/>
    <n v="180"/>
    <n v="162"/>
    <n v="1"/>
    <n v="0"/>
    <s v="Good"/>
    <s v="TATA AIG T&amp;M"/>
    <x v="0"/>
    <s v="Yes"/>
    <s v="TATA AIG"/>
    <m/>
    <x v="0"/>
    <s v=""/>
    <m/>
  </r>
  <r>
    <n v="100455"/>
    <s v="Arpit Joshi"/>
    <d v="2024-06-04T00:00:00"/>
    <s v="Niva Bupa  - CR New Reports &amp; Enhancement - T&amp;M"/>
    <n v="0"/>
    <n v="0"/>
    <n v="180"/>
    <n v="0"/>
    <n v="180"/>
    <n v="180"/>
    <n v="1"/>
    <n v="0"/>
    <s v="Good"/>
    <s v="Niva Bupa  - CR New Reports &amp; Enhancement - T&amp;M"/>
    <x v="0"/>
    <s v="Yes"/>
    <s v="Niva Bupa - CR New Reports &amp; Enhancement"/>
    <m/>
    <x v="1"/>
    <d v="2025-12-01T00:00:00"/>
    <m/>
  </r>
  <r>
    <n v="100459"/>
    <s v="Ranjana Chatterjee"/>
    <d v="2024-06-11T00:00:00"/>
    <s v="Financial Services - T&amp;M"/>
    <n v="27"/>
    <n v="0"/>
    <n v="153"/>
    <n v="0"/>
    <n v="180"/>
    <n v="153"/>
    <n v="1"/>
    <n v="0"/>
    <s v="Good"/>
    <s v="Financial Services - T&amp;M"/>
    <x v="0"/>
    <s v="Yes"/>
    <s v="Adani Capital"/>
    <m/>
    <x v="0"/>
    <s v=""/>
    <m/>
  </r>
  <r>
    <n v="100458"/>
    <s v="Ankit Jain"/>
    <d v="2024-06-13T00:00:00"/>
    <s v="BCG -T&amp;M"/>
    <n v="27"/>
    <n v="0"/>
    <n v="153"/>
    <n v="0"/>
    <n v="180"/>
    <n v="153"/>
    <n v="1"/>
    <n v="0"/>
    <s v="Good"/>
    <s v="BCG -T&amp;M"/>
    <x v="0"/>
    <s v="Yes"/>
    <s v="BCG"/>
    <m/>
    <x v="0"/>
    <s v=""/>
    <m/>
  </r>
  <r>
    <n v="100460"/>
    <s v="Kothiya Dhruvkumar Mukeshbhai"/>
    <d v="2024-06-17T00:00:00"/>
    <s v="HDFC Life Digi Lab - T&amp;M"/>
    <n v="18"/>
    <n v="0"/>
    <n v="162"/>
    <n v="0"/>
    <n v="180"/>
    <n v="162"/>
    <n v="1"/>
    <n v="0"/>
    <s v="Good"/>
    <s v="HDFC Life Digi Lab - T&amp;M"/>
    <x v="0"/>
    <s v="Yes"/>
    <s v="HDFC Life Digi Lab"/>
    <m/>
    <x v="0"/>
    <s v=""/>
    <m/>
  </r>
  <r>
    <n v="100464"/>
    <s v="Surekha Basu Chavan"/>
    <d v="2024-06-25T00:00:00"/>
    <s v="Odyssey Hotels Group"/>
    <n v="0"/>
    <n v="0"/>
    <n v="180"/>
    <n v="0"/>
    <n v="180"/>
    <n v="180"/>
    <n v="1"/>
    <n v="0"/>
    <s v="Good"/>
    <s v="Odyssey Hotels Group"/>
    <x v="1"/>
    <s v="Yes"/>
    <s v="Odyssey"/>
    <d v="2025-10-17T00:00:00"/>
    <x v="0"/>
    <s v=""/>
    <m/>
  </r>
  <r>
    <n v="100470"/>
    <s v="Saurabh Mishra"/>
    <d v="2024-07-03T00:00:00"/>
    <s v="SBI Life T&amp;M"/>
    <n v="18"/>
    <n v="0"/>
    <n v="162"/>
    <n v="0"/>
    <n v="180"/>
    <n v="162"/>
    <n v="1"/>
    <n v="0"/>
    <s v="Good"/>
    <s v="SBI Life T&amp;M"/>
    <x v="0"/>
    <s v="Yes"/>
    <s v="SBI Life"/>
    <m/>
    <x v="0"/>
    <s v=""/>
    <m/>
  </r>
  <r>
    <n v="100469"/>
    <s v="Suraj Lalchand Vishwakarma"/>
    <d v="2024-07-04T00:00:00"/>
    <s v="Niva Bupa  - CR New Reports &amp; Enhancement - T&amp;M"/>
    <n v="13.5"/>
    <n v="0"/>
    <n v="166.5"/>
    <n v="0"/>
    <n v="180"/>
    <n v="166.5"/>
    <n v="1"/>
    <n v="0"/>
    <s v="Good"/>
    <s v="Niva Bupa  - CR New Reports &amp; Enhancement - T&amp;M"/>
    <x v="0"/>
    <s v="Yes"/>
    <s v="Niva Bupa - CR New Reports &amp; Enhancement"/>
    <m/>
    <x v="0"/>
    <s v=""/>
    <m/>
  </r>
  <r>
    <n v="100471"/>
    <s v="Imran M Beig"/>
    <d v="2024-07-04T00:00:00"/>
    <s v="Data Foundation for Databricks PoC - T&amp;M"/>
    <n v="9"/>
    <n v="0"/>
    <n v="171"/>
    <n v="0"/>
    <n v="180"/>
    <n v="171"/>
    <n v="1"/>
    <n v="0"/>
    <s v="Good"/>
    <s v="Data Foundation for Databricks PoC - T&amp;M"/>
    <x v="7"/>
    <s v="Yes"/>
    <s v="Data Foundation for Databricks PoC"/>
    <m/>
    <x v="0"/>
    <s v=""/>
    <m/>
  </r>
  <r>
    <n v="100472"/>
    <s v="Mangali Hemavathi"/>
    <d v="2024-07-05T00:00:00"/>
    <s v="HDFC Life Data Lab - T&amp;M"/>
    <n v="18"/>
    <n v="0"/>
    <n v="162"/>
    <n v="0"/>
    <n v="180"/>
    <n v="162"/>
    <n v="1"/>
    <n v="0"/>
    <s v="Good"/>
    <s v="HDFC Life Data Lab - T&amp;M"/>
    <x v="0"/>
    <s v="Yes"/>
    <s v="HDFC Life Data Lab"/>
    <m/>
    <x v="0"/>
    <s v=""/>
    <m/>
  </r>
  <r>
    <n v="100473"/>
    <s v="Kishor Namdeo Kalaskar"/>
    <d v="2024-07-16T00:00:00"/>
    <s v="Talent Pool - India"/>
    <n v="0"/>
    <n v="0"/>
    <n v="0"/>
    <n v="45"/>
    <n v="45"/>
    <n v="45"/>
    <n v="0"/>
    <n v="1"/>
    <s v="Critical"/>
    <s v="Talent Pool - India -NB"/>
    <x v="3"/>
    <s v="No"/>
    <s v="Bench"/>
    <m/>
    <x v="1"/>
    <d v="2025-11-07T00:00:00"/>
    <m/>
  </r>
  <r>
    <n v="100474"/>
    <s v="Naresh Dipak Pardeshi"/>
    <d v="2024-07-17T00:00:00"/>
    <s v="Data Foundation for Databricks PoC - T&amp;M"/>
    <n v="18"/>
    <n v="0"/>
    <n v="162"/>
    <n v="0"/>
    <n v="180"/>
    <n v="162"/>
    <n v="1"/>
    <n v="0"/>
    <s v="Good"/>
    <s v="Data Foundation for Databricks PoC - T&amp;M - NB_x000a_Talent Pool"/>
    <x v="0"/>
    <s v="No"/>
    <s v="Bench"/>
    <m/>
    <x v="0"/>
    <s v=""/>
    <s v="Resume shared with TATA AIG to be confirmed by shreeya"/>
  </r>
  <r>
    <n v="100475"/>
    <s v="Neha Nandlal Gupta"/>
    <d v="2024-07-19T00:00:00"/>
    <s v="AIXponent - Internal"/>
    <n v="0"/>
    <n v="0"/>
    <n v="0"/>
    <n v="180"/>
    <n v="180"/>
    <n v="180"/>
    <n v="0"/>
    <n v="1"/>
    <s v="Critical"/>
    <s v="AIXponent - Internal - NB"/>
    <x v="5"/>
    <s v="No"/>
    <s v="AIXponent"/>
    <m/>
    <x v="0"/>
    <s v=""/>
    <m/>
  </r>
  <r>
    <n v="100476"/>
    <s v="Anup Kumar"/>
    <d v="2024-07-23T00:00:00"/>
    <s v="Talent Pool - India"/>
    <n v="0"/>
    <n v="0"/>
    <n v="0"/>
    <n v="180"/>
    <n v="180"/>
    <n v="180"/>
    <n v="0"/>
    <n v="1"/>
    <s v="Critical"/>
    <s v="PreSales - NB"/>
    <x v="8"/>
    <s v="No"/>
    <s v="PreSales"/>
    <m/>
    <x v="0"/>
    <s v=""/>
    <m/>
  </r>
  <r>
    <n v="100477"/>
    <s v="Shivamkumar Sushilkumar Yadav"/>
    <d v="2024-07-25T00:00:00"/>
    <s v="ICICI Pru amc - T&amp;M"/>
    <n v="9"/>
    <n v="0"/>
    <n v="171"/>
    <n v="0"/>
    <n v="180"/>
    <n v="171"/>
    <n v="1"/>
    <n v="0"/>
    <s v="Good"/>
    <s v="ICICI Pru amc - T&amp;M"/>
    <x v="0"/>
    <s v="Yes"/>
    <s v="ICICI Pru amc"/>
    <m/>
    <x v="0"/>
    <s v=""/>
    <m/>
  </r>
  <r>
    <n v="100482"/>
    <s v="Khandapu Krishna veni"/>
    <d v="2024-08-05T00:00:00"/>
    <s v="TATA AIG T&amp;M"/>
    <n v="0"/>
    <n v="0"/>
    <n v="180"/>
    <n v="0"/>
    <n v="180"/>
    <n v="180"/>
    <n v="1"/>
    <n v="0"/>
    <s v="Good"/>
    <s v="TATA AIG T&amp;M"/>
    <x v="0"/>
    <s v="Yes"/>
    <s v="TATA AIG"/>
    <m/>
    <x v="0"/>
    <s v=""/>
    <m/>
  </r>
  <r>
    <n v="100483"/>
    <s v="Dravya Ghoil"/>
    <d v="2024-08-06T00:00:00"/>
    <s v="Adani Logistics"/>
    <n v="18"/>
    <n v="0"/>
    <n v="162"/>
    <n v="0"/>
    <n v="180"/>
    <n v="162"/>
    <n v="1"/>
    <n v="0"/>
    <s v="Good"/>
    <s v="Adani Logistics"/>
    <x v="1"/>
    <s v="Yes"/>
    <s v="Adani Logistics"/>
    <m/>
    <x v="0"/>
    <s v=""/>
    <m/>
  </r>
  <r>
    <n v="100484"/>
    <s v="Sumeet Dudeshwar Bisen"/>
    <d v="2024-08-07T00:00:00"/>
    <s v="Nuvama Gen AI - Fixed_x000a_Data Foundation for Databricks PoC - T&amp;M"/>
    <n v="18"/>
    <n v="0"/>
    <n v="162"/>
    <n v="0"/>
    <n v="180"/>
    <n v="162"/>
    <n v="1"/>
    <n v="0"/>
    <s v="Good"/>
    <s v="Nuvama Gen AI - Fixed"/>
    <x v="1"/>
    <s v="Yes"/>
    <s v="Nuvama Gen AI"/>
    <m/>
    <x v="0"/>
    <s v=""/>
    <m/>
  </r>
  <r>
    <n v="100485"/>
    <s v="Hedyat Ullah "/>
    <d v="2024-08-08T00:00:00"/>
    <s v="Comviva Talend Migration"/>
    <n v="0"/>
    <n v="0"/>
    <n v="180"/>
    <n v="0"/>
    <n v="180"/>
    <n v="180"/>
    <n v="1"/>
    <n v="0"/>
    <s v="Good"/>
    <s v="Comviva Talend Migration"/>
    <x v="1"/>
    <s v="Yes"/>
    <s v="Comviva"/>
    <d v="2025-10-30T00:00:00"/>
    <x v="1"/>
    <s v=""/>
    <m/>
  </r>
  <r>
    <n v="100486"/>
    <s v="Meetu Bhardwaj"/>
    <d v="2024-08-14T00:00:00"/>
    <s v="BCG -T&amp;M"/>
    <n v="9"/>
    <n v="0"/>
    <n v="171"/>
    <n v="0"/>
    <n v="180"/>
    <n v="171"/>
    <n v="1"/>
    <n v="0"/>
    <s v="Good"/>
    <s v="BCG -T&amp;M"/>
    <x v="0"/>
    <s v="Yes"/>
    <s v="BCG"/>
    <m/>
    <x v="0"/>
    <s v=""/>
    <m/>
  </r>
  <r>
    <n v="100488"/>
    <s v="Aniket Sudhakar Patil"/>
    <d v="2024-08-19T00:00:00"/>
    <s v="ABSLI Qlik Dashboard - Fixed &amp; Fixed T&amp;M"/>
    <n v="18"/>
    <n v="0"/>
    <n v="162"/>
    <n v="0"/>
    <n v="180"/>
    <n v="162"/>
    <n v="1"/>
    <n v="0"/>
    <s v="Good"/>
    <s v="ABSLI Qlik Dashboard - Fixed &amp; Fixed T&amp;M"/>
    <x v="1"/>
    <s v="Yes"/>
    <s v="ABSLI"/>
    <d v="2025-10-22T00:00:00"/>
    <x v="0"/>
    <s v=""/>
    <m/>
  </r>
  <r>
    <n v="100489"/>
    <s v="Nilkantha Nayak"/>
    <d v="2024-08-19T00:00:00"/>
    <s v="SBI Life T&amp;M"/>
    <n v="18"/>
    <n v="0"/>
    <n v="162"/>
    <n v="0"/>
    <n v="180"/>
    <n v="162"/>
    <n v="1"/>
    <n v="0"/>
    <s v="Good"/>
    <s v="SBI Life T&amp;M"/>
    <x v="0"/>
    <s v="Yes"/>
    <s v="SBI Life"/>
    <m/>
    <x v="0"/>
    <s v=""/>
    <m/>
  </r>
  <r>
    <n v="100492"/>
    <s v="Pranavkumar Keshao Nimgade"/>
    <d v="2024-08-26T00:00:00"/>
    <s v="TMS_Finance - Fixed_x000a_DIOH 360 CR - Fixed"/>
    <n v="9"/>
    <n v="0"/>
    <n v="171"/>
    <n v="0"/>
    <n v="180"/>
    <n v="171"/>
    <n v="1"/>
    <n v="0"/>
    <s v="Good"/>
    <s v="TMS_Finance - Fixed"/>
    <x v="1"/>
    <s v="Yes"/>
    <s v="TMS_Finance"/>
    <d v="2025-10-07T00:00:00"/>
    <x v="0"/>
    <s v=""/>
    <m/>
  </r>
  <r>
    <n v="400021"/>
    <s v="Sheena Binoy"/>
    <d v="2024-08-27T00:00:00"/>
    <s v="DSS - T&amp;M_Yogi_Team - T&amp;M"/>
    <n v="0"/>
    <n v="0"/>
    <n v="180"/>
    <n v="0"/>
    <n v="180"/>
    <n v="180"/>
    <n v="1"/>
    <n v="0"/>
    <s v="Good"/>
    <s v="DSS - T&amp;M_Yogi_Team - T&amp;M"/>
    <x v="0"/>
    <s v="Yes"/>
    <s v="DSS - T&amp;M_Yogi_Team"/>
    <m/>
    <x v="0"/>
    <s v=""/>
    <m/>
  </r>
  <r>
    <n v="100588"/>
    <s v="Vinay Chafle"/>
    <d v="2024-08-29T00:00:00"/>
    <s v="Talent Pool - India"/>
    <n v="0"/>
    <n v="0"/>
    <n v="0"/>
    <n v="180"/>
    <n v="180"/>
    <n v="180"/>
    <n v="0"/>
    <n v="1"/>
    <s v="Critical"/>
    <s v="Talent Pool - India - NB"/>
    <x v="3"/>
    <s v="No"/>
    <s v="Translation Application"/>
    <d v="2025-12-01T00:00:00"/>
    <x v="0"/>
    <s v=""/>
    <s v="will be onboarded to translation application project from 1 Dec'25"/>
  </r>
  <r>
    <n v="100493"/>
    <s v="Rutuja Pradeep Balkundre"/>
    <d v="2024-08-29T00:00:00"/>
    <s v="Trackchain - Argus - Fixed "/>
    <n v="0"/>
    <n v="0"/>
    <n v="180"/>
    <n v="0"/>
    <n v="180"/>
    <n v="180"/>
    <n v="1"/>
    <n v="0"/>
    <s v="Good"/>
    <s v="Trackchain - Argus - Fixed "/>
    <x v="1"/>
    <s v="Yes"/>
    <s v="Trackchain Argus"/>
    <d v="2025-09-29T00:00:00"/>
    <x v="0"/>
    <s v=""/>
    <m/>
  </r>
  <r>
    <n v="100496"/>
    <s v="Kiran Krishna Patil"/>
    <d v="2024-08-30T00:00:00"/>
    <s v="HDFC Life Data Lab - T&amp;M"/>
    <n v="0"/>
    <n v="0"/>
    <n v="180"/>
    <n v="0"/>
    <n v="180"/>
    <n v="180"/>
    <n v="1"/>
    <n v="0"/>
    <s v="Good"/>
    <s v="HDFC Life Data Lab - T&amp;M"/>
    <x v="0"/>
    <s v="Yes"/>
    <s v="HDFC Life Data Lab"/>
    <m/>
    <x v="1"/>
    <s v=""/>
    <m/>
  </r>
  <r>
    <n v="100495"/>
    <s v="Vijay Hansraj Yadav"/>
    <d v="2024-08-30T00:00:00"/>
    <s v="Datafactory - T&amp;M"/>
    <n v="0"/>
    <n v="0"/>
    <n v="180"/>
    <n v="0"/>
    <n v="180"/>
    <n v="180"/>
    <n v="1"/>
    <n v="0"/>
    <s v="Good"/>
    <s v="Datafactory - T&amp;M"/>
    <x v="0"/>
    <s v="Yes"/>
    <s v="Datafactory"/>
    <m/>
    <x v="1"/>
    <d v="2025-12-10T00:00:00"/>
    <m/>
  </r>
  <r>
    <n v="100500"/>
    <s v="Abhishek Sunil Sawlikar"/>
    <d v="2024-09-02T00:00:00"/>
    <s v="Talent Pool - India"/>
    <n v="9"/>
    <n v="0"/>
    <n v="0"/>
    <n v="171"/>
    <n v="180"/>
    <n v="171"/>
    <n v="0"/>
    <n v="1"/>
    <s v="Critical"/>
    <s v="Talent Pool - India -NB"/>
    <x v="3"/>
    <s v="No"/>
    <s v="Bench"/>
    <m/>
    <x v="1"/>
    <d v="2025-12-08T00:00:00"/>
    <m/>
  </r>
  <r>
    <n v="100501"/>
    <s v="Anas Sameer Mulla"/>
    <d v="2024-09-03T00:00:00"/>
    <s v="Emory - Fixed"/>
    <n v="9"/>
    <n v="0"/>
    <n v="171"/>
    <n v="0"/>
    <n v="180"/>
    <n v="171"/>
    <n v="1"/>
    <n v="0"/>
    <s v="Good"/>
    <s v="Emory - Fixed"/>
    <x v="1"/>
    <s v="Yes"/>
    <s v="Emory"/>
    <m/>
    <x v="0"/>
    <s v=""/>
    <m/>
  </r>
  <r>
    <n v="100504"/>
    <s v="Akash Devendra Gawande"/>
    <d v="2024-09-16T00:00:00"/>
    <s v="Niva Bupa  - CR New Reports &amp; Enhancement - T&amp;M"/>
    <n v="27"/>
    <n v="0"/>
    <n v="153"/>
    <n v="0"/>
    <n v="180"/>
    <n v="153"/>
    <n v="1"/>
    <n v="0"/>
    <s v="Good"/>
    <s v="Niva Bupa  - CR New Reports &amp; Enhancement - T&amp;M"/>
    <x v="0"/>
    <s v="Yes"/>
    <s v="Niva Bupa  - CR New Reports &amp; Enhancement"/>
    <m/>
    <x v="0"/>
    <s v=""/>
    <m/>
  </r>
  <r>
    <n v="100626"/>
    <s v="Gorakala Venkatesh"/>
    <d v="2024-09-16T00:00:00"/>
    <s v="BCG -T&amp;M"/>
    <n v="27"/>
    <n v="0"/>
    <n v="0"/>
    <n v="153"/>
    <n v="180"/>
    <n v="153"/>
    <n v="0"/>
    <n v="1"/>
    <s v="Critical"/>
    <s v="BCG -T&amp;M - NB"/>
    <x v="0"/>
    <s v="No"/>
    <s v="Bench"/>
    <m/>
    <x v="0"/>
    <s v=""/>
    <m/>
  </r>
  <r>
    <n v="100506"/>
    <s v="Shripati More"/>
    <d v="2024-09-17T00:00:00"/>
    <s v="Talent Pool - India"/>
    <n v="27"/>
    <n v="0"/>
    <n v="0"/>
    <n v="153"/>
    <n v="180"/>
    <n v="153"/>
    <n v="0"/>
    <n v="1"/>
    <s v="Critical"/>
    <s v="Talent Pool - India -NB"/>
    <x v="3"/>
    <s v="No"/>
    <s v="Bench"/>
    <m/>
    <x v="1"/>
    <d v="2025-12-08T00:00:00"/>
    <m/>
  </r>
  <r>
    <n v="100508"/>
    <s v="Yatharth Mathur"/>
    <d v="2024-09-23T00:00:00"/>
    <s v="Datafactory - T&amp;M"/>
    <n v="18"/>
    <n v="0"/>
    <n v="162"/>
    <n v="0"/>
    <n v="180"/>
    <n v="162"/>
    <n v="1"/>
    <n v="0"/>
    <s v="Good"/>
    <s v="Datafactory - T&amp;M"/>
    <x v="0"/>
    <s v="Yes"/>
    <s v="Datafactory"/>
    <m/>
    <x v="0"/>
    <s v=""/>
    <m/>
  </r>
  <r>
    <n v="100512"/>
    <s v="Omkar Sudarshan Gujja"/>
    <d v="2024-09-26T00:00:00"/>
    <s v="AIXponent - Internal_x000a_Data Coach "/>
    <n v="0"/>
    <n v="0"/>
    <n v="9"/>
    <n v="171"/>
    <n v="180"/>
    <n v="180"/>
    <n v="0.05"/>
    <n v="0.95"/>
    <s v="Critical"/>
    <s v="AIXponent - Internal - NB_x000a_Data Coach - B"/>
    <x v="9"/>
    <s v="No"/>
    <s v="Mankind"/>
    <d v="2025-11-26T00:00:00"/>
    <x v="0"/>
    <s v=""/>
    <m/>
  </r>
  <r>
    <n v="100513"/>
    <s v="Roshan Pandurang Chothe"/>
    <d v="2024-09-27T00:00:00"/>
    <s v="TATA AIG T&amp;M"/>
    <n v="36"/>
    <n v="0"/>
    <n v="144"/>
    <n v="0"/>
    <n v="180"/>
    <n v="144"/>
    <n v="1"/>
    <n v="0"/>
    <s v="Good"/>
    <s v="TATA AIG T&amp;M"/>
    <x v="0"/>
    <s v="Yes"/>
    <s v="TATA AIG"/>
    <m/>
    <x v="0"/>
    <s v=""/>
    <m/>
  </r>
  <r>
    <n v="100514"/>
    <s v="Arpita Vijay Sanas"/>
    <d v="2024-09-30T00:00:00"/>
    <s v="SBI Life T&amp;M"/>
    <n v="0"/>
    <n v="0"/>
    <n v="180"/>
    <n v="0"/>
    <n v="180"/>
    <n v="180"/>
    <n v="1"/>
    <n v="0"/>
    <s v="Good"/>
    <s v="SBI Life T&amp;M"/>
    <x v="0"/>
    <s v="Yes"/>
    <s v="SBI Life"/>
    <m/>
    <x v="0"/>
    <s v=""/>
    <m/>
  </r>
  <r>
    <n v="100518"/>
    <s v="Aashima Sodhi"/>
    <d v="2024-10-07T00:00:00"/>
    <s v="Adani PORT - T&amp;M"/>
    <n v="9"/>
    <n v="0"/>
    <n v="171"/>
    <n v="0"/>
    <n v="180"/>
    <n v="171"/>
    <n v="1"/>
    <n v="0"/>
    <s v="Good"/>
    <s v="Adani PORT - T&amp;M"/>
    <x v="0"/>
    <s v="Yes"/>
    <s v="Adani PORT"/>
    <m/>
    <x v="0"/>
    <s v=""/>
    <m/>
  </r>
  <r>
    <n v="100520"/>
    <s v="Rahul Raosaheb Zaware"/>
    <d v="2024-10-14T00:00:00"/>
    <s v="BCG -T&amp;M"/>
    <n v="0"/>
    <n v="0"/>
    <n v="180"/>
    <n v="0"/>
    <n v="180"/>
    <n v="180"/>
    <n v="1"/>
    <n v="0"/>
    <s v="Good"/>
    <s v="BCG -T&amp;M"/>
    <x v="0"/>
    <s v="Yes"/>
    <s v="BCG"/>
    <m/>
    <x v="1"/>
    <d v="2025-12-18T00:00:00"/>
    <m/>
  </r>
  <r>
    <n v="100521"/>
    <s v="Shivasish Mahapatra"/>
    <d v="2024-10-14T00:00:00"/>
    <s v="Talent Pool - India"/>
    <n v="0"/>
    <n v="0"/>
    <n v="0"/>
    <n v="45"/>
    <n v="45"/>
    <n v="45"/>
    <n v="0"/>
    <n v="1"/>
    <s v="Critical"/>
    <s v="Talent Pool - India -NB"/>
    <x v="3"/>
    <s v="No"/>
    <s v="Bench"/>
    <m/>
    <x v="1"/>
    <d v="2025-11-07T00:00:00"/>
    <m/>
  </r>
  <r>
    <n v="100522"/>
    <s v="Madhuri Mahadev Patil"/>
    <d v="2024-10-15T00:00:00"/>
    <s v="TATA AIG T&amp;M"/>
    <n v="0"/>
    <n v="0"/>
    <n v="180"/>
    <n v="0"/>
    <n v="180"/>
    <n v="180"/>
    <n v="1"/>
    <n v="0"/>
    <s v="Good"/>
    <s v="TATA AIG T&amp;M"/>
    <x v="0"/>
    <s v="Yes"/>
    <s v="TATA AIG"/>
    <m/>
    <x v="0"/>
    <s v=""/>
    <m/>
  </r>
  <r>
    <n v="100523"/>
    <s v="Ananya Bharatee"/>
    <d v="2024-10-18T00:00:00"/>
    <s v="HDFC Product - T&amp;M"/>
    <n v="27"/>
    <n v="0"/>
    <n v="153"/>
    <n v="0"/>
    <n v="180"/>
    <n v="153"/>
    <n v="1"/>
    <n v="0"/>
    <s v="Good"/>
    <s v="HDFC Product - T&amp;M"/>
    <x v="0"/>
    <s v="Yes"/>
    <s v="HDFC Product"/>
    <m/>
    <x v="0"/>
    <s v=""/>
    <m/>
  </r>
  <r>
    <n v="100525"/>
    <s v="Shyam Sukhadeorao Futane"/>
    <d v="2024-10-21T00:00:00"/>
    <s v="TATA AIG T&amp;M"/>
    <n v="0"/>
    <n v="0"/>
    <n v="180"/>
    <n v="0"/>
    <n v="180"/>
    <n v="180"/>
    <n v="1"/>
    <n v="0"/>
    <s v="Good"/>
    <s v="TATA AIG T&amp;M"/>
    <x v="0"/>
    <s v="Yes"/>
    <s v="TATA AIG"/>
    <m/>
    <x v="0"/>
    <s v=""/>
    <m/>
  </r>
  <r>
    <n v="100526"/>
    <s v="Parag Vikas Borkar"/>
    <d v="2024-10-23T00:00:00"/>
    <s v="TATA AIG T&amp;M"/>
    <n v="0"/>
    <n v="0"/>
    <n v="180"/>
    <n v="0"/>
    <n v="180"/>
    <n v="180"/>
    <n v="1"/>
    <n v="0"/>
    <s v="Good"/>
    <s v="TATA AIG T&amp;M"/>
    <x v="0"/>
    <s v="Yes"/>
    <s v="TATA AIG"/>
    <m/>
    <x v="0"/>
    <s v=""/>
    <m/>
  </r>
  <r>
    <n v="100529"/>
    <s v="Ujjwal Kumar"/>
    <d v="2024-11-04T00:00:00"/>
    <s v="HDFC Life Data Lab - T&amp;M"/>
    <n v="54"/>
    <n v="0"/>
    <n v="126"/>
    <n v="0"/>
    <n v="180"/>
    <n v="126"/>
    <n v="1"/>
    <n v="0"/>
    <s v="Good"/>
    <s v="HDFC Life Data Lab - T&amp;M"/>
    <x v="0"/>
    <s v="Yes"/>
    <s v="HDFC Life Data Lab"/>
    <m/>
    <x v="0"/>
    <s v=""/>
    <m/>
  </r>
  <r>
    <n v="100530"/>
    <s v="Umesh Ulhas Rane"/>
    <d v="2024-11-04T00:00:00"/>
    <s v="Talent Pool - India"/>
    <n v="0"/>
    <n v="0"/>
    <n v="0"/>
    <n v="180"/>
    <n v="180"/>
    <n v="180"/>
    <n v="0"/>
    <n v="1"/>
    <s v="Critical"/>
    <s v="Talent Pool - India -NB"/>
    <x v="3"/>
    <s v="No"/>
    <s v="Bench"/>
    <m/>
    <x v="0"/>
    <s v=""/>
    <m/>
  </r>
  <r>
    <n v="100531"/>
    <s v="Sushant Rajkumar Jagatap"/>
    <d v="2024-11-04T00:00:00"/>
    <s v="Talent Pool - India"/>
    <n v="0"/>
    <n v="0"/>
    <n v="0"/>
    <n v="90"/>
    <n v="90"/>
    <n v="90"/>
    <n v="0"/>
    <n v="1"/>
    <s v="Critical"/>
    <s v="Talent Pool - India -NB"/>
    <x v="3"/>
    <s v="No"/>
    <s v="Bench"/>
    <m/>
    <x v="1"/>
    <d v="2025-11-14T00:00:00"/>
    <m/>
  </r>
  <r>
    <n v="100535"/>
    <s v="Rohini Amol Pawar"/>
    <d v="2024-11-05T00:00:00"/>
    <s v="TATA AIG T&amp;M"/>
    <n v="0"/>
    <n v="0"/>
    <n v="180"/>
    <n v="0"/>
    <n v="180"/>
    <n v="180"/>
    <n v="1"/>
    <n v="0"/>
    <s v="Good"/>
    <s v="TATA AIG T&amp;M"/>
    <x v="0"/>
    <s v="Yes"/>
    <s v="TATA AIG"/>
    <m/>
    <x v="0"/>
    <s v=""/>
    <m/>
  </r>
  <r>
    <n v="100536"/>
    <s v="Deepak Dharmraj Patil"/>
    <d v="2024-11-05T00:00:00"/>
    <s v="TATA AIG T&amp;M"/>
    <n v="18"/>
    <n v="0"/>
    <n v="162"/>
    <n v="0"/>
    <n v="180"/>
    <n v="162"/>
    <n v="1"/>
    <n v="0"/>
    <s v="Good"/>
    <s v="TATA AIG T&amp;M"/>
    <x v="0"/>
    <s v="Yes"/>
    <s v="TATA AIG"/>
    <m/>
    <x v="0"/>
    <s v=""/>
    <m/>
  </r>
  <r>
    <n v="100537"/>
    <s v="Shubham Bhanudas Chavan"/>
    <d v="2024-11-06T00:00:00"/>
    <s v="PayPal - T&amp;M"/>
    <n v="9"/>
    <n v="0"/>
    <n v="171"/>
    <n v="0"/>
    <n v="180"/>
    <n v="171"/>
    <n v="1"/>
    <n v="0"/>
    <s v="Good"/>
    <s v="PayPal - T&amp;M"/>
    <x v="0"/>
    <s v="Yes"/>
    <s v="PayPal"/>
    <m/>
    <x v="0"/>
    <s v=""/>
    <m/>
  </r>
  <r>
    <n v="100538"/>
    <s v="Rishika Patel"/>
    <d v="2024-11-11T00:00:00"/>
    <s v="HDFC Product - T&amp;M"/>
    <n v="9"/>
    <n v="0"/>
    <n v="171"/>
    <n v="0"/>
    <n v="180"/>
    <n v="171"/>
    <n v="1"/>
    <n v="0"/>
    <s v="Good"/>
    <s v="HDFC Product - T&amp;M"/>
    <x v="0"/>
    <s v="Yes"/>
    <s v="HDFC Product"/>
    <m/>
    <x v="0"/>
    <s v=""/>
    <m/>
  </r>
  <r>
    <n v="100542"/>
    <s v="Anilsingh Onkarsingh Kanpuriya"/>
    <d v="2024-11-26T00:00:00"/>
    <s v="TATA AIG T&amp;M"/>
    <n v="0"/>
    <n v="0"/>
    <n v="180"/>
    <n v="0"/>
    <n v="180"/>
    <n v="180"/>
    <n v="1"/>
    <n v="0"/>
    <s v="Good"/>
    <s v="TATA AIG T&amp;M"/>
    <x v="0"/>
    <s v="Yes"/>
    <s v="TATA AIG"/>
    <m/>
    <x v="0"/>
    <s v=""/>
    <m/>
  </r>
  <r>
    <n v="100543"/>
    <s v="Madhuri Tanaji Mali"/>
    <d v="2024-11-27T00:00:00"/>
    <s v="TATA AIG T&amp;M"/>
    <n v="0"/>
    <n v="0"/>
    <n v="180"/>
    <n v="0"/>
    <n v="180"/>
    <n v="180"/>
    <n v="1"/>
    <n v="0"/>
    <s v="Good"/>
    <s v="TATA AIG T&amp;M"/>
    <x v="0"/>
    <s v="Yes"/>
    <s v="TATA AIG"/>
    <m/>
    <x v="0"/>
    <s v=""/>
    <m/>
  </r>
  <r>
    <n v="100544"/>
    <s v="Deepika Ajitram Subh"/>
    <d v="2024-11-27T00:00:00"/>
    <s v="Talent Pool - India"/>
    <n v="0"/>
    <n v="0"/>
    <n v="0"/>
    <n v="45"/>
    <n v="45"/>
    <n v="45"/>
    <n v="0"/>
    <n v="1"/>
    <s v="Critical"/>
    <s v="Talent Pool - India -NB"/>
    <x v="3"/>
    <s v="No"/>
    <s v="Bench"/>
    <m/>
    <x v="1"/>
    <d v="2025-11-07T00:00:00"/>
    <m/>
  </r>
  <r>
    <n v="100546"/>
    <s v="Utkarsh Chauhan Singh"/>
    <d v="2024-11-29T00:00:00"/>
    <s v="Avendus - T&amp;M"/>
    <n v="18"/>
    <n v="0"/>
    <n v="162"/>
    <n v="0"/>
    <n v="180"/>
    <n v="162"/>
    <n v="1"/>
    <n v="0"/>
    <s v="Good"/>
    <s v="Avendus - T&amp;M"/>
    <x v="0"/>
    <s v="Yes"/>
    <s v="Avendus"/>
    <d v="2025-09-22T00:00:00"/>
    <x v="0"/>
    <s v=""/>
    <m/>
  </r>
  <r>
    <n v="100547"/>
    <s v="Suyash Nishikant Kamble"/>
    <d v="2024-11-29T00:00:00"/>
    <s v="TMS_Finance - Fixed"/>
    <n v="0"/>
    <n v="0"/>
    <n v="180"/>
    <n v="0"/>
    <n v="180"/>
    <n v="180"/>
    <n v="1"/>
    <n v="0"/>
    <s v="Good"/>
    <s v="TMS_Finance - Fixed"/>
    <x v="1"/>
    <s v="Yes"/>
    <s v="TMS_Finance"/>
    <d v="2025-10-01T00:00:00"/>
    <x v="0"/>
    <s v=""/>
    <m/>
  </r>
  <r>
    <n v="100548"/>
    <s v="Yabesh Mani"/>
    <d v="2024-12-02T00:00:00"/>
    <s v="Talent Pool - India"/>
    <n v="9"/>
    <n v="0"/>
    <n v="0"/>
    <n v="171"/>
    <n v="180"/>
    <n v="171"/>
    <n v="0"/>
    <n v="1"/>
    <s v="Critical"/>
    <s v="Talent Pool - India - NB"/>
    <x v="3"/>
    <s v="No"/>
    <s v="Bench"/>
    <m/>
    <x v="0"/>
    <s v=""/>
    <m/>
  </r>
  <r>
    <n v="100561"/>
    <s v="Khushboo Singh"/>
    <d v="2024-12-04T00:00:00"/>
    <s v="Emory - Fixed"/>
    <n v="9"/>
    <n v="0"/>
    <n v="171"/>
    <n v="0"/>
    <n v="180"/>
    <n v="171"/>
    <n v="1"/>
    <n v="0"/>
    <s v="Good"/>
    <s v="Emory - Fixed"/>
    <x v="1"/>
    <s v="Yes"/>
    <s v="Emory"/>
    <m/>
    <x v="0"/>
    <s v=""/>
    <m/>
  </r>
  <r>
    <n v="100562"/>
    <s v="Kushwaha Naveenkumar Jugalkishor"/>
    <d v="2024-12-09T00:00:00"/>
    <s v="Datafactory - T&amp;M"/>
    <n v="0"/>
    <n v="0"/>
    <n v="180"/>
    <n v="0"/>
    <n v="180"/>
    <n v="180"/>
    <n v="1"/>
    <n v="0"/>
    <s v="Good"/>
    <s v="Datafactory - T&amp;M"/>
    <x v="0"/>
    <s v="Yes"/>
    <s v="DSS - Production Support"/>
    <d v="2025-10-29T00:00:00"/>
    <x v="0"/>
    <s v=""/>
    <m/>
  </r>
  <r>
    <n v="100563"/>
    <s v="Safeer Khan"/>
    <d v="2024-12-09T00:00:00"/>
    <s v="DS Smith - Pool_x000a_Kemsley Mills"/>
    <n v="18"/>
    <n v="0"/>
    <n v="0"/>
    <n v="162"/>
    <n v="180"/>
    <n v="162"/>
    <n v="0"/>
    <n v="1"/>
    <s v="Critical"/>
    <s v="Kemsley Mills - NB_x000a_DS SMith Pool - NB"/>
    <x v="3"/>
    <s v="No"/>
    <s v="Bench"/>
    <m/>
    <x v="0"/>
    <s v=""/>
    <s v="Support as a Tester  will be Billiable in project from 24 - Nov -25"/>
  </r>
  <r>
    <n v="100564"/>
    <s v="Shruti Pramod Govindan"/>
    <d v="2024-12-10T00:00:00"/>
    <s v="E Invoicing - Fixed"/>
    <n v="0"/>
    <n v="0"/>
    <n v="180"/>
    <n v="0"/>
    <n v="180"/>
    <n v="180"/>
    <n v="1"/>
    <n v="0"/>
    <s v="Good"/>
    <s v="E Invoicing - Fixed"/>
    <x v="1"/>
    <s v="Yes"/>
    <s v="E Invoicing"/>
    <d v="2025-10-27T00:00:00"/>
    <x v="0"/>
    <s v=""/>
    <m/>
  </r>
  <r>
    <n v="100565"/>
    <s v="Faguni"/>
    <d v="2024-12-10T00:00:00"/>
    <s v="Databricks Center of Excellence (CoE) - Internal"/>
    <n v="0"/>
    <n v="0"/>
    <n v="0"/>
    <n v="180"/>
    <n v="180"/>
    <n v="180"/>
    <n v="0"/>
    <n v="1"/>
    <s v="Critical"/>
    <s v="Databricks Center of Excellence (CoE) - Internal - NB"/>
    <x v="7"/>
    <s v="No"/>
    <s v="Bench"/>
    <m/>
    <x v="0"/>
    <s v=""/>
    <m/>
  </r>
  <r>
    <n v="100567"/>
    <s v="Swapnil Ashok Sonawane"/>
    <d v="2024-12-16T00:00:00"/>
    <s v="ABSLI Qlik Dashboard - Fixed &amp; Fixed T&amp;M"/>
    <n v="0"/>
    <n v="0"/>
    <n v="180"/>
    <n v="0"/>
    <n v="180"/>
    <n v="180"/>
    <n v="1"/>
    <n v="0"/>
    <s v="Good"/>
    <s v="ABSLI Qlik Dashboard - Fixed &amp; Fixed T&amp;M"/>
    <x v="0"/>
    <s v="Yes"/>
    <s v="ABSLI"/>
    <m/>
    <x v="0"/>
    <s v=""/>
    <m/>
  </r>
  <r>
    <n v="100566"/>
    <s v="Uddhav Dhondiba Dahatonde"/>
    <d v="2024-12-16T00:00:00"/>
    <s v="BCG -T&amp;M"/>
    <n v="18"/>
    <n v="0"/>
    <n v="162"/>
    <n v="0"/>
    <n v="180"/>
    <n v="162"/>
    <n v="1"/>
    <n v="0"/>
    <s v="Good"/>
    <s v="BCG -T&amp;M"/>
    <x v="0"/>
    <s v="Yes"/>
    <s v="BCG"/>
    <m/>
    <x v="0"/>
    <s v=""/>
    <m/>
  </r>
  <r>
    <n v="100570"/>
    <s v="Rushali Madhukar Muratakar"/>
    <d v="2024-12-18T00:00:00"/>
    <s v="Talent Pool - India"/>
    <n v="0"/>
    <n v="0"/>
    <n v="0"/>
    <n v="180"/>
    <n v="180"/>
    <n v="180"/>
    <n v="0"/>
    <n v="1"/>
    <s v="Critical"/>
    <s v="Talent Pool - India - NB"/>
    <x v="3"/>
    <s v="No"/>
    <s v="Bench"/>
    <m/>
    <x v="1"/>
    <d v="2025-12-31T00:00:00"/>
    <m/>
  </r>
  <r>
    <n v="100572"/>
    <s v="Dhaval Haresh Kacha"/>
    <d v="2024-12-19T00:00:00"/>
    <s v="Emory - Fixed"/>
    <n v="9"/>
    <n v="0"/>
    <n v="171"/>
    <n v="0"/>
    <n v="180"/>
    <n v="171"/>
    <n v="1"/>
    <n v="0"/>
    <s v="Good"/>
    <s v="Emory - Fixed"/>
    <x v="1"/>
    <s v="Yes"/>
    <s v="Emory"/>
    <m/>
    <x v="0"/>
    <s v=""/>
    <m/>
  </r>
  <r>
    <n v="100571"/>
    <s v="Kalyani Dilip Sonawane"/>
    <d v="2024-12-19T00:00:00"/>
    <s v="DS Smith - Pool_x000a_Trackchain - Argus - Fixed _x000a_POC"/>
    <n v="9"/>
    <n v="0"/>
    <n v="0"/>
    <n v="171"/>
    <n v="180"/>
    <n v="171"/>
    <n v="0"/>
    <n v="1"/>
    <s v="Critical"/>
    <s v="POC - NB_x000a_DS Smith Pool - NB_x000a_Trackchain - NB"/>
    <x v="1"/>
    <s v="No"/>
    <s v="E2E South"/>
    <d v="2025-12-02T00:00:00"/>
    <x v="0"/>
    <s v=""/>
    <s v="KT Started for Alisha Joy replacement in DSS"/>
  </r>
  <r>
    <n v="100574"/>
    <s v="Omkar Satish More"/>
    <d v="2024-12-23T00:00:00"/>
    <s v="Talent Pool - India_x000a_TATA AIG AIxponent Implementation - Fixed"/>
    <n v="9"/>
    <n v="0"/>
    <n v="83"/>
    <n v="88"/>
    <n v="180"/>
    <n v="171"/>
    <n v="0.4853801169590643"/>
    <n v="0.51461988304093564"/>
    <s v="Critical"/>
    <s v="TATA AIG AIX - B_x000a_Talent Pool - NB"/>
    <x v="1"/>
    <s v="Yes"/>
    <s v="TATA AIG AIX"/>
    <d v="2025-10-06T00:00:00"/>
    <x v="0"/>
    <s v=""/>
    <m/>
  </r>
  <r>
    <n v="100575"/>
    <s v="Vaishnavi Kaklij"/>
    <d v="2024-12-23T00:00:00"/>
    <s v="Talent Pool - India"/>
    <n v="63"/>
    <n v="0"/>
    <n v="0"/>
    <n v="117"/>
    <n v="180"/>
    <n v="117"/>
    <n v="0"/>
    <n v="1"/>
    <s v="Critical"/>
    <s v="Talent Pool - India - NB"/>
    <x v="3"/>
    <s v="No"/>
    <s v="Bench/POC"/>
    <m/>
    <x v="0"/>
    <s v=""/>
    <m/>
  </r>
  <r>
    <n v="100576"/>
    <s v="Shivam Subhash Doddamani"/>
    <d v="2024-12-30T00:00:00"/>
    <s v="T&amp;M Requirement-Adani-Data Engineer(EY) - T&amp;M"/>
    <n v="0"/>
    <n v="0"/>
    <n v="180"/>
    <n v="0"/>
    <n v="180"/>
    <n v="180"/>
    <n v="1"/>
    <n v="0"/>
    <s v="Good"/>
    <s v="T&amp;M Requirement-Adani-Data Engineer(EY) - T&amp;M"/>
    <x v="0"/>
    <s v="Yes"/>
    <s v="T&amp;M Requirement-Adani-Data Engineer(EY)"/>
    <d v="2025-10-01T00:00:00"/>
    <x v="0"/>
    <s v=""/>
    <m/>
  </r>
  <r>
    <n v="100577"/>
    <s v="Huzefa Shabbir Sadikot"/>
    <d v="2024-12-31T00:00:00"/>
    <s v="Xanadu - T&amp;M"/>
    <n v="27"/>
    <n v="0"/>
    <n v="153"/>
    <n v="0"/>
    <n v="180"/>
    <n v="153"/>
    <n v="1"/>
    <n v="0"/>
    <s v="Good"/>
    <s v="Xanadu - T&amp;M"/>
    <x v="0"/>
    <s v="Yes"/>
    <s v="Xanadu"/>
    <m/>
    <x v="0"/>
    <s v=""/>
    <m/>
  </r>
  <r>
    <n v="100580"/>
    <s v="Bhagyashree Bapu Navale"/>
    <d v="2025-01-06T00:00:00"/>
    <s v="Odyssey Hotels Group"/>
    <n v="18"/>
    <n v="0"/>
    <n v="162"/>
    <n v="0"/>
    <n v="180"/>
    <n v="162"/>
    <n v="1"/>
    <n v="0"/>
    <s v="Good"/>
    <s v="Odyssey Hotels Group -B"/>
    <x v="1"/>
    <s v="Yes"/>
    <s v="Odyssey"/>
    <d v="2025-10-17T00:00:00"/>
    <x v="0"/>
    <s v=""/>
    <m/>
  </r>
  <r>
    <n v="100585"/>
    <s v="Yogeshkumar Narshibhai Mav"/>
    <d v="2025-01-07T00:00:00"/>
    <s v="ABSLI Qlik Dashboard - Fixed &amp; Fixed T&amp;M_x000a_Afcons Qlik SaaS Migration_x000a_GCPL - T&amp;M_x000a_ICICI Pru amc - T&amp;M_x000a_Loyalty Barcode into Databricks - Fixed_x000a_Data Foundation for Databricks PoC - T&amp;M_x000a_Financial Services - T&amp;M"/>
    <n v="0"/>
    <n v="0"/>
    <n v="114"/>
    <n v="66"/>
    <n v="180"/>
    <n v="180"/>
    <n v="0.6333333333333333"/>
    <n v="0.36666666666666664"/>
    <s v="Critical"/>
    <s v="ABSLI Qlik Dashboard - Fixed &amp; Fixed T&amp;M - B_x000a_Financial Services - NB_x000a_Afcons Qlik SaaS Migration - B_x000a_GCPL - T&amp;M - NB_x000a_ICICI Pru amc - T&amp;M - NB_x000a_Loyalty Barcode into Databricks - Fixed - B_x000a_Data Foundation for Databricks PoC - T&amp;M - NB"/>
    <x v="1"/>
    <s v="Yes"/>
    <s v="Multiple Projects"/>
    <m/>
    <x v="0"/>
    <s v=""/>
    <m/>
  </r>
  <r>
    <n v="100589"/>
    <s v="Sujeet Sharma"/>
    <d v="2025-01-13T00:00:00"/>
    <s v="Talent Pool - India"/>
    <n v="45"/>
    <n v="0"/>
    <n v="0"/>
    <n v="135"/>
    <n v="180"/>
    <n v="135"/>
    <n v="0"/>
    <n v="1"/>
    <s v="Critical"/>
    <s v="Talent Pool - India - NB"/>
    <x v="3"/>
    <s v="No"/>
    <s v="DIOH"/>
    <d v="2025-12-08T00:00:00"/>
    <x v="0"/>
    <s v=""/>
    <m/>
  </r>
  <r>
    <n v="400028"/>
    <s v="Valmik Magan Sonavane"/>
    <d v="2025-01-16T00:00:00"/>
    <s v="Talent Pool - India"/>
    <n v="0"/>
    <n v="0"/>
    <n v="0"/>
    <n v="180"/>
    <n v="180"/>
    <n v="180"/>
    <n v="0"/>
    <n v="1"/>
    <s v="Critical"/>
    <s v="Talent Pool - India -NB"/>
    <x v="3"/>
    <s v="No"/>
    <s v="Bench"/>
    <m/>
    <x v="1"/>
    <d v="2025-11-28T00:00:00"/>
    <m/>
  </r>
  <r>
    <n v="100592"/>
    <s v="Varun Arjun Bari"/>
    <d v="2025-01-21T00:00:00"/>
    <s v="SBI - Qlik Dashboard and Contest Management - Fixed / T&amp;M"/>
    <n v="4.5"/>
    <n v="0"/>
    <n v="175.5"/>
    <n v="0"/>
    <n v="180"/>
    <n v="175.5"/>
    <n v="1"/>
    <n v="0"/>
    <s v="Good"/>
    <s v="SBI - Qlik Dashboard and Contest Management - Fixed / T&amp;M"/>
    <x v="0"/>
    <s v="Yes"/>
    <s v="SBI - Qlik Dashboard and Contest Management"/>
    <m/>
    <x v="0"/>
    <s v=""/>
    <m/>
  </r>
  <r>
    <n v="200043"/>
    <s v="Shreyash Rajendra Bhandarkar"/>
    <d v="2025-01-27T00:00:00"/>
    <s v="Adani Logistics"/>
    <n v="0"/>
    <n v="0"/>
    <n v="180"/>
    <n v="0"/>
    <n v="180"/>
    <n v="180"/>
    <n v="1"/>
    <n v="0"/>
    <s v="Good"/>
    <s v="Adani Logistics - NB"/>
    <x v="10"/>
    <s v="No"/>
    <s v="Adani Logistics"/>
    <d v="2025-10-27T00:00:00"/>
    <x v="0"/>
    <s v=""/>
    <m/>
  </r>
  <r>
    <n v="100595"/>
    <s v="Shubham Sudhir Tankhiwale"/>
    <d v="2025-01-27T00:00:00"/>
    <s v="Data Foundation for Databricks PoC - T&amp;M"/>
    <n v="9"/>
    <n v="0"/>
    <n v="171"/>
    <n v="0"/>
    <n v="180"/>
    <n v="171"/>
    <n v="1"/>
    <n v="0"/>
    <s v="Good"/>
    <s v="Data Foundation for Databricks PoC - T&amp;M"/>
    <x v="0"/>
    <s v="Yes"/>
    <s v="TATA Motors"/>
    <d v="2025-09-15T00:00:00"/>
    <x v="0"/>
    <s v=""/>
    <m/>
  </r>
  <r>
    <n v="100597"/>
    <s v="Shraddha Rajesh Ingawale"/>
    <d v="2025-01-27T00:00:00"/>
    <s v="ICICI Pru amc - T&amp;M"/>
    <n v="18"/>
    <n v="0"/>
    <n v="162"/>
    <n v="0"/>
    <n v="180"/>
    <n v="162"/>
    <n v="1"/>
    <n v="0"/>
    <s v="Good"/>
    <s v="ICICI Pru amc - T&amp;M -B"/>
    <x v="0"/>
    <s v="Yes"/>
    <s v="ICICI Pru amc"/>
    <m/>
    <x v="0"/>
    <s v=""/>
    <m/>
  </r>
  <r>
    <n v="100600"/>
    <s v="Nitesh Kumar"/>
    <d v="2025-02-03T00:00:00"/>
    <s v="Odyssey Hotels Group"/>
    <n v="0"/>
    <n v="0"/>
    <n v="180"/>
    <n v="0"/>
    <n v="180"/>
    <n v="180"/>
    <n v="1"/>
    <n v="0"/>
    <s v="Good"/>
    <s v="Odyssey Hotels Group - B"/>
    <x v="1"/>
    <s v="No"/>
    <s v="Odyssey"/>
    <d v="2025-10-17T00:00:00"/>
    <x v="0"/>
    <s v=""/>
    <m/>
  </r>
  <r>
    <n v="100601"/>
    <s v="Nishant Kumar"/>
    <d v="2025-02-03T00:00:00"/>
    <s v="Talent Pool - India_x000a_Keka Dashboard - Internal"/>
    <n v="13.5"/>
    <n v="0"/>
    <n v="0"/>
    <n v="166.5"/>
    <n v="180"/>
    <n v="166.5"/>
    <n v="0"/>
    <n v="1"/>
    <s v="Critical"/>
    <s v="Talent Pool - India - NB_x000a_Keka Dashboard - Internal - NB"/>
    <x v="3"/>
    <s v="No"/>
    <s v="Bench"/>
    <m/>
    <x v="0"/>
    <s v=""/>
    <m/>
  </r>
  <r>
    <n v="100602"/>
    <s v="Kushang Mukesh Dajiwala"/>
    <d v="2025-02-04T00:00:00"/>
    <s v="Talent Pool - India_x000a_Keka Dashboard - Internal_x000a_Emory - Fixed"/>
    <n v="0"/>
    <n v="0"/>
    <n v="90"/>
    <n v="90"/>
    <n v="180"/>
    <n v="180"/>
    <n v="0.5"/>
    <n v="0.5"/>
    <s v="Critical"/>
    <s v="Emory - Fixed - B_x000a_Talent Pool - NB_x000a_Keka Dashboard - Internal - NB"/>
    <x v="3"/>
    <s v="No"/>
    <s v="Bench"/>
    <m/>
    <x v="0"/>
    <s v=""/>
    <m/>
  </r>
  <r>
    <n v="100603"/>
    <s v="Abhishek Bhimraj Kangane"/>
    <d v="2025-02-04T00:00:00"/>
    <s v="Odyssey Hotels Group"/>
    <n v="36"/>
    <n v="0"/>
    <n v="0"/>
    <n v="144"/>
    <n v="180"/>
    <n v="144"/>
    <n v="0"/>
    <n v="1"/>
    <s v="Critical"/>
    <s v="Odyssey Hotels Group - NB"/>
    <x v="1"/>
    <s v="No"/>
    <s v="Odyssey"/>
    <m/>
    <x v="0"/>
    <s v=""/>
    <m/>
  </r>
  <r>
    <n v="100604"/>
    <s v="Aditya Ashok Mhatre"/>
    <d v="2025-02-05T00:00:00"/>
    <s v="Novel Jewels Opp ( Power BI + SQL ) - T&amp;M"/>
    <n v="0"/>
    <n v="0"/>
    <n v="0"/>
    <n v="180"/>
    <n v="180"/>
    <n v="180"/>
    <n v="0"/>
    <n v="1"/>
    <s v="Critical"/>
    <s v="Novel Jewels Opp ( Power BI + SQL ) - T&amp;M - NB"/>
    <x v="0"/>
    <s v="No"/>
    <s v="Novel Jewels Opp"/>
    <m/>
    <x v="0"/>
    <s v=""/>
    <s v="Investment Resources in Novel Jewels - Approved by Vivek "/>
  </r>
  <r>
    <n v="100605"/>
    <s v="Prasad Besikrao"/>
    <d v="2025-02-06T00:00:00"/>
    <s v="Talent Pool - India_x000a_EY Adani to Databricks Data Engineer - T&amp;M"/>
    <n v="9"/>
    <n v="0"/>
    <n v="45"/>
    <n v="126"/>
    <n v="180"/>
    <n v="171"/>
    <n v="0.26315789473684209"/>
    <n v="0.73684210526315785"/>
    <s v="Critical"/>
    <s v="Talent Pool - India - NB_x000a_EY - B"/>
    <x v="0"/>
    <s v="Yes"/>
    <s v="EY"/>
    <d v="2025-11-24T00:00:00"/>
    <x v="0"/>
    <s v=""/>
    <m/>
  </r>
  <r>
    <n v="100606"/>
    <s v="Harshit Singh"/>
    <d v="2025-02-06T00:00:00"/>
    <s v="Adani Logistics"/>
    <n v="9"/>
    <n v="0"/>
    <n v="171"/>
    <n v="0"/>
    <n v="180"/>
    <n v="171"/>
    <n v="1"/>
    <n v="0"/>
    <s v="Good"/>
    <s v="Adani Logistics -B"/>
    <x v="1"/>
    <s v="Yes"/>
    <s v="Adani Logistics"/>
    <d v="2025-10-22T00:00:00"/>
    <x v="0"/>
    <s v=""/>
    <m/>
  </r>
  <r>
    <n v="100609"/>
    <s v="Rajiv Srinivas Bandaru"/>
    <d v="2025-02-06T00:00:00"/>
    <s v="Talent Pool - India"/>
    <n v="0"/>
    <n v="0"/>
    <n v="0"/>
    <n v="180"/>
    <n v="180"/>
    <n v="180"/>
    <n v="0"/>
    <n v="1"/>
    <s v="Critical"/>
    <s v="Talent Pool - India -NB"/>
    <x v="3"/>
    <s v="No"/>
    <s v="Bench"/>
    <m/>
    <x v="1"/>
    <s v=""/>
    <m/>
  </r>
  <r>
    <n v="200045"/>
    <s v="Sunny Nivrutti Gangurde"/>
    <d v="2025-02-10T00:00:00"/>
    <s v="AIXponent - Internal_x000a_POC"/>
    <n v="9"/>
    <n v="0"/>
    <n v="0"/>
    <n v="171"/>
    <n v="180"/>
    <n v="171"/>
    <n v="0"/>
    <n v="1"/>
    <s v="Critical"/>
    <s v="AIXponent - Internal - NB_x000a_POC - NB"/>
    <x v="10"/>
    <s v="No"/>
    <s v="AIXponent"/>
    <m/>
    <x v="0"/>
    <s v=""/>
    <m/>
  </r>
  <r>
    <n v="100612"/>
    <s v="Karan Santosh Sadawana"/>
    <d v="2025-02-11T00:00:00"/>
    <s v="Trackchain - Argus - Fixed "/>
    <n v="18"/>
    <n v="0"/>
    <n v="162"/>
    <n v="0"/>
    <n v="180"/>
    <n v="162"/>
    <n v="1"/>
    <n v="0"/>
    <s v="Good"/>
    <s v="Trackchain - Argus - Fixed  -B"/>
    <x v="1"/>
    <s v="Yes"/>
    <s v="Trackchain Argus"/>
    <d v="2025-09-29T00:00:00"/>
    <x v="0"/>
    <s v=""/>
    <m/>
  </r>
  <r>
    <n v="100613"/>
    <s v="Sowndarya Sri"/>
    <d v="2025-02-12T00:00:00"/>
    <s v="RCA with Gen AI_x000a_AIXponent - Internal"/>
    <n v="18"/>
    <n v="0"/>
    <n v="81"/>
    <n v="81"/>
    <n v="180"/>
    <n v="162"/>
    <n v="0.5"/>
    <n v="0.5"/>
    <s v="Critical"/>
    <s v="RCA with Gen AI - B_x000a_Aixponent - Internal - NB"/>
    <x v="9"/>
    <s v="No"/>
    <s v="AIXponent"/>
    <m/>
    <x v="0"/>
    <s v=""/>
    <m/>
  </r>
  <r>
    <n v="100614"/>
    <s v="Soni Nakul"/>
    <d v="2025-02-13T00:00:00"/>
    <s v="POC_x000a_Data Coach _x000a_Catalyst - (SSP FP&amp;A Reporting)"/>
    <n v="22.5"/>
    <n v="0"/>
    <n v="2"/>
    <n v="155.5"/>
    <n v="180"/>
    <n v="157.5"/>
    <n v="1.2698412698412698E-2"/>
    <n v="0.98730158730158735"/>
    <s v="Critical"/>
    <s v="POC - NB_x000a_Catalyst - (SSP FP&amp;A Reporting) - NB_x000a_Data Coach - B"/>
    <x v="11"/>
    <s v="No"/>
    <s v="Multiple Projects"/>
    <m/>
    <x v="0"/>
    <s v=""/>
    <m/>
  </r>
  <r>
    <n v="300025"/>
    <s v="Anup Krishnan"/>
    <d v="2025-02-13T00:00:00"/>
    <s v="Odyssey Hotels Group"/>
    <n v="0"/>
    <n v="0"/>
    <n v="180"/>
    <n v="0"/>
    <n v="180"/>
    <n v="180"/>
    <n v="1"/>
    <n v="0"/>
    <s v="Good"/>
    <s v="Odyssey Hotels Group"/>
    <x v="1"/>
    <s v="Yes"/>
    <s v="Odyssey"/>
    <d v="2025-10-22T00:00:00"/>
    <x v="0"/>
    <s v=""/>
    <m/>
  </r>
  <r>
    <n v="100615"/>
    <s v="Jitender Kumar"/>
    <d v="2025-02-14T00:00:00"/>
    <s v="BCG -T&amp;M"/>
    <n v="18"/>
    <n v="0"/>
    <n v="162"/>
    <n v="0"/>
    <n v="180"/>
    <n v="162"/>
    <n v="1"/>
    <n v="0"/>
    <s v="Good"/>
    <s v="BCG -T&amp;M -B"/>
    <x v="0"/>
    <s v="Yes"/>
    <s v="BCG"/>
    <m/>
    <x v="0"/>
    <s v=""/>
    <m/>
  </r>
  <r>
    <n v="100616"/>
    <s v="Avinash Dharmik"/>
    <d v="2025-02-17T00:00:00"/>
    <s v="ABSLI Qlik Dashboard - Fixed &amp; Fixed T&amp;M_x000a_Talent Pool - India_x000a_Data Foundation for Databricks PoC - T&amp;M_x000a_Titan Finance"/>
    <n v="27"/>
    <n v="0"/>
    <n v="55.8"/>
    <n v="97.2"/>
    <n v="180"/>
    <n v="153"/>
    <n v="0.36470588235294116"/>
    <n v="0.63529411764705879"/>
    <s v="Critical"/>
    <s v="ABSLI  - B_x000a_Talent Pool - NB_x000a_TATA Motors - B_x000a_Titan Finance - B_x000a_ABSLI  - NB"/>
    <x v="0"/>
    <s v="Yes"/>
    <s v="Multiple Projects"/>
    <d v="2025-11-17T00:00:00"/>
    <x v="0"/>
    <s v=""/>
    <s v="As per Tushar, Avinash to be Billable only 10-20%"/>
  </r>
  <r>
    <n v="100617"/>
    <s v="Jyoti Tandon"/>
    <d v="2025-02-17T00:00:00"/>
    <s v="E Invoicing - Fixed"/>
    <n v="45"/>
    <n v="0"/>
    <n v="135"/>
    <n v="0"/>
    <n v="180"/>
    <n v="135"/>
    <n v="1"/>
    <n v="0"/>
    <s v="Good"/>
    <s v="E Invoicing - Fixed -B"/>
    <x v="1"/>
    <s v="Yes"/>
    <s v="E Invoicing"/>
    <d v="2025-09-15T00:00:00"/>
    <x v="0"/>
    <s v=""/>
    <m/>
  </r>
  <r>
    <n v="100620"/>
    <s v="Amirt Anand "/>
    <d v="2025-02-20T00:00:00"/>
    <s v="TATA AIG T&amp;M"/>
    <n v="18"/>
    <n v="0"/>
    <n v="162"/>
    <n v="0"/>
    <n v="180"/>
    <n v="162"/>
    <n v="1"/>
    <n v="0"/>
    <s v="Good"/>
    <s v="TATA AIG T&amp;M -B"/>
    <x v="0"/>
    <s v="Yes"/>
    <s v="TATA AIG"/>
    <m/>
    <x v="0"/>
    <s v=""/>
    <m/>
  </r>
  <r>
    <n v="100621"/>
    <s v="Gayatri Kamal Paul"/>
    <d v="2025-02-24T00:00:00"/>
    <s v="HDFC Life Data Lab - T&amp;M"/>
    <n v="0"/>
    <n v="0"/>
    <n v="180"/>
    <n v="0"/>
    <n v="180"/>
    <n v="180"/>
    <n v="1"/>
    <n v="0"/>
    <s v="Good"/>
    <s v="HDFC Life Data Lab - T&amp;M -B"/>
    <x v="0"/>
    <s v="Yes"/>
    <s v="HDFC Life Data Lab"/>
    <m/>
    <x v="0"/>
    <s v=""/>
    <m/>
  </r>
  <r>
    <n v="100624"/>
    <s v="Pragati Jha"/>
    <d v="2025-02-24T00:00:00"/>
    <s v="TATA AIG T&amp;M"/>
    <n v="0"/>
    <n v="0"/>
    <n v="180"/>
    <n v="0"/>
    <n v="180"/>
    <n v="180"/>
    <n v="1"/>
    <n v="0"/>
    <s v="Good"/>
    <s v="TATA AIG T&amp;M -B"/>
    <x v="0"/>
    <s v="Yes"/>
    <s v="TATA AIG"/>
    <m/>
    <x v="0"/>
    <s v=""/>
    <m/>
  </r>
  <r>
    <n v="100703"/>
    <s v="Apoorv Mathur"/>
    <d v="2025-02-25T00:00:00"/>
    <s v="AIXponent - Internal_x000a_Gen AI Deployment for Contracts Use Case - Fixed "/>
    <n v="9"/>
    <n v="0"/>
    <n v="36"/>
    <n v="135"/>
    <n v="180"/>
    <n v="171"/>
    <n v="0.21052631578947367"/>
    <n v="0.78947368421052633"/>
    <s v="Critical"/>
    <s v="AIXponent - Internal - NB_x000a_TIG - B"/>
    <x v="1"/>
    <s v="Yes"/>
    <s v="TIG"/>
    <d v="2025-11-24T00:00:00"/>
    <x v="0"/>
    <s v=""/>
    <m/>
  </r>
  <r>
    <n v="100625"/>
    <s v="Arushi Bhagwati"/>
    <d v="2025-02-26T00:00:00"/>
    <s v="RCA with Gen AI_x000a_Talent Pool - India_x000a_Data Coach "/>
    <n v="9"/>
    <n v="0"/>
    <n v="54"/>
    <n v="117"/>
    <n v="180"/>
    <n v="171"/>
    <n v="0.31578947368421051"/>
    <n v="0.68421052631578949"/>
    <s v="Critical"/>
    <s v="RCA with Gen AI - NB_x000a_RCA with Gen AI - B_x000a_Talent Pool - NB_x000a_Data Coach - B"/>
    <x v="1"/>
    <s v="Yes"/>
    <s v="Mankind"/>
    <d v="2025-11-28T00:00:00"/>
    <x v="0"/>
    <s v=""/>
    <m/>
  </r>
  <r>
    <n v="100627"/>
    <s v="Mayank Swaroop Mathur"/>
    <d v="2025-03-03T00:00:00"/>
    <s v="RCA with Gen AI_x000a_TATA AIG AIxponent Implementation - Fixed"/>
    <n v="9"/>
    <n v="0"/>
    <n v="171"/>
    <n v="0"/>
    <n v="180"/>
    <n v="171"/>
    <n v="1"/>
    <n v="0"/>
    <s v="Good"/>
    <s v="RCA with Gen AI - B_x000a_TATA AIG AIX - Fixed - B"/>
    <x v="1"/>
    <s v="Yes"/>
    <s v="TATA AIG AIX"/>
    <m/>
    <x v="0"/>
    <s v=""/>
    <m/>
  </r>
  <r>
    <n v="100628"/>
    <s v="Mayur Ashok Kukreja"/>
    <d v="2025-03-03T00:00:00"/>
    <s v="Intellicus report migration to Qlik Sense  - T&amp;M "/>
    <n v="27"/>
    <n v="0"/>
    <n v="153"/>
    <n v="0"/>
    <n v="180"/>
    <n v="153"/>
    <n v="1"/>
    <n v="0"/>
    <s v="Good"/>
    <s v="Intellicus report migration to Qlik Sense  - T&amp;M -B"/>
    <x v="0"/>
    <s v="Yes"/>
    <s v="Intellicus report migration to Qlik Sense"/>
    <m/>
    <x v="0"/>
    <s v=""/>
    <m/>
  </r>
  <r>
    <n v="100633"/>
    <s v="Pratik Bhabad"/>
    <d v="2025-03-10T00:00:00"/>
    <s v="SBI Life T&amp;M"/>
    <n v="45"/>
    <n v="0"/>
    <n v="135"/>
    <n v="0"/>
    <n v="180"/>
    <n v="135"/>
    <n v="1"/>
    <n v="0"/>
    <s v="Good"/>
    <s v="SBI Life T&amp;M -B"/>
    <x v="0"/>
    <s v="Yes"/>
    <s v="SBI Life"/>
    <m/>
    <x v="0"/>
    <s v=""/>
    <m/>
  </r>
  <r>
    <n v="100634"/>
    <s v="Suryank Ashok Singh"/>
    <d v="2025-03-11T00:00:00"/>
    <s v="IIFL Risk Dashboard Development on Qlik Sense - Fixed"/>
    <n v="22.5"/>
    <n v="0"/>
    <n v="157.5"/>
    <n v="0"/>
    <n v="180"/>
    <n v="157.5"/>
    <n v="1"/>
    <n v="0"/>
    <s v="Good"/>
    <s v="IIFL Risk Dashboard Development on Qlik Sense - Fixed -B"/>
    <x v="1"/>
    <s v="Yes"/>
    <s v="IIFL Risk Dashboard Development on Qlik Sense"/>
    <m/>
    <x v="0"/>
    <s v=""/>
    <m/>
  </r>
  <r>
    <n v="400032"/>
    <s v="Ajay Harish Sasane"/>
    <d v="2025-03-12T00:00:00"/>
    <s v="Tera - T&amp;M"/>
    <n v="0"/>
    <n v="0"/>
    <n v="180"/>
    <n v="0"/>
    <n v="180"/>
    <n v="180"/>
    <n v="1"/>
    <n v="0"/>
    <s v="Good"/>
    <s v="Tera - T&amp;M -B"/>
    <x v="0"/>
    <s v="Yes"/>
    <s v="Tera"/>
    <m/>
    <x v="0"/>
    <s v=""/>
    <m/>
  </r>
  <r>
    <n v="100641"/>
    <s v="Kumar Mayank"/>
    <d v="2025-03-17T00:00:00"/>
    <s v="Translation Application_x000a_RCA with Gen AI"/>
    <n v="90"/>
    <n v="0"/>
    <n v="45"/>
    <n v="45"/>
    <n v="180"/>
    <n v="90"/>
    <n v="0.5"/>
    <n v="0.5"/>
    <s v="Critical"/>
    <s v="Translation Application - B_x000a_RCA with Gen AI - B_x000a_RCA with Gen AI - NB"/>
    <x v="1"/>
    <s v="Yes"/>
    <s v="RCA With GenAI"/>
    <d v="2025-12-01T00:00:00"/>
    <x v="0"/>
    <s v=""/>
    <m/>
  </r>
  <r>
    <n v="100637"/>
    <s v="Shubham Kumar"/>
    <d v="2025-03-17T00:00:00"/>
    <s v="Talent Pool - India_x000a_Keka Dashboard - Internal"/>
    <n v="0"/>
    <n v="0"/>
    <n v="0"/>
    <n v="180"/>
    <n v="180"/>
    <n v="180"/>
    <n v="0"/>
    <n v="1"/>
    <s v="Critical"/>
    <s v="Talent Pool - India - NB_x000a_Keka Dashboard - Internal - NB"/>
    <x v="3"/>
    <s v="No"/>
    <s v="Bench/POC"/>
    <m/>
    <x v="0"/>
    <s v=""/>
    <m/>
  </r>
  <r>
    <n v="100636"/>
    <s v="Rajakumari Gundampadu"/>
    <d v="2025-03-17T00:00:00"/>
    <s v="Talent Pool - India"/>
    <n v="0"/>
    <n v="0"/>
    <n v="0"/>
    <n v="180"/>
    <n v="180"/>
    <n v="180"/>
    <n v="0"/>
    <n v="1"/>
    <s v="Critical"/>
    <s v="Talent Pool - India -NB"/>
    <x v="3"/>
    <s v="No"/>
    <s v="Bench"/>
    <m/>
    <x v="1"/>
    <d v="2025-12-26T00:00:00"/>
    <m/>
  </r>
  <r>
    <n v="100643"/>
    <s v="Rhea Rajendraprasad Butala"/>
    <d v="2025-03-17T00:00:00"/>
    <s v="AIXponent - Internal"/>
    <n v="0"/>
    <n v="0"/>
    <n v="0"/>
    <n v="45"/>
    <n v="45"/>
    <n v="45"/>
    <n v="0"/>
    <n v="1"/>
    <s v="Critical"/>
    <s v="AIXponent - Internal - NB"/>
    <x v="9"/>
    <s v="No"/>
    <s v="AIXponent"/>
    <m/>
    <x v="1"/>
    <d v="2025-11-07T00:00:00"/>
    <m/>
  </r>
  <r>
    <n v="100645"/>
    <s v="Kunal Mahadev Sapkal"/>
    <d v="2025-03-20T00:00:00"/>
    <s v="Talent Pool - India_x000a_Data Foundation for Databricks PoC - T&amp;M"/>
    <n v="18"/>
    <n v="0"/>
    <n v="45"/>
    <n v="117"/>
    <n v="180"/>
    <n v="162"/>
    <n v="0.27777777777777779"/>
    <n v="0.72222222222222221"/>
    <s v="Critical"/>
    <s v="Data Foundation for Databricks PoC - T&amp;M - B_x000a_Talent Pool - NB"/>
    <x v="3"/>
    <s v="No"/>
    <s v="Bench"/>
    <m/>
    <x v="1"/>
    <d v="2025-12-12T00:00:00"/>
    <m/>
  </r>
  <r>
    <n v="100646"/>
    <s v="Agasti Janardan Desai"/>
    <d v="2025-03-21T00:00:00"/>
    <s v="Datafactory - T&amp;M"/>
    <n v="0"/>
    <n v="0"/>
    <n v="180"/>
    <n v="0"/>
    <n v="180"/>
    <n v="180"/>
    <n v="1"/>
    <n v="0"/>
    <s v="Good"/>
    <s v="Datafactory - T&amp;M"/>
    <x v="0"/>
    <s v="Yes"/>
    <s v="Datafactory "/>
    <m/>
    <x v="0"/>
    <s v=""/>
    <m/>
  </r>
  <r>
    <n v="100647"/>
    <s v="ABDUL ASHIF"/>
    <d v="2025-03-24T00:00:00"/>
    <s v="BCG -T&amp;M"/>
    <n v="0"/>
    <n v="0"/>
    <n v="180"/>
    <n v="0"/>
    <n v="180"/>
    <n v="180"/>
    <n v="1"/>
    <n v="0"/>
    <s v="Good"/>
    <s v="BCG -T&amp;M"/>
    <x v="0"/>
    <s v="Yes"/>
    <s v="BCG"/>
    <m/>
    <x v="0"/>
    <s v=""/>
    <m/>
  </r>
  <r>
    <n v="100648"/>
    <s v="Gaurav Prakash Gawande"/>
    <d v="2025-03-24T00:00:00"/>
    <s v="Trackchain - Argus - Fixed _x000a_Talent Pool - India"/>
    <n v="22.5"/>
    <n v="0"/>
    <n v="67.5"/>
    <n v="90"/>
    <n v="180"/>
    <n v="157.5"/>
    <n v="0.42857142857142855"/>
    <n v="0.5714285714285714"/>
    <s v="Critical"/>
    <s v="Talent Pool - India - NB_x000a_Trackchain - B"/>
    <x v="1"/>
    <s v="Yes"/>
    <s v="Trackchain"/>
    <d v="2025-11-17T00:00:00"/>
    <x v="0"/>
    <s v=""/>
    <s v="will be onboarded to DSS by 17 Nov'25"/>
  </r>
  <r>
    <n v="100649"/>
    <s v="Prashant Hanjage"/>
    <d v="2025-03-26T00:00:00"/>
    <s v="BCG -T&amp;M_x000a_AIXponent - Internal_x000a_Qlik QAP_x000a_Data Coach "/>
    <n v="0"/>
    <n v="0"/>
    <n v="46.5"/>
    <n v="133.5"/>
    <n v="180"/>
    <n v="180"/>
    <n v="0.25833333333333336"/>
    <n v="0.7416666666666667"/>
    <s v="Critical"/>
    <s v="BCG -T&amp;M - B_x000a_AIXponent - Internal - NB_x000a_Data Coach - B_x000a_Qlik QAP - B"/>
    <x v="5"/>
    <s v="Yes"/>
    <s v="Mankind"/>
    <d v="2025-11-26T00:00:00"/>
    <x v="0"/>
    <s v=""/>
    <m/>
  </r>
  <r>
    <n v="100650"/>
    <s v="Mrunali Tejkumar Jambhulkar"/>
    <d v="2025-03-31T00:00:00"/>
    <s v="TATA AIG T&amp;M"/>
    <n v="18"/>
    <n v="0"/>
    <n v="162"/>
    <n v="0"/>
    <n v="180"/>
    <n v="162"/>
    <n v="1"/>
    <n v="0"/>
    <s v="Good"/>
    <s v="TATA AIG T&amp;M"/>
    <x v="0"/>
    <s v="Yes"/>
    <s v="TATA AIG"/>
    <m/>
    <x v="0"/>
    <s v=""/>
    <m/>
  </r>
  <r>
    <n v="100688"/>
    <s v="Manjeet Ravindra Bilthare"/>
    <d v="2025-04-01T00:00:00"/>
    <s v="Talent Pool - India"/>
    <n v="0"/>
    <n v="0"/>
    <n v="0"/>
    <n v="180"/>
    <n v="180"/>
    <n v="180"/>
    <n v="0"/>
    <n v="1"/>
    <s v="Critical"/>
    <s v="Talent Pool - India - NB"/>
    <x v="3"/>
    <s v="No"/>
    <s v="Mankind"/>
    <d v="2025-12-01T00:00:00"/>
    <x v="0"/>
    <s v=""/>
    <m/>
  </r>
  <r>
    <n v="100654"/>
    <s v="Kunal Kumar Singh"/>
    <d v="2025-04-02T00:00:00"/>
    <s v="TATA AIG T&amp;M"/>
    <n v="18"/>
    <n v="0"/>
    <n v="162"/>
    <n v="0"/>
    <n v="180"/>
    <n v="162"/>
    <n v="1"/>
    <n v="0"/>
    <s v="Good"/>
    <s v="TATA AIG T&amp;M"/>
    <x v="0"/>
    <s v="Yes"/>
    <s v="TATA AIG"/>
    <m/>
    <x v="0"/>
    <s v=""/>
    <m/>
  </r>
  <r>
    <n v="100656"/>
    <s v="Gourav Gulashankar Dubey"/>
    <d v="2025-04-03T00:00:00"/>
    <s v="Emory - Fixed"/>
    <n v="0"/>
    <n v="0"/>
    <n v="180"/>
    <n v="0"/>
    <n v="180"/>
    <n v="180"/>
    <n v="1"/>
    <n v="0"/>
    <s v="Good"/>
    <s v="Emory - Fixed"/>
    <x v="6"/>
    <s v="Yes"/>
    <s v="Emory"/>
    <m/>
    <x v="0"/>
    <s v=""/>
    <m/>
  </r>
  <r>
    <n v="100660"/>
    <s v="Aniket Mohan Gharate"/>
    <d v="2025-04-04T00:00:00"/>
    <s v="EY-Adani Ahmedabad - GCP Big query to Azure Data bricks migration - T&amp;M"/>
    <n v="0"/>
    <n v="0"/>
    <n v="180"/>
    <n v="0"/>
    <n v="180"/>
    <n v="180"/>
    <n v="1"/>
    <n v="0"/>
    <s v="Good"/>
    <s v="EY-Adani Ahmedabad - GCP Big query to Azure Data bricks migration - T&amp;M"/>
    <x v="0"/>
    <s v="Yes"/>
    <s v="EY-Adani Ahmedabad - GCP Big query to Azure Data bricks migration"/>
    <m/>
    <x v="0"/>
    <s v=""/>
    <m/>
  </r>
  <r>
    <n v="100662"/>
    <s v="Yogesh Mangesh Surve"/>
    <d v="2025-04-09T00:00:00"/>
    <s v="Adani Logistics_x000a_POC"/>
    <n v="9"/>
    <n v="0"/>
    <n v="81"/>
    <n v="90"/>
    <n v="180"/>
    <n v="171"/>
    <n v="0.47368421052631576"/>
    <n v="0.52631578947368418"/>
    <s v="Critical"/>
    <s v="Adani Logistics - B_x000a_POC - NB"/>
    <x v="1"/>
    <s v="Yes"/>
    <s v="Adani Logistics"/>
    <d v="2025-11-18T00:00:00"/>
    <x v="0"/>
    <s v=""/>
    <s v="will be onboarded in Adani by 18 Nov'25"/>
  </r>
  <r>
    <n v="100663"/>
    <s v="Rutuja Santosh Gole"/>
    <d v="2025-04-14T00:00:00"/>
    <s v="BCG -T&amp;M"/>
    <n v="9"/>
    <n v="0"/>
    <n v="171"/>
    <n v="0"/>
    <n v="180"/>
    <n v="171"/>
    <n v="1"/>
    <n v="0"/>
    <s v="Good"/>
    <s v="BCG -T&amp;M"/>
    <x v="0"/>
    <s v="Yes"/>
    <s v="BCG"/>
    <m/>
    <x v="0"/>
    <s v=""/>
    <m/>
  </r>
  <r>
    <n v="100667"/>
    <s v="Ashwin Srinivasan"/>
    <d v="2025-04-14T00:00:00"/>
    <s v="AIXponent - Internal"/>
    <n v="9"/>
    <n v="0"/>
    <n v="0"/>
    <n v="171"/>
    <n v="180"/>
    <n v="171"/>
    <n v="0"/>
    <n v="1"/>
    <s v="Critical"/>
    <s v="AIXponent - Internal - NB"/>
    <x v="2"/>
    <s v="No"/>
    <s v="AIXponent"/>
    <m/>
    <x v="0"/>
    <s v=""/>
    <m/>
  </r>
  <r>
    <n v="100669"/>
    <s v="Aman Mohanty"/>
    <d v="2025-04-14T00:00:00"/>
    <s v="Afcons Qlik SaaS Migration_x000a_Talent Pool - India_x000a_Databricks Center of Excellence (CoE) - Internal"/>
    <n v="9"/>
    <n v="0"/>
    <n v="139.5"/>
    <n v="31.5"/>
    <n v="180"/>
    <n v="171"/>
    <n v="0.81578947368421051"/>
    <n v="0.18421052631578946"/>
    <s v="Critical"/>
    <s v="Afcons Qlik SaaS Migration - B_x000a_Talent Pool - India - NB_x000a_Databricks Center of Excellence (CoE) - Internal - NB"/>
    <x v="1"/>
    <s v="Yes"/>
    <s v="Afcons"/>
    <d v="2025-10-27T00:00:00"/>
    <x v="0"/>
    <s v=""/>
    <m/>
  </r>
  <r>
    <n v="100671"/>
    <s v="Akash Kajale"/>
    <d v="2025-04-16T00:00:00"/>
    <s v="Financial Services - T&amp;M"/>
    <n v="0"/>
    <n v="0"/>
    <n v="90"/>
    <n v="0"/>
    <n v="90"/>
    <n v="90"/>
    <n v="1"/>
    <n v="0"/>
    <s v="Good"/>
    <s v="Financial Services - T&amp;M"/>
    <x v="0"/>
    <s v="Yes"/>
    <s v="Adani CAPITAL "/>
    <m/>
    <x v="1"/>
    <d v="2025-11-14T00:00:00"/>
    <m/>
  </r>
  <r>
    <n v="100673"/>
    <s v="Vishakha Vijay Naik"/>
    <d v="2025-04-16T00:00:00"/>
    <s v="ABSLI Qlik Dashboard - Fixed &amp; Fixed T&amp;M"/>
    <n v="9"/>
    <n v="0"/>
    <n v="171"/>
    <n v="0"/>
    <n v="180"/>
    <n v="171"/>
    <n v="1"/>
    <n v="0"/>
    <s v="Good"/>
    <s v="ABSLI Qlik Dashboard - Fixed &amp; Fixed T&amp;M"/>
    <x v="1"/>
    <s v="Yes"/>
    <s v="ABSLI"/>
    <m/>
    <x v="0"/>
    <s v=""/>
    <m/>
  </r>
  <r>
    <n v="100674"/>
    <s v="Borse Akash Rajendra"/>
    <d v="2025-04-17T00:00:00"/>
    <s v="ICICI Pru amc - T&amp;M"/>
    <n v="27"/>
    <n v="0"/>
    <n v="153"/>
    <n v="0"/>
    <n v="180"/>
    <n v="153"/>
    <n v="1"/>
    <n v="0"/>
    <s v="Good"/>
    <s v="ICICI Pru amc - T&amp;M"/>
    <x v="0"/>
    <s v="Yes"/>
    <s v="ICICI Pru amc "/>
    <m/>
    <x v="0"/>
    <s v=""/>
    <m/>
  </r>
  <r>
    <n v="100676"/>
    <s v="Vaibhav Soni"/>
    <d v="2025-04-28T00:00:00"/>
    <s v="Data Foundation for Databricks PoC - T&amp;M"/>
    <n v="0"/>
    <n v="0"/>
    <n v="180"/>
    <n v="0"/>
    <n v="180"/>
    <n v="180"/>
    <n v="1"/>
    <n v="0"/>
    <s v="Good"/>
    <s v="Data Foundation for Databricks PoC - T&amp;M"/>
    <x v="0"/>
    <s v="Yes"/>
    <s v="Data Foundation for Databricks PoC"/>
    <m/>
    <x v="0"/>
    <s v=""/>
    <m/>
  </r>
  <r>
    <n v="300033"/>
    <s v="Manjunath L"/>
    <d v="2025-04-28T00:00:00"/>
    <s v="HDFC Life Digi Lab - T&amp;M"/>
    <n v="0"/>
    <n v="0"/>
    <n v="180"/>
    <n v="0"/>
    <n v="180"/>
    <n v="180"/>
    <n v="1"/>
    <n v="0"/>
    <s v="Good"/>
    <s v="HDFC Life Digi Lab - T&amp;M"/>
    <x v="0"/>
    <s v="Yes"/>
    <s v="HDFC Life Digi Lab "/>
    <m/>
    <x v="0"/>
    <s v=""/>
    <m/>
  </r>
  <r>
    <n v="100677"/>
    <s v="Sudhanshu Rajesh Pandey"/>
    <d v="2025-04-29T00:00:00"/>
    <s v="Financial Services - T&amp;M"/>
    <n v="0"/>
    <n v="0"/>
    <n v="180"/>
    <n v="0"/>
    <n v="180"/>
    <n v="180"/>
    <n v="1"/>
    <n v="0"/>
    <s v="Good"/>
    <s v="Financial Services - T&amp;M"/>
    <x v="0"/>
    <s v="Yes"/>
    <s v="Adani CAPITAL "/>
    <m/>
    <x v="0"/>
    <s v=""/>
    <m/>
  </r>
  <r>
    <n v="100678"/>
    <s v="Premjeet Chaubey"/>
    <d v="2025-04-29T00:00:00"/>
    <s v="Data Foundation for Databricks PoC - T&amp;M"/>
    <n v="18"/>
    <n v="0"/>
    <n v="162"/>
    <n v="0"/>
    <n v="180"/>
    <n v="162"/>
    <n v="1"/>
    <n v="0"/>
    <s v="Good"/>
    <s v="Data Foundation for Databricks PoC - T&amp;M"/>
    <x v="0"/>
    <s v="Yes"/>
    <s v="Data Foundation for Databricks PoC"/>
    <m/>
    <x v="0"/>
    <s v=""/>
    <m/>
  </r>
  <r>
    <n v="100682"/>
    <s v="Santosh Jadhav"/>
    <d v="2025-05-05T00:00:00"/>
    <s v="IIFL Risk Dashboard Development on Qlik Sense - Fixed"/>
    <n v="45"/>
    <n v="0"/>
    <n v="135"/>
    <n v="0"/>
    <n v="180"/>
    <n v="135"/>
    <n v="1"/>
    <n v="0"/>
    <s v="Good"/>
    <s v="IIFL Risk Dashboard Development on Qlik Sense - Fixed"/>
    <x v="1"/>
    <s v="Yes"/>
    <s v="IIFL Risk Dashboard Development on Qlik Sense "/>
    <m/>
    <x v="0"/>
    <s v=""/>
    <m/>
  </r>
  <r>
    <n v="100683"/>
    <s v="Saadat Hillal Mukadam"/>
    <d v="2025-05-05T00:00:00"/>
    <s v="Data Foundation for Databricks PoC - T&amp;M"/>
    <n v="0"/>
    <n v="0"/>
    <n v="180"/>
    <n v="0"/>
    <n v="180"/>
    <n v="180"/>
    <n v="1"/>
    <n v="0"/>
    <s v="Good"/>
    <s v="Data Foundation for Databricks PoC - T&amp;M"/>
    <x v="0"/>
    <s v="Yes"/>
    <s v="Data Foundation for Databricks PoC"/>
    <m/>
    <x v="0"/>
    <s v=""/>
    <m/>
  </r>
  <r>
    <n v="100684"/>
    <s v="Snehal Braswel Dsouza"/>
    <d v="2025-05-05T00:00:00"/>
    <s v="IIFL Risk Dashboard Development on Qlik Sense - Fixed"/>
    <n v="0"/>
    <n v="0"/>
    <n v="180"/>
    <n v="0"/>
    <n v="180"/>
    <n v="180"/>
    <n v="1"/>
    <n v="0"/>
    <s v="Good"/>
    <s v="IIFL Risk Dashboard Development on Qlik Sense - Fixed"/>
    <x v="1"/>
    <s v="Yes"/>
    <s v="IIFL Risk Dashboard Development on Qlik Sense "/>
    <m/>
    <x v="0"/>
    <s v=""/>
    <m/>
  </r>
  <r>
    <n v="100685"/>
    <s v="Ajay Sudam Zine"/>
    <d v="2025-05-07T00:00:00"/>
    <s v="Novel Jewels Opp ( Power BI + SQL ) - T&amp;M"/>
    <n v="0"/>
    <n v="0"/>
    <n v="180"/>
    <n v="0"/>
    <n v="180"/>
    <n v="180"/>
    <n v="1"/>
    <n v="0"/>
    <s v="Good"/>
    <s v="Novel Jewels Opp ( Power BI + SQL ) - T&amp;M"/>
    <x v="0"/>
    <s v="Yes"/>
    <s v="Novel Jewels Opp"/>
    <m/>
    <x v="0"/>
    <s v=""/>
    <m/>
  </r>
  <r>
    <n v="100687"/>
    <s v="Prity Kumari"/>
    <d v="2025-05-07T00:00:00"/>
    <s v="Talent Pool - India"/>
    <n v="0"/>
    <n v="0"/>
    <n v="0"/>
    <n v="45"/>
    <n v="45"/>
    <n v="45"/>
    <n v="0"/>
    <n v="1"/>
    <s v="Critical"/>
    <s v="Talent Pool - India - NB"/>
    <x v="3"/>
    <s v="No"/>
    <s v="Bench"/>
    <m/>
    <x v="1"/>
    <d v="2025-11-07T00:00:00"/>
    <m/>
  </r>
  <r>
    <n v="100689"/>
    <s v="Sachin Hiraman Kolwate"/>
    <d v="2025-05-12T00:00:00"/>
    <s v="TATA AIG T&amp;M"/>
    <n v="0"/>
    <n v="0"/>
    <n v="180"/>
    <n v="0"/>
    <n v="180"/>
    <n v="180"/>
    <n v="1"/>
    <n v="0"/>
    <s v="Good"/>
    <s v="TATA AIG T&amp;M"/>
    <x v="0"/>
    <s v="Yes"/>
    <s v="TATA AIG"/>
    <m/>
    <x v="0"/>
    <s v=""/>
    <m/>
  </r>
  <r>
    <n v="100690"/>
    <s v="Pankaj Gurunath Mali"/>
    <d v="2025-05-12T00:00:00"/>
    <s v="Data Foundation for Databricks PoC - T&amp;M"/>
    <n v="9"/>
    <n v="0"/>
    <n v="171"/>
    <n v="0"/>
    <n v="180"/>
    <n v="171"/>
    <n v="1"/>
    <n v="0"/>
    <s v="Good"/>
    <s v="Data Foundation for Databricks PoC - T&amp;M"/>
    <x v="0"/>
    <s v="Yes"/>
    <s v="Data Foundation for Databricks PoC"/>
    <m/>
    <x v="0"/>
    <s v=""/>
    <m/>
  </r>
  <r>
    <n v="100692"/>
    <s v="Devi Sree"/>
    <d v="2025-05-16T00:00:00"/>
    <s v="Talent Pool - India_x000a_TATA AIG AIxponent Implementation - Fixed"/>
    <n v="9"/>
    <n v="0"/>
    <n v="85"/>
    <n v="86"/>
    <n v="180"/>
    <n v="171"/>
    <n v="0.49707602339181284"/>
    <n v="0.50292397660818711"/>
    <s v="Critical"/>
    <s v="Talent Pool - India - NB_x000a_TATA AIG AIxponent Implementation - Fixed - B"/>
    <x v="1"/>
    <s v="Yes"/>
    <s v="TATA AIG AIX"/>
    <m/>
    <x v="0"/>
    <s v=""/>
    <m/>
  </r>
  <r>
    <n v="100718"/>
    <s v="Satish Maruti Narvekar"/>
    <d v="2025-05-19T00:00:00"/>
    <s v="AIXponent - Internal"/>
    <n v="9"/>
    <n v="0"/>
    <n v="0"/>
    <n v="171"/>
    <n v="180"/>
    <n v="171"/>
    <n v="0"/>
    <n v="1"/>
    <s v="Critical"/>
    <s v="AIXponent - Internal - NB"/>
    <x v="5"/>
    <s v="No"/>
    <s v="AIXponent "/>
    <m/>
    <x v="0"/>
    <s v=""/>
    <m/>
  </r>
  <r>
    <n v="100693"/>
    <s v="Abhishek Jiteshbhai Shukla"/>
    <d v="2025-05-19T00:00:00"/>
    <s v="Talent Pool - India"/>
    <n v="0"/>
    <n v="0"/>
    <n v="0"/>
    <n v="45"/>
    <n v="45"/>
    <n v="45"/>
    <n v="0"/>
    <n v="1"/>
    <s v="Critical"/>
    <s v="Talent Pool - India - NB"/>
    <x v="3"/>
    <s v="No"/>
    <s v="Bench"/>
    <m/>
    <x v="1"/>
    <d v="2025-11-07T00:00:00"/>
    <m/>
  </r>
  <r>
    <n v="100694"/>
    <s v="Harihar Ajay Apamarjane"/>
    <d v="2025-05-19T00:00:00"/>
    <s v="AIXponent - Internal_x000a_TATA AIG AIxponent Implementation - Fixed"/>
    <n v="0"/>
    <n v="0"/>
    <n v="104.5"/>
    <n v="75.5"/>
    <n v="180"/>
    <n v="180"/>
    <n v="0.5805555555555556"/>
    <n v="0.41944444444444445"/>
    <s v="Critical"/>
    <s v="AIXponent - Internal - NB_x000a_TATA AIG AIxponent Implementation - Fixed - B"/>
    <x v="1"/>
    <s v="Yes"/>
    <s v="TATA AIG AIX"/>
    <m/>
    <x v="0"/>
    <s v=""/>
    <m/>
  </r>
  <r>
    <n v="100696"/>
    <s v="Arsh Rupainwar"/>
    <d v="2025-06-02T00:00:00"/>
    <s v="Data Lake &amp; Marts Automation - Fixed"/>
    <n v="9"/>
    <n v="0"/>
    <n v="171"/>
    <n v="0"/>
    <n v="180"/>
    <n v="171"/>
    <n v="1"/>
    <n v="0"/>
    <s v="Good"/>
    <s v="Data Lake &amp; Marts Automation - Fixed"/>
    <x v="1"/>
    <s v="Yes"/>
    <s v="Data Lake &amp; Marts Automation"/>
    <m/>
    <x v="0"/>
    <s v=""/>
    <m/>
  </r>
  <r>
    <n v="100698"/>
    <s v="Vaibhav Aggarwal"/>
    <d v="2025-06-09T00:00:00"/>
    <s v="Adani Logistics_x000a_Novel Jewels Opp ( Power BI + SQL ) - T&amp;M"/>
    <n v="0"/>
    <n v="0"/>
    <n v="90"/>
    <n v="90"/>
    <n v="180"/>
    <n v="180"/>
    <n v="0.5"/>
    <n v="0.5"/>
    <s v="Critical"/>
    <s v="Adani Logistics - B (50% Billable)_x000a_Novel Jewels Opp ( Power BI + SQL ) - T&amp;M - NB"/>
    <x v="1"/>
    <s v="Yes"/>
    <s v="Adani Logistics "/>
    <m/>
    <x v="0"/>
    <s v=""/>
    <m/>
  </r>
  <r>
    <n v="100699"/>
    <s v="Suresh Gendappa Thite"/>
    <d v="2025-06-11T00:00:00"/>
    <s v="TATA AIG T&amp;M"/>
    <n v="18"/>
    <n v="0"/>
    <n v="162"/>
    <n v="0"/>
    <n v="180"/>
    <n v="162"/>
    <n v="1"/>
    <n v="0"/>
    <s v="Good"/>
    <s v="TATA AIG T&amp;M"/>
    <x v="0"/>
    <s v="Yes"/>
    <s v="TATA AIG"/>
    <m/>
    <x v="0"/>
    <s v=""/>
    <m/>
  </r>
  <r>
    <n v="100700"/>
    <s v="Shankar Baditya"/>
    <d v="2025-06-12T00:00:00"/>
    <s v="SBI Life T&amp;M"/>
    <n v="45"/>
    <n v="0"/>
    <n v="135"/>
    <n v="0"/>
    <n v="180"/>
    <n v="135"/>
    <n v="1"/>
    <n v="0"/>
    <s v="Good"/>
    <s v="SBI Life T&amp;M"/>
    <x v="0"/>
    <s v="Yes"/>
    <s v="SBI Life"/>
    <m/>
    <x v="0"/>
    <s v=""/>
    <m/>
  </r>
  <r>
    <n v="100009"/>
    <s v="Sudhakar Chavan"/>
    <d v="2015-11-16T00:00:00"/>
    <s v="Qlik &amp; Talend Center of Excellence - Internal"/>
    <n v="0"/>
    <n v="0"/>
    <n v="0"/>
    <n v="180"/>
    <n v="180"/>
    <n v="180"/>
    <n v="0"/>
    <n v="1"/>
    <s v="Critical"/>
    <s v="Qlik &amp; Talend Center of Excellence - Internal - NB"/>
    <x v="6"/>
    <s v="No"/>
    <s v="Qlik &amp; Talend Center of Excellence - Internal "/>
    <m/>
    <x v="0"/>
    <s v=""/>
    <m/>
  </r>
  <r>
    <n v="100016"/>
    <s v="Prathamesh Sable"/>
    <d v="2017-05-22T00:00:00"/>
    <s v="COE - Microsoft - Fabric/Power BI"/>
    <n v="0"/>
    <n v="0"/>
    <n v="0"/>
    <n v="180"/>
    <n v="180"/>
    <n v="180"/>
    <n v="0"/>
    <n v="1"/>
    <s v="Critical"/>
    <s v="COE - Microsoft - Fabric/Power BI - NB"/>
    <x v="4"/>
    <s v="No"/>
    <s v="COE - Microsoft - Fabric/Power BI"/>
    <m/>
    <x v="0"/>
    <s v=""/>
    <m/>
  </r>
  <r>
    <n v="100059"/>
    <s v="Gaurav Dhing"/>
    <d v="2019-09-05T00:00:00"/>
    <s v="COE - AWS"/>
    <n v="0"/>
    <n v="0"/>
    <n v="0"/>
    <n v="180"/>
    <n v="180"/>
    <n v="180"/>
    <n v="0"/>
    <n v="1"/>
    <s v="Critical"/>
    <s v="COE - AWS - NB"/>
    <x v="12"/>
    <s v="No"/>
    <s v="COE - AWS"/>
    <m/>
    <x v="0"/>
    <s v=""/>
    <m/>
  </r>
  <r>
    <n v="100422"/>
    <s v="Viresh Rajkumar Manjarekar"/>
    <d v="2024-04-16T00:00:00"/>
    <s v="Databricks Center of Excellence (CoE) - Internal"/>
    <n v="22.5"/>
    <n v="0"/>
    <n v="0"/>
    <n v="157.5"/>
    <n v="180"/>
    <n v="157.5"/>
    <n v="0"/>
    <n v="1"/>
    <s v="Critical"/>
    <s v="Databricks Center of Excellence (CoE) - Internal - NB"/>
    <x v="7"/>
    <s v="No"/>
    <s v="Databricks Center of Excellence (CoE)"/>
    <m/>
    <x v="0"/>
    <s v=""/>
    <m/>
  </r>
  <r>
    <n v="100642"/>
    <s v="Chirag Nailesh Poladia"/>
    <d v="2025-03-17T00:00:00"/>
    <s v="Databricks Center of Excellence (CoE) - Internal_x000a_Enterprise Analytics DW – T&amp;M"/>
    <n v="9"/>
    <n v="0"/>
    <n v="164"/>
    <n v="7"/>
    <n v="180"/>
    <n v="171"/>
    <n v="0.95906432748538006"/>
    <n v="4.0935672514619881E-2"/>
    <s v="Good"/>
    <s v="Databricks Center of Excellence (CoE) - Internal_x000a_Enterprise Analytics DW – T&amp;M"/>
    <x v="0"/>
    <s v="Yes"/>
    <s v="Enterprise Analytics DW"/>
    <m/>
    <x v="0"/>
    <s v=""/>
    <m/>
  </r>
  <r>
    <n v="100640"/>
    <s v="Akshay Gangwar"/>
    <d v="2025-03-17T00:00:00"/>
    <s v="Qlik &amp; Talend Center of Excellence - Internal"/>
    <n v="18"/>
    <n v="0"/>
    <n v="0"/>
    <n v="162"/>
    <n v="180"/>
    <n v="162"/>
    <n v="0"/>
    <n v="1"/>
    <s v="Critical"/>
    <s v="Qlik &amp; Talend Center of Excellence - Internal - NB"/>
    <x v="6"/>
    <s v="No"/>
    <s v="Qlik &amp; Talend Center of Excellence - Internal"/>
    <m/>
    <x v="1"/>
    <s v=""/>
    <m/>
  </r>
  <r>
    <n v="100241"/>
    <s v="Sandhya Agrahari"/>
    <d v="2022-05-09T00:00:00"/>
    <s v="AIXponent - Internal"/>
    <n v="9"/>
    <n v="0"/>
    <n v="0"/>
    <n v="171"/>
    <n v="180"/>
    <n v="171"/>
    <n v="0"/>
    <n v="1"/>
    <s v="Critical"/>
    <s v="AIXponent - Internal - NB"/>
    <x v="9"/>
    <s v="No"/>
    <s v="AIXponent"/>
    <m/>
    <x v="0"/>
    <s v=""/>
    <m/>
  </r>
  <r>
    <n v="400033"/>
    <s v="Harikrishna Shankaran Natrajan"/>
    <d v="2025-04-01T00:00:00"/>
    <s v="SBI - Qlik Dashboard and Contest Management - Fixed / T&amp;M"/>
    <n v="108"/>
    <n v="0"/>
    <n v="72"/>
    <n v="0"/>
    <n v="180"/>
    <n v="72"/>
    <n v="1"/>
    <n v="0"/>
    <s v="Good"/>
    <s v="SBI - Qlik Dashboard and Contest Management - Fixed / T&amp;M"/>
    <x v="0"/>
    <s v="Yes"/>
    <s v="SBI - Qlik Dashboard and Contest Management "/>
    <m/>
    <x v="0"/>
    <s v=""/>
    <m/>
  </r>
  <r>
    <n v="100716"/>
    <s v="Nitin Pawar"/>
    <d v="2025-09-01T00:00:00"/>
    <s v="SBI Life T&amp;M"/>
    <n v="0"/>
    <n v="0"/>
    <n v="180"/>
    <n v="0"/>
    <n v="180"/>
    <n v="180"/>
    <n v="1"/>
    <n v="0"/>
    <s v="Good"/>
    <s v="SBI Life T&amp;M"/>
    <x v="0"/>
    <s v="Yes"/>
    <s v="SBI Life"/>
    <m/>
    <x v="0"/>
    <s v=""/>
    <m/>
  </r>
  <r>
    <n v="100705"/>
    <s v="Aditya Dnyaneshwar Jejurkar"/>
    <d v="2025-06-23T00:00:00"/>
    <s v="Adani Logistics"/>
    <n v="45"/>
    <n v="0"/>
    <n v="135"/>
    <n v="0"/>
    <n v="180"/>
    <n v="135"/>
    <n v="1"/>
    <n v="0"/>
    <s v="Good"/>
    <s v="Adani Logistics"/>
    <x v="1"/>
    <s v="Yes"/>
    <s v="Adani Logistics"/>
    <m/>
    <x v="0"/>
    <s v=""/>
    <m/>
  </r>
  <r>
    <n v="100706"/>
    <s v="Mansi Vishnani"/>
    <d v="2025-06-23T00:00:00"/>
    <s v="SBI Life T&amp;M"/>
    <n v="0"/>
    <n v="0"/>
    <n v="180"/>
    <n v="0"/>
    <n v="180"/>
    <n v="180"/>
    <n v="1"/>
    <n v="0"/>
    <s v="Good"/>
    <s v="SBI Life T&amp;M"/>
    <x v="0"/>
    <s v="Yes"/>
    <s v="SBI Life"/>
    <m/>
    <x v="0"/>
    <s v=""/>
    <m/>
  </r>
  <r>
    <n v="200055"/>
    <s v="Apurva Ketan Mandape"/>
    <d v="2025-07-08T00:00:00"/>
    <s v="Talent Pool - India"/>
    <n v="0"/>
    <n v="0"/>
    <n v="0"/>
    <n v="180"/>
    <n v="180"/>
    <n v="180"/>
    <n v="0"/>
    <n v="1"/>
    <s v="Critical"/>
    <s v="Talent Pool - India - NB ( Learning phase)"/>
    <x v="10"/>
    <s v="No"/>
    <s v="Bench "/>
    <m/>
    <x v="0"/>
    <s v=""/>
    <m/>
  </r>
  <r>
    <n v="100709"/>
    <s v="Rajat Deepaklal Dhera"/>
    <d v="2025-07-16T00:00:00"/>
    <s v="Endurance Technologies-Dashboard Performance Optimization &amp; Overall Performance Improvement _x000a_Talent Pool - India"/>
    <n v="9"/>
    <n v="0"/>
    <n v="90"/>
    <n v="81"/>
    <n v="180"/>
    <n v="171"/>
    <n v="0.52631578947368418"/>
    <n v="0.47368421052631576"/>
    <s v="Critical"/>
    <s v="Endurance Technologies-Dashboard Performance Optimization &amp; Overall Performance Improvement  - B_x000a_Talent Pool - India - NB"/>
    <x v="0"/>
    <s v="Yes"/>
    <s v="Endurance"/>
    <d v="2025-11-17T00:00:00"/>
    <x v="0"/>
    <s v=""/>
    <m/>
  </r>
  <r>
    <n v="100710"/>
    <s v="Akshay Rajendra Saraf"/>
    <d v="2025-07-17T00:00:00"/>
    <s v="ABSLI Qlik Dashboard - Fixed &amp; Fixed T&amp;M"/>
    <n v="4.5"/>
    <n v="0"/>
    <n v="175.5"/>
    <n v="0"/>
    <n v="180"/>
    <n v="175.5"/>
    <n v="1"/>
    <n v="0"/>
    <s v="Good"/>
    <s v="ABSLI Qlik Dashboard - Fixed &amp; Fixed T&amp;M"/>
    <x v="1"/>
    <s v="Yes"/>
    <s v="ABSLI"/>
    <m/>
    <x v="0"/>
    <s v=""/>
    <m/>
  </r>
  <r>
    <n v="300037"/>
    <s v="Arup Ghosh"/>
    <d v="2025-07-22T00:00:00"/>
    <s v="Titan Finance"/>
    <n v="0"/>
    <n v="0"/>
    <n v="180"/>
    <n v="0"/>
    <n v="180"/>
    <n v="180"/>
    <n v="1"/>
    <n v="0"/>
    <s v="Good"/>
    <s v="Titan Finance"/>
    <x v="1"/>
    <s v="Yes"/>
    <s v="Titan Finance"/>
    <m/>
    <x v="0"/>
    <s v=""/>
    <m/>
  </r>
  <r>
    <n v="100711"/>
    <s v="Sukanya Bipin Patil"/>
    <d v="2025-07-28T00:00:00"/>
    <s v="IIB Reporting- Resource"/>
    <n v="9"/>
    <n v="0"/>
    <n v="171"/>
    <n v="0"/>
    <n v="180"/>
    <n v="171"/>
    <n v="1"/>
    <n v="0"/>
    <s v="Good"/>
    <s v="IIB Reporting- Resource"/>
    <x v="1"/>
    <s v="Yes"/>
    <s v="IIB Reporting- Resource"/>
    <m/>
    <x v="0"/>
    <s v=""/>
    <m/>
  </r>
  <r>
    <n v="200057"/>
    <s v="Bharat Narain Bhagnani"/>
    <d v="2025-08-04T00:00:00"/>
    <s v="AIXponent - Internal"/>
    <n v="27"/>
    <n v="0"/>
    <n v="0"/>
    <n v="153"/>
    <n v="180"/>
    <n v="153"/>
    <n v="0"/>
    <n v="1"/>
    <s v="Critical"/>
    <s v="AIXponent - Internal -NB ( AIXponent Backend and Fast API )"/>
    <x v="5"/>
    <s v="No"/>
    <s v="AIXponent"/>
    <m/>
    <x v="0"/>
    <s v=""/>
    <m/>
  </r>
  <r>
    <n v="100713"/>
    <s v="Udipta Ghosh"/>
    <d v="2025-08-06T00:00:00"/>
    <s v="HDFC Life -  Replicate Support T&amp;M"/>
    <n v="4.5"/>
    <n v="0"/>
    <n v="175.5"/>
    <n v="0"/>
    <n v="180"/>
    <n v="175.5"/>
    <n v="1"/>
    <n v="0"/>
    <s v="Good"/>
    <s v="HDFC Life -  Replicate Support T&amp;M"/>
    <x v="0"/>
    <s v="Yes"/>
    <s v="HDFC Life - Replicate Support"/>
    <m/>
    <x v="0"/>
    <s v=""/>
    <m/>
  </r>
  <r>
    <n v="300035"/>
    <s v="Sad Mridha"/>
    <d v="2025-04-29T00:00:00"/>
    <s v="AIXponent - Internal"/>
    <n v="0"/>
    <n v="0"/>
    <n v="0"/>
    <n v="180"/>
    <n v="180"/>
    <n v="180"/>
    <n v="0"/>
    <n v="1"/>
    <s v="Critical"/>
    <s v="AIXponent - Internal -NB ( Machine Mesh Poc )"/>
    <x v="9"/>
    <s v="No"/>
    <s v="AIXponent"/>
    <m/>
    <x v="0"/>
    <s v=""/>
    <m/>
  </r>
  <r>
    <n v="200058"/>
    <s v="Pratham Purendra Vaddepalli"/>
    <d v="2025-08-11T00:00:00"/>
    <s v="AIXponent - Internal"/>
    <n v="9"/>
    <n v="0"/>
    <n v="0"/>
    <n v="171"/>
    <n v="180"/>
    <n v="171"/>
    <n v="0"/>
    <n v="1"/>
    <s v="Critical"/>
    <s v="AIXponent - Internal -NB ( Aixponent Backend )"/>
    <x v="5"/>
    <s v="No"/>
    <s v="AIXponent"/>
    <m/>
    <x v="0"/>
    <s v=""/>
    <m/>
  </r>
  <r>
    <n v="100714"/>
    <s v="Arun Vivekananda"/>
    <d v="2025-08-21T00:00:00"/>
    <s v="Titan Finance"/>
    <n v="36"/>
    <n v="0"/>
    <n v="144"/>
    <n v="0"/>
    <n v="180"/>
    <n v="144"/>
    <n v="1"/>
    <n v="0"/>
    <s v="Good"/>
    <s v="Titan Finance"/>
    <x v="1"/>
    <s v="Yes"/>
    <s v="Titan Finance"/>
    <m/>
    <x v="0"/>
    <s v=""/>
    <m/>
  </r>
  <r>
    <n v="100715"/>
    <s v="Mihir Rajan Patil"/>
    <d v="2025-08-26T00:00:00"/>
    <s v="EY-Adani Ahmedabad - GCP Big query to Azure Data bricks migration - T&amp;M"/>
    <n v="45"/>
    <n v="0"/>
    <n v="135"/>
    <n v="0"/>
    <n v="180"/>
    <n v="135"/>
    <n v="1"/>
    <n v="0"/>
    <s v="Good"/>
    <s v="EY-Adani Ahmedabad - GCP Big query to Azure Data bricks migration - T&amp;M"/>
    <x v="0"/>
    <s v="Yes"/>
    <s v="EY-Adani Ahmedabad - GCP Big query to Azure Data bricks migration"/>
    <m/>
    <x v="0"/>
    <s v=""/>
    <m/>
  </r>
  <r>
    <n v="200059"/>
    <s v="Roshni Tuna Panda"/>
    <d v="2025-09-02T00:00:00"/>
    <s v="AIXponent - Internal"/>
    <n v="0"/>
    <n v="0"/>
    <n v="0"/>
    <n v="180"/>
    <n v="180"/>
    <n v="180"/>
    <n v="0"/>
    <n v="1"/>
    <s v="Critical"/>
    <s v="AIXponent - Internal -NB ( Video processing Task for AIXponent )"/>
    <x v="5"/>
    <s v="No"/>
    <s v="AIXponent"/>
    <m/>
    <x v="0"/>
    <s v=""/>
    <m/>
  </r>
  <r>
    <n v="200060"/>
    <s v="Shriyash Shrikrishna Ingle"/>
    <d v="2025-09-02T00:00:00"/>
    <s v="AIXponent - Internal"/>
    <n v="0"/>
    <n v="0"/>
    <n v="0"/>
    <n v="180"/>
    <n v="180"/>
    <n v="180"/>
    <n v="0"/>
    <n v="1"/>
    <s v="Critical"/>
    <s v="AIXponent - Internal -NB ( Video processing task for AiXponent  )"/>
    <x v="5"/>
    <s v="No"/>
    <s v="AIXponent"/>
    <m/>
    <x v="0"/>
    <s v=""/>
    <m/>
  </r>
  <r>
    <n v="200061"/>
    <s v="Tisha Sunil Jeswani"/>
    <d v="2025-09-03T00:00:00"/>
    <s v="AIXponent - Internal"/>
    <n v="0"/>
    <n v="0"/>
    <n v="0"/>
    <n v="180"/>
    <n v="180"/>
    <n v="180"/>
    <n v="0"/>
    <n v="1"/>
    <s v="Critical"/>
    <s v="AIXponent - Internal -NB ( Digital Assistant )"/>
    <x v="10"/>
    <s v="No"/>
    <s v="AIXponent"/>
    <m/>
    <x v="0"/>
    <s v=""/>
    <m/>
  </r>
  <r>
    <n v="100717"/>
    <s v="Gokulnathan Saravanan"/>
    <d v="2025-09-24T00:00:00"/>
    <s v="Databricks + Power BI Resource"/>
    <n v="0"/>
    <n v="0"/>
    <n v="180"/>
    <n v="0"/>
    <n v="180"/>
    <n v="180"/>
    <n v="1"/>
    <n v="0"/>
    <s v="Good"/>
    <s v="Databricks + Power BI Resource -B"/>
    <x v="1"/>
    <s v="Yes"/>
    <s v="Databricks + Power BI Resource"/>
    <m/>
    <x v="0"/>
    <s v=""/>
    <m/>
  </r>
  <r>
    <n v="300039"/>
    <s v="Rajesh Bogireddy"/>
    <d v="2025-09-29T00:00:00"/>
    <s v="Kemsley Mills_x000a_Talent Pool - India"/>
    <n v="0"/>
    <n v="0"/>
    <n v="90"/>
    <n v="90"/>
    <n v="180"/>
    <n v="180"/>
    <n v="0.5"/>
    <n v="0.5"/>
    <s v="Critical"/>
    <s v="Kemsley Mills - B_x000a_Talent Pool - B"/>
    <x v="3"/>
    <s v="No"/>
    <s v="Bench "/>
    <m/>
    <x v="0"/>
    <s v=""/>
    <m/>
  </r>
  <r>
    <n v="400038"/>
    <s v="Mitesh Ravatka"/>
    <d v="2025-10-06T00:00:00"/>
    <s v="T&amp;M Requirement-Adani-Data Engineer(EY) - T&amp;M"/>
    <n v="9"/>
    <n v="0"/>
    <n v="171"/>
    <n v="0"/>
    <n v="180"/>
    <n v="171"/>
    <n v="1"/>
    <n v="0"/>
    <s v="Good"/>
    <s v="T&amp;M Requirement-Adani-Data Engineer(EY) - T&amp;M -B"/>
    <x v="0"/>
    <s v="Yes"/>
    <s v="T&amp;M Requirement-Adani-Data Engineer(EY) "/>
    <m/>
    <x v="0"/>
    <s v=""/>
    <m/>
  </r>
  <r>
    <n v="200063"/>
    <s v="Dhruv Agrawal"/>
    <d v="2025-10-13T00:00:00"/>
    <s v="Talent Pool - India"/>
    <n v="0"/>
    <n v="0"/>
    <n v="0"/>
    <n v="180"/>
    <n v="180"/>
    <n v="180"/>
    <n v="0"/>
    <n v="1"/>
    <s v="Critical"/>
    <s v="Talent Pool - India - NB ( Shadowing Mayank in his projects )"/>
    <x v="10"/>
    <s v="No"/>
    <s v="Bench "/>
    <m/>
    <x v="0"/>
    <s v=""/>
    <m/>
  </r>
  <r>
    <n v="200062"/>
    <s v="Akshat Mathur"/>
    <d v="2025-10-13T00:00:00"/>
    <s v="DS Smith - Pool_x000a_Talent Pool - India"/>
    <n v="0"/>
    <n v="0"/>
    <n v="0"/>
    <n v="180"/>
    <n v="180"/>
    <n v="180"/>
    <n v="0"/>
    <n v="1"/>
    <s v="Critical"/>
    <s v="DS Smith - Pool -NB_x000a_Talent Pool - India - NB"/>
    <x v="10"/>
    <s v="No"/>
    <s v="Bench "/>
    <m/>
    <x v="0"/>
    <s v=""/>
    <s v="Working  on SSP POC - Assigned by Sanjay "/>
  </r>
  <r>
    <n v="200064"/>
    <s v="M Roohi Jahan"/>
    <d v="2025-10-22T00:00:00"/>
    <s v="Talent Pool - India"/>
    <n v="9"/>
    <n v="0"/>
    <n v="0"/>
    <n v="171"/>
    <n v="180"/>
    <n v="171"/>
    <n v="0"/>
    <n v="1"/>
    <s v="Critical"/>
    <s v="Talent Pool - India -NB ( Doing self learning and exploring online documentations )"/>
    <x v="10"/>
    <s v="No"/>
    <s v="Bench "/>
    <m/>
    <x v="0"/>
    <s v=""/>
    <m/>
  </r>
  <r>
    <n v="400039"/>
    <s v="Amol Vikas Patil"/>
    <d v="2025-10-27T00:00:00"/>
    <s v="SBI Life T&amp;M"/>
    <n v="18"/>
    <n v="0"/>
    <n v="162"/>
    <n v="0"/>
    <n v="180"/>
    <n v="162"/>
    <n v="1"/>
    <n v="0"/>
    <s v="Good"/>
    <s v="SBI Life T&amp;M -B"/>
    <x v="0"/>
    <s v="Yes"/>
    <s v="SBI Life"/>
    <m/>
    <x v="0"/>
    <s v=""/>
    <m/>
  </r>
  <r>
    <n v="100720"/>
    <s v="Kamal Lochan Barik"/>
    <d v="2025-10-28T00:00:00"/>
    <s v="Talent Pool - India_x000a_HDFC Life Data Lab - T&amp;M"/>
    <n v="0"/>
    <n v="0"/>
    <n v="0"/>
    <n v="180"/>
    <n v="180"/>
    <n v="180"/>
    <n v="0"/>
    <n v="1"/>
    <s v="Critical"/>
    <s v="Talent Pool - India- NB ( Learing Kubernetes Services &amp; Networking basics )_x000a_HDFC Life Data Lab - T&amp;M - NB"/>
    <x v="0"/>
    <s v="No"/>
    <s v="HDFC Life Data Lab"/>
    <m/>
    <x v="0"/>
    <s v=""/>
    <s v="He is currently taking KT from Hitesh and will be billable after Hitesh’s allocation ends."/>
  </r>
  <r>
    <n v="200065"/>
    <s v="Roshan Kumar Kumawat"/>
    <d v="2025-11-04T00:00:00"/>
    <s v="Talent Pool - India"/>
    <n v="9"/>
    <n v="0"/>
    <n v="0"/>
    <n v="162"/>
    <n v="171"/>
    <n v="162"/>
    <n v="0"/>
    <n v="1"/>
    <s v="Critical"/>
    <s v="Talent Pool - India -NB ( Data Model task assigned by Syed )"/>
    <x v="10"/>
    <s v="No"/>
    <s v="Bench "/>
    <m/>
    <x v="0"/>
    <s v=""/>
    <m/>
  </r>
  <r>
    <n v="200066"/>
    <s v="Apurva Mohan Muthaye"/>
    <d v="2025-11-04T00:00:00"/>
    <s v="Talent Pool - India"/>
    <n v="0"/>
    <n v="0"/>
    <n v="0"/>
    <n v="171"/>
    <n v="171"/>
    <n v="171"/>
    <n v="0"/>
    <n v="1"/>
    <s v="Critical"/>
    <s v="Talent Pool - India -NB ( Data Quality Summary Dashboard task assigend by Syed )"/>
    <x v="10"/>
    <s v="No"/>
    <s v="Bench "/>
    <m/>
    <x v="0"/>
    <s v=""/>
    <m/>
  </r>
  <r>
    <n v="200067"/>
    <s v="Jash Tarun Kapoor"/>
    <d v="2025-11-05T00:00:00"/>
    <s v="Talent Pool - India"/>
    <n v="0"/>
    <n v="0"/>
    <n v="0"/>
    <n v="162"/>
    <n v="162"/>
    <n v="162"/>
    <n v="0"/>
    <n v="1"/>
    <s v="Critical"/>
    <s v="Talent Pool - India -NB (Lang chain  ,Lang graph , Apis of claude gemini gpt models pipelines )"/>
    <x v="10"/>
    <s v="No"/>
    <s v="Bench "/>
    <m/>
    <x v="0"/>
    <s v=""/>
    <m/>
  </r>
  <r>
    <n v="200068"/>
    <s v="Adesh Balaji Bhosale"/>
    <d v="2025-11-05T00:00:00"/>
    <s v="Talent Pool - India"/>
    <n v="9"/>
    <n v="0"/>
    <n v="0"/>
    <n v="153"/>
    <n v="162"/>
    <n v="153"/>
    <n v="0"/>
    <n v="1"/>
    <s v="Critical"/>
    <s v="Talent Pool - India -NB ( Data quality Profiling task assigned by Syed )"/>
    <x v="10"/>
    <s v="No"/>
    <s v="Bench "/>
    <m/>
    <x v="0"/>
    <s v=""/>
    <m/>
  </r>
  <r>
    <n v="200069"/>
    <s v="Daniyal Tanveerul Islam Azmi"/>
    <d v="2025-11-06T00:00:00"/>
    <s v="Talent Pool - India"/>
    <n v="0"/>
    <n v="0"/>
    <n v="0"/>
    <n v="153"/>
    <n v="153"/>
    <n v="153"/>
    <n v="0"/>
    <n v="1"/>
    <s v="Critical"/>
    <s v="Talent Pool - India -NB ( Data Quality Custom check task assigned by Syed )"/>
    <x v="10"/>
    <s v="No"/>
    <s v="Bench "/>
    <m/>
    <x v="0"/>
    <s v=""/>
    <m/>
  </r>
  <r>
    <n v="400040"/>
    <s v="Rimjhim Sharma"/>
    <d v="2025-11-03T00:00:00"/>
    <s v="Catalyst - (SSP FP&amp;A Reporting)"/>
    <n v="0"/>
    <n v="0"/>
    <n v="180"/>
    <n v="0"/>
    <n v="180"/>
    <n v="180"/>
    <n v="1"/>
    <n v="0"/>
    <s v="Good"/>
    <s v="Catalyst - (SSP FP&amp;A Reporting) - B"/>
    <x v="1"/>
    <s v="Yes"/>
    <s v="Catalyst - (SSP FP&amp;A Reporting)"/>
    <m/>
    <x v="0"/>
    <s v=""/>
    <m/>
  </r>
  <r>
    <n v="400041"/>
    <s v="Bindurani Ballupet Mallanna"/>
    <d v="2025-11-03T00:00:00"/>
    <s v="Catalyst - (SSP FP&amp;A Reporting)"/>
    <n v="0"/>
    <n v="0"/>
    <n v="180"/>
    <n v="0"/>
    <n v="180"/>
    <n v="180"/>
    <n v="1"/>
    <n v="0"/>
    <s v="Good"/>
    <s v="Catalyst - (SSP FP&amp;A Reporting) - B"/>
    <x v="1"/>
    <s v="Yes"/>
    <s v="Catalyst - (SSP FP&amp;A Reporting)"/>
    <m/>
    <x v="0"/>
    <s v=""/>
    <m/>
  </r>
  <r>
    <n v="400043"/>
    <s v="Mukund Kumar Kulkarni"/>
    <d v="2025-11-10T00:00:00"/>
    <s v="Catalyst - (SSP FP&amp;A Reporting)"/>
    <n v="0"/>
    <n v="0"/>
    <n v="135"/>
    <n v="0"/>
    <n v="135"/>
    <n v="135"/>
    <n v="1"/>
    <n v="0"/>
    <s v="Good"/>
    <s v="Catalyst - (SSP FP&amp;A Reporting) - B"/>
    <x v="1"/>
    <s v="Yes"/>
    <s v="Catalyst - (SSP FP&amp;A Reporting)"/>
    <m/>
    <x v="0"/>
    <s v=""/>
    <m/>
  </r>
  <r>
    <n v="200070"/>
    <s v="Prachiti Rajesh Palande"/>
    <d v="2025-11-10T00:00:00"/>
    <s v="Talent Pool - India"/>
    <n v="0"/>
    <n v="0"/>
    <n v="0"/>
    <n v="135"/>
    <n v="135"/>
    <n v="135"/>
    <n v="0"/>
    <n v="1"/>
    <s v="Critical"/>
    <s v="Talent Pool - India -NB ( Currently Researching PowerPoint presentations with AI, incorporating not only images and text but also proper infographics using core PowerPoint objects using MCP tools. )"/>
    <x v="10"/>
    <s v="No"/>
    <s v="Bench "/>
    <m/>
    <x v="0"/>
    <s v=""/>
    <m/>
  </r>
  <r>
    <n v="400044"/>
    <s v="Mayank Pramod Pandey"/>
    <d v="2025-11-10T00:00:00"/>
    <s v="DS Smith - Pool_x000a_Transporeon - Data ingesiton"/>
    <n v="0"/>
    <n v="0"/>
    <n v="45"/>
    <n v="90"/>
    <n v="135"/>
    <n v="135"/>
    <n v="0.33333333333333331"/>
    <n v="0.66666666666666663"/>
    <s v="Critical"/>
    <s v="DS Smith - Pool -NB_x000a_Transporeon - Data ingesiton -B"/>
    <x v="1"/>
    <s v="Yes"/>
    <s v="Transporeon - Data ingesiton"/>
    <d v="2025-11-17T00:00:00"/>
    <x v="0"/>
    <s v=""/>
    <m/>
  </r>
  <r>
    <n v="400045"/>
    <s v="Raghavendra Nagaraj"/>
    <d v="2025-10-15T00:00:00"/>
    <s v="E Invoicing - Fixed"/>
    <n v="0"/>
    <n v="0"/>
    <n v="180"/>
    <n v="0"/>
    <n v="180"/>
    <n v="180"/>
    <n v="1"/>
    <n v="0"/>
    <s v="Good"/>
    <s v="E Invoicing - Fixed -B"/>
    <x v="1"/>
    <s v="Yes"/>
    <s v="E Invoicing"/>
    <m/>
    <x v="0"/>
    <m/>
    <m/>
  </r>
  <r>
    <n v="100722"/>
    <s v="Prajak Hirachand Karande"/>
    <d v="2025-11-19T00:00:00"/>
    <s v="Talent Pool - India_x000a_EY Adani to Databricks Data Engineer - T&amp;M"/>
    <n v="0"/>
    <n v="0"/>
    <n v="45"/>
    <n v="27"/>
    <n v="72"/>
    <n v="72"/>
    <n v="0.625"/>
    <n v="0.375"/>
    <s v="Critical"/>
    <s v="Talent Pool - India -NB"/>
    <x v="3"/>
    <s v="No"/>
    <s v="EY Adani "/>
    <d v="2025-11-24T00:00:00"/>
    <x v="0"/>
    <m/>
    <m/>
  </r>
  <r>
    <n v="100724"/>
    <s v="Kaushal Dayanand Devlekar"/>
    <d v="2025-11-24T00:00:00"/>
    <s v="Talent Pool - India_x000a_Financial Services - T&amp;M"/>
    <n v="0"/>
    <n v="0"/>
    <n v="36"/>
    <n v="9"/>
    <n v="45"/>
    <n v="45"/>
    <n v="0.8"/>
    <n v="0.2"/>
    <s v="Critical"/>
    <s v="Talent Pool - India - NB_x000a_Financial Services - T&amp;M - B"/>
    <x v="0"/>
    <s v="Yes"/>
    <s v="Tyger Capital"/>
    <d v="2025-11-25T00:00:00"/>
    <x v="0"/>
    <s v=""/>
    <m/>
  </r>
  <r>
    <n v="400046"/>
    <s v="T Suhash"/>
    <d v="2025-11-20T00:00:00"/>
    <s v="FibreExpert_x000a_Talent Pool - India"/>
    <n v="0"/>
    <n v="0"/>
    <n v="45"/>
    <n v="18"/>
    <n v="63"/>
    <n v="63"/>
    <n v="0.7142857142857143"/>
    <n v="0.2857142857142857"/>
    <s v="Critical"/>
    <s v="FibreExpert - B_x000a_Talent Pool - India - NB"/>
    <x v="1"/>
    <s v="Yes"/>
    <s v="FiberExpert"/>
    <d v="2025-11-24T00:00:00"/>
    <x v="1"/>
    <d v="1899-12-30T00:00:00"/>
    <m/>
  </r>
  <r>
    <n v="400048"/>
    <s v="Girish Kumar"/>
    <d v="2025-11-26T00:00:00"/>
    <s v="Talent Pool - India"/>
    <n v="0"/>
    <n v="0"/>
    <n v="0"/>
    <n v="27"/>
    <n v="27"/>
    <n v="27"/>
    <n v="0"/>
    <n v="1"/>
    <s v="Critical"/>
    <s v="Talent Pool - India - NB"/>
    <x v="3"/>
    <s v="No"/>
    <s v="SSP"/>
    <m/>
    <x v="0"/>
    <s v=""/>
    <m/>
  </r>
  <r>
    <n v="300041"/>
    <s v="Nethaji Kamalapuram"/>
    <d v="2025-11-17T00:00:00"/>
    <s v="Talent Pool - India_x000a_Databricks Center of Excellence (CoE) - Internal_x000a_Odyssey Hotels Group"/>
    <n v="0"/>
    <n v="0"/>
    <n v="22.5"/>
    <n v="67.5"/>
    <n v="90"/>
    <n v="90"/>
    <n v="0.25"/>
    <n v="0.75"/>
    <s v="Critical"/>
    <s v="Talent Pool - India - NB_x000a_Databricks Center of Excellence (CoE) - Internal - NB_x000a_Odyssey Hotels Group - B ( 50% Billable )"/>
    <x v="1"/>
    <s v="Yes"/>
    <s v="Odyssey"/>
    <d v="2025-11-24T00:00:00"/>
    <x v="0"/>
    <s v=""/>
    <s v="Prathamesh Confirmed - 50 % Billable in Odyessy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
  <r>
    <n v="100003"/>
    <s v="Rutuja Samalad"/>
    <d v="2015-01-15T00:00:00"/>
    <s v="BCG -T&amp;M"/>
    <n v="81"/>
    <n v="9"/>
    <n v="117"/>
    <n v="0"/>
    <n v="207"/>
    <n v="117"/>
    <n v="1"/>
    <n v="0"/>
    <s v="Good"/>
    <s v="BCG -T&amp;M"/>
    <x v="0"/>
    <s v="Yes"/>
    <s v="BCG"/>
    <m/>
    <x v="0"/>
    <s v=""/>
    <m/>
  </r>
  <r>
    <n v="100007"/>
    <s v="Priyanka Patil"/>
    <d v="2015-11-02T00:00:00"/>
    <s v="ABSLI Qlik Dashboard - Fixed &amp; Fixed T&amp;M"/>
    <n v="40.5"/>
    <n v="9"/>
    <n v="157.5"/>
    <n v="0"/>
    <n v="207"/>
    <n v="157.5"/>
    <n v="1"/>
    <n v="0"/>
    <s v="Good"/>
    <s v="ABSLI Qlik Dashboard - Fixed &amp; Fixed T&amp;M"/>
    <x v="1"/>
    <s v="Yes"/>
    <s v="ABSLI"/>
    <m/>
    <x v="0"/>
    <s v=""/>
    <m/>
  </r>
  <r>
    <n v="100010"/>
    <s v="Devang Sanghavi"/>
    <d v="2016-07-01T00:00:00"/>
    <s v="Endurance Technologies-Dashboard Performance Optimization &amp; Overall Performance Improvement _x000a_EY-ABHL - T&amp;M_x000a_Niva Bupa DWA - Fixed_x000a_TATA AIG T&amp;M"/>
    <n v="18"/>
    <n v="9"/>
    <n v="180"/>
    <n v="0"/>
    <n v="207"/>
    <n v="180"/>
    <n v="1"/>
    <n v="0"/>
    <s v="Good"/>
    <s v="Endurance Technologies-Dashboard Performance Optimization &amp; Overall Performance Improvement - B_x000a_EY-ABHL - T&amp;M - B_x000a_Niva Bupa DWA - Fixed - B_x000a_TATA AIG T&amp;M - B"/>
    <x v="0"/>
    <s v="Yes"/>
    <s v="EY-ABHL"/>
    <m/>
    <x v="0"/>
    <s v=""/>
    <m/>
  </r>
  <r>
    <n v="100012"/>
    <s v="Ashish Bhatia"/>
    <d v="2016-11-24T00:00:00"/>
    <s v="DSS Ashish - T&amp;M"/>
    <n v="54"/>
    <n v="18"/>
    <n v="135"/>
    <n v="0"/>
    <n v="207"/>
    <n v="135"/>
    <n v="1"/>
    <n v="0"/>
    <s v="Good"/>
    <s v="DSS Ashish - T&amp;M"/>
    <x v="0"/>
    <s v="Yes"/>
    <s v="DSS Ashish"/>
    <m/>
    <x v="0"/>
    <s v=""/>
    <m/>
  </r>
  <r>
    <n v="100020"/>
    <s v="Gaurav Yardi"/>
    <d v="2017-07-17T00:00:00"/>
    <s v="Endurance Technologies-Dashboard Performance Optimization &amp; Overall Performance Improvement _x000a_Talent Pool - India"/>
    <n v="18"/>
    <n v="9"/>
    <n v="71"/>
    <n v="109"/>
    <n v="207"/>
    <n v="180"/>
    <n v="0.39444444444444443"/>
    <n v="0.60555555555555551"/>
    <s v="Critical"/>
    <s v="Endurance Technologies-Dashboard Performance Optimization &amp; Overall Performance Improvement - B ( 50% billable )_x000a_Talent Pool - India - NB"/>
    <x v="0"/>
    <s v="Yes"/>
    <s v="Endurance Technologies-Dashboard Performance Optimization &amp; Overall Performance Improvement"/>
    <m/>
    <x v="0"/>
    <s v=""/>
    <m/>
  </r>
  <r>
    <n v="100023"/>
    <s v="Onkar Jangam"/>
    <d v="2018-06-12T00:00:00"/>
    <s v="SBI Life T&amp;M"/>
    <n v="0"/>
    <n v="9"/>
    <n v="198"/>
    <n v="0"/>
    <n v="207"/>
    <n v="198"/>
    <n v="1"/>
    <n v="0"/>
    <s v="Good"/>
    <s v="SBI Life T&amp;M"/>
    <x v="0"/>
    <s v="Yes"/>
    <s v="SBI Life"/>
    <m/>
    <x v="1"/>
    <d v="2026-02-13T00:00:00"/>
    <m/>
  </r>
  <r>
    <n v="100030"/>
    <s v="Mitesh Panchal"/>
    <d v="2018-12-19T00:00:00"/>
    <s v="SBI Life T&amp;M"/>
    <n v="0"/>
    <n v="9"/>
    <n v="198"/>
    <n v="0"/>
    <n v="207"/>
    <n v="198"/>
    <n v="1"/>
    <n v="0"/>
    <s v="Good"/>
    <s v="SBI Life T&amp;M"/>
    <x v="0"/>
    <s v="Yes"/>
    <s v="SBI Life"/>
    <m/>
    <x v="1"/>
    <d v="2026-02-28T00:00:00"/>
    <m/>
  </r>
  <r>
    <n v="100031"/>
    <s v="Hansel Fernandes"/>
    <d v="2019-01-02T00:00:00"/>
    <s v="Kemsley Mills_x000a_Transporeon - Data ingesiton - Fixed"/>
    <n v="22.5"/>
    <n v="18"/>
    <n v="166.5"/>
    <n v="0"/>
    <n v="207"/>
    <n v="166.5"/>
    <n v="1"/>
    <n v="0"/>
    <s v="Good"/>
    <s v="Kemsley Mills"/>
    <x v="1"/>
    <s v="Yes"/>
    <s v="Kemsley Mills"/>
    <m/>
    <x v="0"/>
    <s v=""/>
    <m/>
  </r>
  <r>
    <n v="100032"/>
    <s v="Sayali Kapdule"/>
    <d v="2019-01-21T00:00:00"/>
    <s v="HDFC Life Bis - T&amp;M"/>
    <n v="45"/>
    <n v="9"/>
    <n v="153"/>
    <n v="0"/>
    <n v="207"/>
    <n v="153"/>
    <n v="1"/>
    <n v="0"/>
    <s v="Good"/>
    <s v="HDFC Life Bis - T&amp;M"/>
    <x v="0"/>
    <s v="Yes"/>
    <s v="HDFC Life Bis"/>
    <m/>
    <x v="0"/>
    <s v=""/>
    <m/>
  </r>
  <r>
    <n v="100036"/>
    <s v="Dhanaji Roman"/>
    <d v="2019-02-18T00:00:00"/>
    <s v="SBI Life T&amp;M"/>
    <n v="36"/>
    <n v="9"/>
    <n v="162"/>
    <n v="0"/>
    <n v="207"/>
    <n v="162"/>
    <n v="1"/>
    <n v="0"/>
    <s v="Good"/>
    <s v="SBI Life T&amp;M"/>
    <x v="0"/>
    <s v="Yes"/>
    <s v="SBI Life"/>
    <m/>
    <x v="0"/>
    <s v=""/>
    <m/>
  </r>
  <r>
    <n v="100040"/>
    <s v="Bapu Damare"/>
    <d v="2019-03-18T00:00:00"/>
    <s v="Adani Logistics"/>
    <n v="63"/>
    <n v="9"/>
    <n v="135"/>
    <n v="0"/>
    <n v="207"/>
    <n v="135"/>
    <n v="1"/>
    <n v="0"/>
    <s v="Good"/>
    <s v="Adani Logistics - Currently on full week leave"/>
    <x v="1"/>
    <s v="Yes"/>
    <s v="Adani Logistics"/>
    <m/>
    <x v="0"/>
    <s v=""/>
    <m/>
  </r>
  <r>
    <n v="100042"/>
    <s v="Sumit Shinde"/>
    <d v="2019-04-03T00:00:00"/>
    <s v="ABSLI Qlik Dashboard - Fixed &amp; Fixed T&amp;M"/>
    <n v="0"/>
    <n v="9"/>
    <n v="198"/>
    <n v="0"/>
    <n v="207"/>
    <n v="198"/>
    <n v="1"/>
    <n v="0"/>
    <s v="Good"/>
    <s v="ABSLI Qlik Dashboard - Fixed &amp; Fixed T&amp;M"/>
    <x v="1"/>
    <s v="Yes"/>
    <s v="ABSLI"/>
    <m/>
    <x v="0"/>
    <s v=""/>
    <m/>
  </r>
  <r>
    <n v="100046"/>
    <s v="Chirag Nakrani"/>
    <d v="2019-04-22T00:00:00"/>
    <s v="Talent Pool - India_x000a_Data Coach - Fixed_x000a_Niva Bupa  - CR New Reports &amp; Enhancement - T&amp;M"/>
    <n v="54"/>
    <n v="9"/>
    <n v="112.5"/>
    <n v="31.5"/>
    <n v="207"/>
    <n v="144"/>
    <n v="0.78125"/>
    <n v="0.21875"/>
    <s v="Critical"/>
    <s v="Data Coach - B _x000a_Niva Bupa  - CR New Reports &amp; Enhancement - T&amp;M - B_x000a_Talent Pool - NB"/>
    <x v="1"/>
    <s v="Yes"/>
    <s v="Data Coach"/>
    <m/>
    <x v="0"/>
    <s v=""/>
    <m/>
  </r>
  <r>
    <n v="100052"/>
    <s v="Chalapathi Rao"/>
    <d v="2019-06-17T00:00:00"/>
    <s v="AIXponent - Internal_x000a_Data Science &amp; ML Center of Excellence (COE) _x000a_Data Coach - Fixed"/>
    <n v="27"/>
    <n v="9"/>
    <n v="48"/>
    <n v="123"/>
    <n v="207"/>
    <n v="171"/>
    <n v="0.2807017543859649"/>
    <n v="0.7192982456140351"/>
    <s v="Critical"/>
    <s v="AIXponent - Internal - NB_x000a_Data Science &amp; ML Center of Excellence (COE) - NB_x000a_Data Coach - B"/>
    <x v="2"/>
    <s v="Yes"/>
    <s v="Data Coach"/>
    <m/>
    <x v="0"/>
    <s v=""/>
    <m/>
  </r>
  <r>
    <n v="100053"/>
    <s v="Vaishnavi Singh"/>
    <d v="2019-06-27T00:00:00"/>
    <s v="Talent Pool - India"/>
    <n v="36"/>
    <n v="9"/>
    <n v="0"/>
    <n v="162"/>
    <n v="207"/>
    <n v="162"/>
    <n v="0"/>
    <n v="1"/>
    <s v="Critical"/>
    <s v="Talent Pool - India - NB"/>
    <x v="3"/>
    <s v="No"/>
    <s v="Bench"/>
    <m/>
    <x v="0"/>
    <s v=""/>
    <m/>
  </r>
  <r>
    <n v="100060"/>
    <s v="Shubham Saraswat"/>
    <d v="2019-12-02T00:00:00"/>
    <s v="Eligarf TUI T&amp;M"/>
    <n v="0"/>
    <n v="9"/>
    <n v="198"/>
    <n v="0"/>
    <n v="207"/>
    <n v="198"/>
    <n v="1"/>
    <n v="0"/>
    <s v="Good"/>
    <s v="Eligarf TUI T&amp;M"/>
    <x v="0"/>
    <s v="Yes"/>
    <s v="Eligarf TUI"/>
    <m/>
    <x v="0"/>
    <s v=""/>
    <m/>
  </r>
  <r>
    <n v="100068"/>
    <s v="Sagar Bane"/>
    <d v="2020-02-10T00:00:00"/>
    <s v="Eligarf TUI T&amp;M"/>
    <n v="81"/>
    <n v="9"/>
    <n v="117"/>
    <n v="0"/>
    <n v="207"/>
    <n v="117"/>
    <n v="1"/>
    <n v="0"/>
    <s v="Good"/>
    <s v="Eligarf TUI T&amp;M"/>
    <x v="0"/>
    <s v="Yes"/>
    <s v="Eligarf TUI"/>
    <m/>
    <x v="0"/>
    <s v=""/>
    <m/>
  </r>
  <r>
    <n v="100078"/>
    <s v="Tanmayee Rawle"/>
    <d v="2020-10-01T00:00:00"/>
    <s v="ABSLI Qlik Dashboard - Fixed &amp; Fixed T&amp;M"/>
    <n v="45"/>
    <n v="9"/>
    <n v="153"/>
    <n v="0"/>
    <n v="207"/>
    <n v="153"/>
    <n v="1"/>
    <n v="0"/>
    <s v="Good"/>
    <s v="ABSLI Qlik Dashboard - Fixed &amp; Fixed T&amp;M"/>
    <x v="1"/>
    <s v="Yes"/>
    <s v="ABSLI"/>
    <m/>
    <x v="0"/>
    <s v=""/>
    <m/>
  </r>
  <r>
    <n v="100081"/>
    <s v="Mandar Kadam"/>
    <d v="2020-11-19T00:00:00"/>
    <s v="Emory - Fixed"/>
    <n v="63"/>
    <n v="9"/>
    <n v="135"/>
    <n v="0"/>
    <n v="207"/>
    <n v="135"/>
    <n v="1"/>
    <n v="0"/>
    <s v="Good"/>
    <s v="Emory - Fixed"/>
    <x v="1"/>
    <s v="Yes"/>
    <s v="Emory"/>
    <m/>
    <x v="0"/>
    <s v=""/>
    <m/>
  </r>
  <r>
    <n v="100086"/>
    <s v="Sharmistha Ghosh"/>
    <d v="2020-11-23T00:00:00"/>
    <s v="Comviva Talend Migration_x000a_Talent Pool - India_x000a_Data Coach - Fixed_x000a_Nuvama Gen AI - Fixed_x000a_TATA AIG AIxponent Implementation - Fixed_x000a_Titan Finance"/>
    <n v="18"/>
    <n v="9"/>
    <n v="153.30000000000001"/>
    <n v="26.7"/>
    <n v="207"/>
    <n v="180"/>
    <n v="0.85166666666666668"/>
    <n v="0.14833333333333332"/>
    <s v="Good"/>
    <s v="Data Coach _x000a_Nuvama Gen AI - Fixed"/>
    <x v="1"/>
    <s v="Yes"/>
    <s v="Data Coach"/>
    <m/>
    <x v="0"/>
    <s v=""/>
    <m/>
  </r>
  <r>
    <n v="100089"/>
    <s v="Rutuja Limaye"/>
    <d v="2020-12-09T00:00:00"/>
    <s v="Odyssey Hotels Group"/>
    <n v="9"/>
    <n v="9"/>
    <n v="189"/>
    <n v="0"/>
    <n v="207"/>
    <n v="189"/>
    <n v="1"/>
    <n v="0"/>
    <s v="Good"/>
    <s v="Odyssey Hotels Group"/>
    <x v="1"/>
    <s v="Yes"/>
    <s v="Odyssey"/>
    <m/>
    <x v="0"/>
    <s v=""/>
    <m/>
  </r>
  <r>
    <n v="100090"/>
    <s v="Hitesh Satange"/>
    <d v="2020-12-09T00:00:00"/>
    <s v="HDFC Life Data Lab - T&amp;M"/>
    <n v="4.5"/>
    <n v="9"/>
    <n v="193.5"/>
    <n v="0"/>
    <n v="207"/>
    <n v="193.5"/>
    <n v="1"/>
    <n v="0"/>
    <s v="Good"/>
    <s v="HDFC Life Data Lab - T&amp;M"/>
    <x v="0"/>
    <s v="Yes"/>
    <s v="HDFC Life Data Lab"/>
    <m/>
    <x v="1"/>
    <d v="2026-01-23T00:00:00"/>
    <m/>
  </r>
  <r>
    <n v="100096"/>
    <s v="Suyog Hemant Patil"/>
    <d v="2020-12-25T00:00:00"/>
    <s v="HDFC Life Data Lab - T&amp;M"/>
    <n v="54"/>
    <n v="9"/>
    <n v="144"/>
    <n v="0"/>
    <n v="207"/>
    <n v="144"/>
    <n v="1"/>
    <n v="0"/>
    <s v="Good"/>
    <s v="HDFC Life Data Lab - T&amp;M"/>
    <x v="0"/>
    <s v="Yes"/>
    <s v="HDFC Life Data Lab"/>
    <m/>
    <x v="0"/>
    <s v=""/>
    <m/>
  </r>
  <r>
    <n v="100102"/>
    <s v="Rahul Arshad"/>
    <d v="2021-01-01T00:00:00"/>
    <s v="HDFC Life SalesTap - Fixed / T&amp;M"/>
    <n v="90"/>
    <n v="9"/>
    <n v="108"/>
    <n v="0"/>
    <n v="207"/>
    <n v="108"/>
    <n v="1"/>
    <n v="0"/>
    <s v="Good"/>
    <s v="HDFC Sales Tap - Currently on two week leave"/>
    <x v="0"/>
    <s v="Yes"/>
    <s v="HDFC Life SalesTap"/>
    <m/>
    <x v="0"/>
    <s v=""/>
    <m/>
  </r>
  <r>
    <n v="100099"/>
    <s v="Vikash Singh"/>
    <d v="2021-01-07T00:00:00"/>
    <s v="Adani Logistics"/>
    <n v="0"/>
    <n v="9"/>
    <n v="198"/>
    <n v="0"/>
    <n v="207"/>
    <n v="198"/>
    <n v="1"/>
    <n v="0"/>
    <s v="Good"/>
    <s v="Adani Logistics"/>
    <x v="1"/>
    <s v="Yes"/>
    <s v="Adani Logistics"/>
    <m/>
    <x v="0"/>
    <s v=""/>
    <m/>
  </r>
  <r>
    <n v="100104"/>
    <s v="Aman Verma"/>
    <d v="2021-01-15T00:00:00"/>
    <s v="Translation Application_x000a_AIXponent - Internal"/>
    <n v="9"/>
    <n v="9"/>
    <n v="22.5"/>
    <n v="166.5"/>
    <n v="207"/>
    <n v="189"/>
    <n v="0.11904761904761904"/>
    <n v="0.88095238095238093"/>
    <s v="Critical"/>
    <s v="Translation Application - B_x000a_AIXponent - Internal - NB"/>
    <x v="2"/>
    <s v="Yes"/>
    <s v="Aixponent"/>
    <m/>
    <x v="0"/>
    <s v=""/>
    <m/>
  </r>
  <r>
    <n v="100108"/>
    <s v="Janhavi Sanchit Patil"/>
    <d v="2021-01-22T00:00:00"/>
    <s v="HDFC Life Bis - T&amp;M"/>
    <n v="54"/>
    <n v="9"/>
    <n v="144"/>
    <n v="0"/>
    <n v="207"/>
    <n v="144"/>
    <n v="1"/>
    <n v="0"/>
    <s v="Good"/>
    <s v="HDFC Life Bis - T&amp;M"/>
    <x v="0"/>
    <s v="Yes"/>
    <s v="HDFC Life Bis"/>
    <m/>
    <x v="0"/>
    <s v=""/>
    <m/>
  </r>
  <r>
    <n v="100110"/>
    <s v="Venkatasuman Jada"/>
    <d v="2021-01-27T00:00:00"/>
    <s v="DS Smith - Pool_x000a_Talent Pool - India"/>
    <n v="0"/>
    <n v="18"/>
    <n v="0"/>
    <n v="189"/>
    <n v="207"/>
    <n v="189"/>
    <n v="0"/>
    <n v="1"/>
    <s v="Critical"/>
    <s v="Talent Pool - India - NB"/>
    <x v="3"/>
    <s v="No"/>
    <s v="Bench"/>
    <m/>
    <x v="0"/>
    <s v=""/>
    <m/>
  </r>
  <r>
    <n v="100115"/>
    <s v="Shashikant Maurya"/>
    <d v="2021-02-16T00:00:00"/>
    <s v="Talent Pool - India_x000a_TATA AIG AIxponent Implementation - Fixed"/>
    <n v="54"/>
    <n v="9"/>
    <n v="1"/>
    <n v="143"/>
    <n v="207"/>
    <n v="144"/>
    <n v="6.9444444444444441E-3"/>
    <n v="0.99305555555555558"/>
    <s v="Critical"/>
    <s v="Talent Pool - India - NB_x000a_TATA AIG AIxponent Implementation - Fixed - B"/>
    <x v="3"/>
    <s v="No"/>
    <s v="Bench"/>
    <m/>
    <x v="0"/>
    <s v=""/>
    <m/>
  </r>
  <r>
    <n v="100116"/>
    <s v="Abhishek Thalanki"/>
    <d v="2021-03-01T00:00:00"/>
    <s v="Eligraph Mediavision T&amp;M"/>
    <n v="45"/>
    <n v="9"/>
    <n v="153"/>
    <n v="0"/>
    <n v="207"/>
    <n v="153"/>
    <n v="1"/>
    <n v="0"/>
    <s v="Good"/>
    <s v="Eligraph Mediavision T&amp;M"/>
    <x v="0"/>
    <s v="Yes"/>
    <s v="Eligraph Mediavision"/>
    <m/>
    <x v="0"/>
    <s v=""/>
    <m/>
  </r>
  <r>
    <n v="100117"/>
    <s v="Sweta Dedhia"/>
    <d v="2021-03-09T00:00:00"/>
    <s v="Maternity Leave"/>
    <n v="0"/>
    <n v="0"/>
    <n v="0"/>
    <n v="0"/>
    <n v="0"/>
    <n v="0"/>
    <n v="0"/>
    <s v=""/>
    <s v="Critical"/>
    <s v="Maternity Leave"/>
    <x v="4"/>
    <s v="No"/>
    <s v="Maternity Leave"/>
    <m/>
    <x v="0"/>
    <s v=""/>
    <m/>
  </r>
  <r>
    <n v="100118"/>
    <s v="Lakshay Sharma"/>
    <d v="2021-03-10T00:00:00"/>
    <s v="Novel Jewels Opp ( Power BI + SQL ) - T&amp;M"/>
    <n v="0"/>
    <n v="9"/>
    <n v="198"/>
    <n v="0"/>
    <n v="207"/>
    <n v="198"/>
    <n v="1"/>
    <n v="0"/>
    <s v="Good"/>
    <s v="Novel Jewels Opp ( Power BI + SQL ) - T&amp;M"/>
    <x v="0"/>
    <s v="Yes"/>
    <s v="Novel Jewels Opp"/>
    <m/>
    <x v="0"/>
    <s v=""/>
    <m/>
  </r>
  <r>
    <n v="100121"/>
    <s v="Ravi Pachipala"/>
    <d v="2021-03-11T00:00:00"/>
    <s v="Poonawalla Fincorp - T&amp;M"/>
    <n v="9"/>
    <n v="9"/>
    <n v="189"/>
    <n v="0"/>
    <n v="207"/>
    <n v="189"/>
    <n v="1"/>
    <n v="0"/>
    <s v="Good"/>
    <s v="Poonawalla Fincorp - T&amp;M - B"/>
    <x v="0"/>
    <s v="Yes"/>
    <s v="Poonawalla Fincorp"/>
    <m/>
    <x v="0"/>
    <s v=""/>
    <m/>
  </r>
  <r>
    <n v="100130"/>
    <s v="Praneeth Reddy"/>
    <d v="2021-04-01T00:00:00"/>
    <s v="HDFC Life Digi Lab - T&amp;M"/>
    <n v="0"/>
    <n v="9"/>
    <n v="198"/>
    <n v="0"/>
    <n v="207"/>
    <n v="198"/>
    <n v="1"/>
    <n v="0"/>
    <s v="Good"/>
    <s v="HDFC Life Digi Lab - T&amp;M"/>
    <x v="0"/>
    <s v="Yes"/>
    <s v="HDFC Life Digi Lab"/>
    <m/>
    <x v="0"/>
    <s v=""/>
    <m/>
  </r>
  <r>
    <n v="100127"/>
    <s v="Shuchi Jain"/>
    <d v="2021-04-12T00:00:00"/>
    <s v="GCPL - T&amp;M"/>
    <n v="45"/>
    <n v="9"/>
    <n v="153"/>
    <n v="0"/>
    <n v="207"/>
    <n v="153"/>
    <n v="1"/>
    <n v="0"/>
    <s v="Good"/>
    <s v="GCPL - T&amp;M"/>
    <x v="0"/>
    <s v="Yes"/>
    <s v="GCPL"/>
    <m/>
    <x v="0"/>
    <s v=""/>
    <m/>
  </r>
  <r>
    <n v="100135"/>
    <s v="Ashwini Jadhav"/>
    <d v="2021-05-11T00:00:00"/>
    <s v="Qlik Tech T&amp;M"/>
    <n v="27"/>
    <n v="9"/>
    <n v="171"/>
    <n v="0"/>
    <n v="207"/>
    <n v="171"/>
    <n v="1"/>
    <n v="0"/>
    <s v="Good"/>
    <s v="Qlik Tech T&amp;M"/>
    <x v="0"/>
    <s v="Yes"/>
    <s v="Qlik Tech"/>
    <m/>
    <x v="0"/>
    <s v=""/>
    <m/>
  </r>
  <r>
    <n v="100147"/>
    <s v="Archita Redij"/>
    <d v="2021-06-01T00:00:00"/>
    <s v="BCG -T&amp;M"/>
    <n v="90"/>
    <n v="9"/>
    <n v="108"/>
    <n v="0"/>
    <n v="207"/>
    <n v="108"/>
    <n v="1"/>
    <n v="0"/>
    <s v="Good"/>
    <s v="BCG -T&amp;M"/>
    <x v="0"/>
    <s v="Yes"/>
    <s v="BCG"/>
    <m/>
    <x v="0"/>
    <s v=""/>
    <m/>
  </r>
  <r>
    <n v="100149"/>
    <s v="Sonal Panchal"/>
    <d v="2021-06-24T00:00:00"/>
    <s v="AIXponent - Internal_x000a_Talent Pool - India_x000a_Qlik QAP_x000a_Nuvama Gen AI - Fixed"/>
    <n v="27"/>
    <n v="9"/>
    <n v="88.8"/>
    <n v="82.2"/>
    <n v="207"/>
    <n v="171"/>
    <n v="0.51929824561403504"/>
    <n v="0.48070175438596491"/>
    <s v="Critical"/>
    <s v="AIXponent - Internal - NB_x000a_Talent Pool - India - NB_x000a_Nuvama Gen AI - Fixed - B"/>
    <x v="5"/>
    <s v="No"/>
    <s v="Aixponent"/>
    <m/>
    <x v="0"/>
    <s v=""/>
    <m/>
  </r>
  <r>
    <n v="100153"/>
    <s v="Ashwini Yogesh Ladhe"/>
    <d v="2021-07-15T00:00:00"/>
    <s v="Talent Pool - India_x000a_Niva Bupa DWA - Fixed_x000a_Qlik Tech T&amp;M"/>
    <n v="63"/>
    <n v="9"/>
    <n v="13"/>
    <n v="122"/>
    <n v="207"/>
    <n v="135"/>
    <n v="9.6296296296296297E-2"/>
    <n v="0.90370370370370368"/>
    <s v="Critical"/>
    <s v="Talent Pool - India - NB ( COE task )_x000a_Niva Bupa DWA - Fixed - B_x000a_Qlik Tech T&amp;M - B"/>
    <x v="0"/>
    <s v="Yes"/>
    <s v="Qlik Tech"/>
    <m/>
    <x v="0"/>
    <s v=""/>
    <m/>
  </r>
  <r>
    <n v="100156"/>
    <s v="Priyanka Bijjargi"/>
    <d v="2021-08-02T00:00:00"/>
    <s v="E Invoicing - Fixed"/>
    <n v="72"/>
    <n v="18"/>
    <n v="117"/>
    <n v="0"/>
    <n v="207"/>
    <n v="117"/>
    <n v="1"/>
    <n v="0"/>
    <s v="Good"/>
    <s v="E Invoicing - Fixed"/>
    <x v="1"/>
    <s v="Yes"/>
    <s v="E Invoicing"/>
    <m/>
    <x v="0"/>
    <s v=""/>
    <m/>
  </r>
  <r>
    <n v="100157"/>
    <s v="Nidhi Gupta"/>
    <d v="2021-08-12T00:00:00"/>
    <s v="Datafactory - T&amp;M"/>
    <n v="63"/>
    <n v="18"/>
    <n v="126"/>
    <n v="0"/>
    <n v="207"/>
    <n v="126"/>
    <n v="1"/>
    <n v="0"/>
    <s v="Good"/>
    <s v="Datafactory - T&amp;M"/>
    <x v="0"/>
    <s v="Yes"/>
    <s v="Datafactory"/>
    <m/>
    <x v="0"/>
    <s v=""/>
    <m/>
  </r>
  <r>
    <n v="100166"/>
    <s v="Roma Mukhi"/>
    <d v="2021-09-14T00:00:00"/>
    <s v="Datafactory - T&amp;M"/>
    <n v="45"/>
    <n v="18"/>
    <n v="144"/>
    <n v="0"/>
    <n v="207"/>
    <n v="144"/>
    <n v="1"/>
    <n v="0"/>
    <s v="Good"/>
    <s v="Datafactory - T&amp;M"/>
    <x v="0"/>
    <s v="Yes"/>
    <s v="Datafactory"/>
    <m/>
    <x v="0"/>
    <s v=""/>
    <m/>
  </r>
  <r>
    <n v="100167"/>
    <s v="Karan Mansukhani"/>
    <d v="2021-09-15T00:00:00"/>
    <s v="SBI Life T&amp;M"/>
    <n v="18"/>
    <n v="9"/>
    <n v="180"/>
    <n v="0"/>
    <n v="207"/>
    <n v="180"/>
    <n v="1"/>
    <n v="0"/>
    <s v="Good"/>
    <s v="SBI Life T&amp;M"/>
    <x v="0"/>
    <s v="Yes"/>
    <s v="SBI Life"/>
    <m/>
    <x v="0"/>
    <s v=""/>
    <m/>
  </r>
  <r>
    <n v="100170"/>
    <s v="Nidhi Bhasker"/>
    <d v="2021-09-27T00:00:00"/>
    <s v="Mondelez Manufacturing Report - T&amp;M"/>
    <n v="45"/>
    <n v="9"/>
    <n v="153"/>
    <n v="0"/>
    <n v="207"/>
    <n v="153"/>
    <n v="1"/>
    <n v="0"/>
    <s v="Good"/>
    <s v="Mondelez Manufacturing Report - T&amp;M"/>
    <x v="0"/>
    <s v="Yes"/>
    <s v="Mondelez Manufacturing Report"/>
    <m/>
    <x v="0"/>
    <s v=""/>
    <m/>
  </r>
  <r>
    <n v="100171"/>
    <s v="Yogesh Arekar"/>
    <d v="2021-09-30T00:00:00"/>
    <s v="TATA AIG T&amp;M"/>
    <n v="36"/>
    <n v="9"/>
    <n v="162"/>
    <n v="0"/>
    <n v="207"/>
    <n v="162"/>
    <n v="1"/>
    <n v="0"/>
    <s v="Good"/>
    <s v="TATA AIG T&amp;M"/>
    <x v="0"/>
    <s v="Yes"/>
    <s v="TATA AIG"/>
    <m/>
    <x v="0"/>
    <s v=""/>
    <m/>
  </r>
  <r>
    <n v="100192"/>
    <s v="Bansari Tanna"/>
    <d v="2021-10-11T00:00:00"/>
    <s v="AIXponent - Internal_x000a_TATA AIG AIxponent Implementation - Fixed"/>
    <n v="49.5"/>
    <n v="9"/>
    <n v="26.5"/>
    <n v="122"/>
    <n v="207"/>
    <n v="148.5"/>
    <n v="0.17845117845117844"/>
    <n v="0.82154882154882158"/>
    <s v="Critical"/>
    <s v="AIXponent - Internal - NB_x000a_TATA AIG AIxponent Implementation - Fixed - B"/>
    <x v="6"/>
    <s v="No"/>
    <s v="Aixponent"/>
    <m/>
    <x v="0"/>
    <s v=""/>
    <m/>
  </r>
  <r>
    <n v="100181"/>
    <s v="Sagar Vadsola"/>
    <d v="2021-10-19T00:00:00"/>
    <s v="TATA AIG T&amp;M"/>
    <n v="27"/>
    <n v="9"/>
    <n v="171"/>
    <n v="0"/>
    <n v="207"/>
    <n v="171"/>
    <n v="1"/>
    <n v="0"/>
    <s v="Good"/>
    <s v="TATA AIG T&amp;M"/>
    <x v="0"/>
    <s v="Yes"/>
    <s v="TATA AIG"/>
    <m/>
    <x v="0"/>
    <s v=""/>
    <m/>
  </r>
  <r>
    <n v="100188"/>
    <s v="Kajal Poojari"/>
    <d v="2021-11-08T00:00:00"/>
    <s v="Emory - Fixed"/>
    <n v="63"/>
    <n v="9"/>
    <n v="135"/>
    <n v="0"/>
    <n v="207"/>
    <n v="135"/>
    <n v="1"/>
    <n v="0"/>
    <s v="Good"/>
    <s v="Emory - Fixed"/>
    <x v="1"/>
    <s v="Yes"/>
    <s v="Emory"/>
    <m/>
    <x v="0"/>
    <s v=""/>
    <m/>
  </r>
  <r>
    <n v="100189"/>
    <s v="Meghana Pillay"/>
    <d v="2021-11-08T00:00:00"/>
    <s v="SBI Life T&amp;M"/>
    <n v="27"/>
    <n v="9"/>
    <n v="171"/>
    <n v="0"/>
    <n v="207"/>
    <n v="171"/>
    <n v="1"/>
    <n v="0"/>
    <s v="Good"/>
    <s v="SBI Life T&amp;M"/>
    <x v="0"/>
    <s v="Yes"/>
    <s v="SBI Life"/>
    <m/>
    <x v="0"/>
    <s v=""/>
    <m/>
  </r>
  <r>
    <n v="100195"/>
    <s v="Nida Jawre"/>
    <d v="2021-11-22T00:00:00"/>
    <s v="HDFC Life Data Lab - T&amp;M"/>
    <n v="18"/>
    <n v="9"/>
    <n v="180"/>
    <n v="0"/>
    <n v="207"/>
    <n v="180"/>
    <n v="1"/>
    <n v="0"/>
    <s v="Good"/>
    <s v="HDFC Life Data Lab - T&amp;M"/>
    <x v="0"/>
    <s v="Yes"/>
    <s v="HDFC Life Data Lab"/>
    <m/>
    <x v="0"/>
    <s v=""/>
    <m/>
  </r>
  <r>
    <n v="100196"/>
    <s v="Sonal Patil"/>
    <d v="2021-12-01T00:00:00"/>
    <s v="TATA AIG T&amp;M"/>
    <n v="45"/>
    <n v="9"/>
    <n v="153"/>
    <n v="0"/>
    <n v="207"/>
    <n v="153"/>
    <n v="1"/>
    <n v="0"/>
    <s v="Good"/>
    <s v="TATA AIG T&amp;M"/>
    <x v="0"/>
    <s v="Yes"/>
    <s v="TATA AIG"/>
    <m/>
    <x v="0"/>
    <s v=""/>
    <m/>
  </r>
  <r>
    <n v="100199"/>
    <s v="Mehul Rane"/>
    <d v="2021-12-20T00:00:00"/>
    <s v="HDFC Life Digi Lab - T&amp;M"/>
    <n v="9"/>
    <n v="9"/>
    <n v="189"/>
    <n v="0"/>
    <n v="207"/>
    <n v="189"/>
    <n v="1"/>
    <n v="0"/>
    <s v="Good"/>
    <s v="HDFC Life Digi Lab - T&amp;M"/>
    <x v="0"/>
    <s v="Yes"/>
    <s v="HDFC Life Digi Lab"/>
    <m/>
    <x v="0"/>
    <s v=""/>
    <m/>
  </r>
  <r>
    <n v="100200"/>
    <s v="Rupesh Saw"/>
    <d v="2021-12-24T00:00:00"/>
    <s v="E2E South - T&amp;M"/>
    <n v="31.5"/>
    <n v="18"/>
    <n v="157.5"/>
    <n v="0"/>
    <n v="207"/>
    <n v="157.5"/>
    <n v="1"/>
    <n v="0"/>
    <s v="Good"/>
    <s v="E2E South - T&amp;M"/>
    <x v="0"/>
    <s v="Yes"/>
    <s v="E2E South"/>
    <m/>
    <x v="0"/>
    <s v=""/>
    <m/>
  </r>
  <r>
    <n v="100204"/>
    <s v="Bhushan Mahajan"/>
    <d v="2021-12-27T00:00:00"/>
    <s v="SBI Life T&amp;M"/>
    <n v="45"/>
    <n v="9"/>
    <n v="153"/>
    <n v="0"/>
    <n v="207"/>
    <n v="153"/>
    <n v="1"/>
    <n v="0"/>
    <s v="Good"/>
    <s v="SBI Life T&amp;M"/>
    <x v="0"/>
    <s v="Yes"/>
    <s v="SBI Life"/>
    <m/>
    <x v="0"/>
    <s v=""/>
    <m/>
  </r>
  <r>
    <n v="100206"/>
    <s v="Basavaraj Korwar"/>
    <d v="2022-01-03T00:00:00"/>
    <s v="Xanadu - T&amp;M"/>
    <n v="9"/>
    <n v="9"/>
    <n v="189"/>
    <n v="0"/>
    <n v="207"/>
    <n v="189"/>
    <n v="1"/>
    <n v="0"/>
    <s v="Good"/>
    <s v="Xanadu - T&amp;M"/>
    <x v="0"/>
    <s v="Yes"/>
    <s v="Xanadu"/>
    <m/>
    <x v="0"/>
    <s v=""/>
    <m/>
  </r>
  <r>
    <n v="100210"/>
    <s v="Nilesh Pandey "/>
    <d v="2022-01-10T00:00:00"/>
    <s v="Qlik &amp; Talend Center of Excellence - Internal"/>
    <n v="108"/>
    <n v="9"/>
    <n v="90"/>
    <n v="0"/>
    <n v="207"/>
    <n v="90"/>
    <n v="1"/>
    <n v="0"/>
    <s v="Good"/>
    <s v="Qlik &amp; Talend Center of Excellence - Internal"/>
    <x v="7"/>
    <s v="Yes"/>
    <s v="Qlik &amp; Talend Center of Excellence - Internal"/>
    <m/>
    <x v="0"/>
    <s v=""/>
    <m/>
  </r>
  <r>
    <n v="100213"/>
    <s v="Siddheshwar Kadam"/>
    <d v="2022-01-21T00:00:00"/>
    <s v="SBI Life T&amp;M"/>
    <n v="0"/>
    <n v="9"/>
    <n v="198"/>
    <n v="0"/>
    <n v="207"/>
    <n v="198"/>
    <n v="1"/>
    <n v="0"/>
    <s v="Good"/>
    <s v="SBI Life T&amp;M"/>
    <x v="0"/>
    <s v="Yes"/>
    <s v="SBI Life"/>
    <m/>
    <x v="1"/>
    <s v=""/>
    <m/>
  </r>
  <r>
    <n v="100217"/>
    <s v="Harshal Sanas"/>
    <d v="2022-02-07T00:00:00"/>
    <s v="M&amp;M - T&amp;M"/>
    <n v="27"/>
    <n v="9"/>
    <n v="171"/>
    <n v="0"/>
    <n v="207"/>
    <n v="171"/>
    <n v="1"/>
    <n v="0"/>
    <s v="Good"/>
    <s v="M&amp;M - T&amp;M"/>
    <x v="0"/>
    <s v="Yes"/>
    <s v="M&amp;M"/>
    <m/>
    <x v="0"/>
    <s v=""/>
    <m/>
  </r>
  <r>
    <n v="100222"/>
    <s v="Tejas Belhekar"/>
    <d v="2022-02-28T00:00:00"/>
    <s v="Eligraph Xantura T&amp;M"/>
    <n v="9"/>
    <n v="9"/>
    <n v="189"/>
    <n v="0"/>
    <n v="207"/>
    <n v="189"/>
    <n v="1"/>
    <n v="0"/>
    <s v="Good"/>
    <s v="Eligraph Xantura T&amp;M"/>
    <x v="0"/>
    <s v="Yes"/>
    <s v="Eligraph Xantura"/>
    <m/>
    <x v="0"/>
    <s v=""/>
    <m/>
  </r>
  <r>
    <n v="100231"/>
    <s v="Prathamesh Prakash Bait"/>
    <d v="2022-04-01T00:00:00"/>
    <s v="ABSLI Qlik Dashboard - Fixed &amp; Fixed T&amp;M"/>
    <n v="18"/>
    <n v="9"/>
    <n v="180"/>
    <n v="0"/>
    <n v="207"/>
    <n v="180"/>
    <n v="1"/>
    <n v="0"/>
    <s v="Good"/>
    <s v="ABSLI Qlik Dashboard - Fixed &amp; Fixed T&amp;M"/>
    <x v="1"/>
    <s v="Yes"/>
    <s v="ABSLI"/>
    <m/>
    <x v="0"/>
    <s v=""/>
    <m/>
  </r>
  <r>
    <n v="100245"/>
    <s v="Meeth Shetty"/>
    <d v="2022-04-18T00:00:00"/>
    <s v="T&amp;M FTE Support- Gen AI"/>
    <n v="9"/>
    <n v="9"/>
    <n v="189"/>
    <n v="0"/>
    <n v="207"/>
    <n v="189"/>
    <n v="1"/>
    <n v="0"/>
    <s v="Good"/>
    <s v="T&amp;M FTE Support- Gen AI"/>
    <x v="0"/>
    <s v="Yes"/>
    <s v="T&amp;M FTE Support- Gen AI"/>
    <m/>
    <x v="0"/>
    <s v=""/>
    <m/>
  </r>
  <r>
    <n v="100237"/>
    <s v="Anjali Yadav"/>
    <d v="2022-04-22T00:00:00"/>
    <s v="Afcons Qlik SaaS Migration_x000a_Endurance - T&amp;M_x000a_Qlik Admin - Internal_x000a_GCPL - T&amp;M_x000a_Qlik Resources for KMPG"/>
    <n v="40.5"/>
    <n v="9"/>
    <n v="157.5"/>
    <n v="0"/>
    <n v="207"/>
    <n v="157.5"/>
    <n v="1"/>
    <n v="0"/>
    <s v="Good"/>
    <s v="Afcons Qlik SaaS Migration_x000a_Qlik Admin - Internal_x000a_GCPL - T&amp;M"/>
    <x v="1"/>
    <s v="Yes"/>
    <s v="Afcons"/>
    <m/>
    <x v="0"/>
    <s v=""/>
    <m/>
  </r>
  <r>
    <n v="100243"/>
    <s v="Sonal Vijaykumar Jamadar"/>
    <d v="2022-05-19T00:00:00"/>
    <s v="Maternity Leave"/>
    <n v="0"/>
    <n v="0"/>
    <n v="0"/>
    <n v="0"/>
    <n v="0"/>
    <n v="0"/>
    <n v="0"/>
    <s v=""/>
    <s v="Critical"/>
    <s v="Maternity Leave"/>
    <x v="4"/>
    <s v="No"/>
    <s v="Maternity Leave"/>
    <m/>
    <x v="0"/>
    <s v=""/>
    <m/>
  </r>
  <r>
    <n v="100246"/>
    <s v="Pranab Kumar Bal"/>
    <d v="2022-06-13T00:00:00"/>
    <s v="Emory - Fixed"/>
    <n v="9"/>
    <n v="9"/>
    <n v="189"/>
    <n v="0"/>
    <n v="207"/>
    <n v="189"/>
    <n v="1"/>
    <n v="0"/>
    <s v="Good"/>
    <s v="Emory - Fixed"/>
    <x v="1"/>
    <s v="Yes"/>
    <s v="Emory"/>
    <m/>
    <x v="0"/>
    <s v=""/>
    <m/>
  </r>
  <r>
    <n v="100248"/>
    <s v="Shaikh Farhan"/>
    <d v="2022-06-20T00:00:00"/>
    <s v="BCG -T&amp;M"/>
    <n v="18"/>
    <n v="9"/>
    <n v="180"/>
    <n v="0"/>
    <n v="207"/>
    <n v="180"/>
    <n v="1"/>
    <n v="0"/>
    <s v="Good"/>
    <s v="BCG -T&amp;M"/>
    <x v="0"/>
    <s v="Yes"/>
    <s v="BCG"/>
    <m/>
    <x v="1"/>
    <s v=""/>
    <m/>
  </r>
  <r>
    <n v="100249"/>
    <s v="Om Jagdish Ghag"/>
    <d v="2022-06-20T00:00:00"/>
    <s v="Talent Pool - India"/>
    <n v="0"/>
    <n v="0"/>
    <n v="0"/>
    <n v="45"/>
    <n v="45"/>
    <n v="45"/>
    <n v="0"/>
    <n v="1"/>
    <s v="Critical"/>
    <s v="Talent Pool - India - NB"/>
    <x v="8"/>
    <s v="No"/>
    <s v="Resignation_Bench"/>
    <m/>
    <x v="1"/>
    <d v="2025-12-05T00:00:00"/>
    <m/>
  </r>
  <r>
    <n v="100253"/>
    <s v="Harsh Suresh Khandelwal"/>
    <d v="2022-06-22T00:00:00"/>
    <s v="ABSLI Qlik Dashboard - Fixed &amp; Fixed T&amp;M"/>
    <n v="36"/>
    <n v="9"/>
    <n v="162"/>
    <n v="0"/>
    <n v="207"/>
    <n v="162"/>
    <n v="1"/>
    <n v="0"/>
    <s v="Good"/>
    <s v="ABSLI Qlik Dashboard - Fixed &amp; Fixed T&amp;M"/>
    <x v="1"/>
    <s v="Yes"/>
    <s v="ABSLI"/>
    <m/>
    <x v="0"/>
    <s v=""/>
    <m/>
  </r>
  <r>
    <n v="100256"/>
    <s v="Jyoti Yadav"/>
    <d v="2022-07-04T00:00:00"/>
    <s v="SBI Life T&amp;M"/>
    <n v="18"/>
    <n v="9"/>
    <n v="180"/>
    <n v="0"/>
    <n v="207"/>
    <n v="180"/>
    <n v="1"/>
    <n v="0"/>
    <s v="Good"/>
    <s v="SBI Life T&amp;M"/>
    <x v="0"/>
    <s v="Yes"/>
    <s v="SBI Life"/>
    <m/>
    <x v="0"/>
    <s v=""/>
    <m/>
  </r>
  <r>
    <n v="100259"/>
    <s v="Joe Kuruppassery"/>
    <d v="2022-07-18T00:00:00"/>
    <s v="Afcons Qlik SaaS Migration_x000a_Talent Pool - India"/>
    <n v="45"/>
    <n v="9"/>
    <n v="126"/>
    <n v="27"/>
    <n v="207"/>
    <n v="153"/>
    <n v="0.82352941176470584"/>
    <n v="0.17647058823529413"/>
    <s v="Critical"/>
    <s v="Afcons Qlik SaaS Migration - B_x000a_Talent Pool - India - NB"/>
    <x v="3"/>
    <s v="No"/>
    <s v="Bench"/>
    <m/>
    <x v="0"/>
    <s v=""/>
    <m/>
  </r>
  <r>
    <n v="100272"/>
    <s v="Yash Patel"/>
    <d v="2022-09-23T00:00:00"/>
    <s v="TATA AIG T&amp;M"/>
    <n v="0"/>
    <n v="9"/>
    <n v="198"/>
    <n v="0"/>
    <n v="207"/>
    <n v="198"/>
    <n v="1"/>
    <n v="0"/>
    <s v="Good"/>
    <s v="TATA AIG T&amp;M"/>
    <x v="0"/>
    <s v="Yes"/>
    <s v="TATA AIG"/>
    <m/>
    <x v="0"/>
    <s v=""/>
    <m/>
  </r>
  <r>
    <n v="100273"/>
    <s v="Deepika Pradip Shinde"/>
    <d v="2022-09-29T00:00:00"/>
    <s v="Datafactory - T&amp;M"/>
    <n v="36"/>
    <n v="18"/>
    <n v="153"/>
    <n v="0"/>
    <n v="207"/>
    <n v="153"/>
    <n v="1"/>
    <n v="0"/>
    <s v="Good"/>
    <s v="Datafactory - T&amp;M"/>
    <x v="0"/>
    <s v="Yes"/>
    <s v="Datafactory"/>
    <m/>
    <x v="0"/>
    <s v=""/>
    <m/>
  </r>
  <r>
    <n v="100275"/>
    <s v="Ankit Mishra"/>
    <d v="2022-10-03T00:00:00"/>
    <s v="TATA AIG T&amp;M"/>
    <n v="9"/>
    <n v="9"/>
    <n v="189"/>
    <n v="0"/>
    <n v="207"/>
    <n v="189"/>
    <n v="1"/>
    <n v="0"/>
    <s v="Good"/>
    <s v="TATA AIG T&amp;M"/>
    <x v="0"/>
    <s v="Yes"/>
    <s v="TATA AIG"/>
    <m/>
    <x v="0"/>
    <s v=""/>
    <m/>
  </r>
  <r>
    <n v="100285"/>
    <s v="Priyanka Bhaskarrao Kedare"/>
    <d v="2022-12-02T00:00:00"/>
    <s v="Causal Analysis of CPMU and IOT Data - T&amp;M"/>
    <n v="0"/>
    <n v="9"/>
    <n v="198"/>
    <n v="0"/>
    <n v="207"/>
    <n v="198"/>
    <n v="1"/>
    <n v="0"/>
    <s v="Good"/>
    <s v="Causal Analysis of CPMU and IOT Data - T&amp;M"/>
    <x v="0"/>
    <s v="Yes"/>
    <s v="Causal Analysis of CPMU and IOT Data"/>
    <m/>
    <x v="0"/>
    <s v=""/>
    <m/>
  </r>
  <r>
    <n v="100287"/>
    <s v="Mohammed Aameruddin Mohammed Akbaruddin"/>
    <d v="2023-01-02T00:00:00"/>
    <s v="HDFC Life Bis - T&amp;M"/>
    <n v="0"/>
    <n v="9"/>
    <n v="198"/>
    <n v="0"/>
    <n v="207"/>
    <n v="198"/>
    <n v="1"/>
    <n v="0"/>
    <s v="Good"/>
    <s v="HDFC Life Bis - T&amp;M"/>
    <x v="0"/>
    <s v="Yes"/>
    <s v="HDFC Life Bis"/>
    <m/>
    <x v="0"/>
    <s v=""/>
    <m/>
  </r>
  <r>
    <n v="100288"/>
    <s v="Rohithkumar Anilkumar"/>
    <d v="2023-01-06T00:00:00"/>
    <s v="BCG -T&amp;M"/>
    <n v="0"/>
    <n v="9"/>
    <n v="198"/>
    <n v="0"/>
    <n v="207"/>
    <n v="198"/>
    <n v="1"/>
    <n v="0"/>
    <s v="Good"/>
    <s v="BCG -T&amp;M"/>
    <x v="0"/>
    <s v="Yes"/>
    <s v="BCG"/>
    <m/>
    <x v="0"/>
    <s v=""/>
    <m/>
  </r>
  <r>
    <n v="100291"/>
    <s v="Rahul Hemant Naik"/>
    <d v="2023-01-12T00:00:00"/>
    <s v="Talent Pool - India"/>
    <n v="0"/>
    <n v="0"/>
    <n v="0"/>
    <n v="9"/>
    <n v="9"/>
    <n v="9"/>
    <n v="0"/>
    <n v="1"/>
    <s v="Critical"/>
    <s v="Talent Pool - India - NB"/>
    <x v="8"/>
    <s v="No"/>
    <s v="Resignation_Bench"/>
    <m/>
    <x v="1"/>
    <d v="2025-12-01T00:00:00"/>
    <m/>
  </r>
  <r>
    <n v="100294"/>
    <s v="Abdullah Iltaf Baig"/>
    <d v="2023-02-20T00:00:00"/>
    <s v="Kemsley Mills"/>
    <n v="81"/>
    <n v="18"/>
    <n v="108"/>
    <n v="0"/>
    <n v="207"/>
    <n v="108"/>
    <n v="1"/>
    <n v="0"/>
    <s v="Good"/>
    <s v="Kemsley Mills"/>
    <x v="1"/>
    <s v="Yes"/>
    <s v="Kemsley Mills"/>
    <m/>
    <x v="0"/>
    <s v=""/>
    <m/>
  </r>
  <r>
    <n v="100298"/>
    <s v="Ashish Dinanath Sharma"/>
    <d v="2023-04-03T00:00:00"/>
    <s v="GCPL - T&amp;M"/>
    <n v="72"/>
    <n v="9"/>
    <n v="126"/>
    <n v="0"/>
    <n v="207"/>
    <n v="126"/>
    <n v="1"/>
    <n v="0"/>
    <s v="Good"/>
    <s v="GCPL - T&amp;M"/>
    <x v="0"/>
    <s v="Yes"/>
    <s v="GCPL"/>
    <m/>
    <x v="0"/>
    <s v=""/>
    <m/>
  </r>
  <r>
    <n v="100302"/>
    <s v="Harshal Shivaji Mane"/>
    <d v="2023-04-20T00:00:00"/>
    <s v="E2E South - T&amp;M_x000a_Catalyst - (SSP FP&amp;A Reporting)_x000a_Data Foundation for Databricks PoC - T&amp;M"/>
    <n v="63"/>
    <n v="18"/>
    <n v="126"/>
    <n v="0"/>
    <n v="207"/>
    <n v="126"/>
    <n v="1"/>
    <n v="0"/>
    <s v="Good"/>
    <s v="E2E South - T&amp;M - B_x000a_Catalyst - (SSP FP&amp;A Reporting) - B"/>
    <x v="0"/>
    <s v="Yes"/>
    <s v="E2E South"/>
    <m/>
    <x v="0"/>
    <s v=""/>
    <m/>
  </r>
  <r>
    <n v="100305"/>
    <s v="Shubham Girish Padte"/>
    <d v="2023-04-24T00:00:00"/>
    <s v="ABSLI Qlik Dashboard - T&amp;M"/>
    <n v="9"/>
    <n v="9"/>
    <n v="189"/>
    <n v="0"/>
    <n v="207"/>
    <n v="189"/>
    <n v="1"/>
    <n v="0"/>
    <s v="Good"/>
    <s v="ABSLI Qlik Dashboard - T&amp;M"/>
    <x v="0"/>
    <s v="Yes"/>
    <s v="ABSLI"/>
    <m/>
    <x v="0"/>
    <s v=""/>
    <m/>
  </r>
  <r>
    <n v="100308"/>
    <s v="Rohit Pandey"/>
    <d v="2023-05-16T00:00:00"/>
    <s v="Talent Pool - India_x000a_HDFC Life Bis Vapt -T&amp;M_x000a_DIOH 360 CR - Fixed_x000a_TATA AIG : Hypercare "/>
    <n v="63"/>
    <n v="9"/>
    <n v="122"/>
    <n v="13"/>
    <n v="207"/>
    <n v="135"/>
    <n v="0.90370370370370368"/>
    <n v="9.6296296296296297E-2"/>
    <s v="Good"/>
    <s v="DIOH 360 CR - Fixed"/>
    <x v="1"/>
    <s v="Yes"/>
    <s v="ABSLI"/>
    <m/>
    <x v="0"/>
    <s v=""/>
    <m/>
  </r>
  <r>
    <n v="100311"/>
    <s v="Rohan Sunil Bhansali"/>
    <d v="2023-06-02T00:00:00"/>
    <s v="E Invoicing - Fixed"/>
    <n v="9"/>
    <n v="18"/>
    <n v="180"/>
    <n v="0"/>
    <n v="207"/>
    <n v="180"/>
    <n v="1"/>
    <n v="0"/>
    <s v="Good"/>
    <s v="E Invoicing - Fixed"/>
    <x v="1"/>
    <s v="Yes"/>
    <s v="E Invoicing"/>
    <m/>
    <x v="0"/>
    <s v=""/>
    <m/>
  </r>
  <r>
    <n v="100313"/>
    <s v="Vinayak Subhashchandra Jena"/>
    <d v="2023-06-14T00:00:00"/>
    <s v="HDFC Life Digi Lab - T&amp;M"/>
    <n v="58.5"/>
    <n v="9"/>
    <n v="139.5"/>
    <n v="0"/>
    <n v="207"/>
    <n v="139.5"/>
    <n v="1"/>
    <n v="0"/>
    <s v="Good"/>
    <s v="HDFC Life Digi Lab - T&amp;M"/>
    <x v="0"/>
    <s v="Yes"/>
    <s v="HDFC Life Digi Lab"/>
    <m/>
    <x v="0"/>
    <s v=""/>
    <m/>
  </r>
  <r>
    <n v="100314"/>
    <s v="Shreya Rajesh Bhandge"/>
    <d v="2023-06-15T00:00:00"/>
    <s v="Emory - Fixed"/>
    <n v="18"/>
    <n v="9"/>
    <n v="180"/>
    <n v="0"/>
    <n v="207"/>
    <n v="180"/>
    <n v="1"/>
    <n v="0"/>
    <s v="Good"/>
    <s v="Emory - Fixed"/>
    <x v="1"/>
    <s v="Yes"/>
    <s v="Emory"/>
    <m/>
    <x v="0"/>
    <s v=""/>
    <m/>
  </r>
  <r>
    <n v="100315"/>
    <s v="Hitesh Dattatray Nandavane"/>
    <d v="2023-06-15T00:00:00"/>
    <s v="Commission Calculator -T&amp;M"/>
    <n v="9"/>
    <n v="9"/>
    <n v="189"/>
    <n v="0"/>
    <n v="207"/>
    <n v="189"/>
    <n v="1"/>
    <n v="0"/>
    <s v="Good"/>
    <s v="Commission Calculator -T&amp;M"/>
    <x v="0"/>
    <s v="Yes"/>
    <s v="Commission Calculator"/>
    <m/>
    <x v="0"/>
    <s v=""/>
    <m/>
  </r>
  <r>
    <n v="100322"/>
    <s v="Anushka Sachin Gaikwad"/>
    <d v="2023-07-03T00:00:00"/>
    <s v="ABSLI Qlik Dashboard - Fixed &amp; Fixed T&amp;M"/>
    <n v="63"/>
    <n v="9"/>
    <n v="135"/>
    <n v="0"/>
    <n v="207"/>
    <n v="135"/>
    <n v="1"/>
    <n v="0"/>
    <s v="Good"/>
    <s v="ABSLI Qlik Dashboard - Fixed &amp; Fixed T&amp;M"/>
    <x v="1"/>
    <s v="Yes"/>
    <s v="ABSLI"/>
    <m/>
    <x v="0"/>
    <s v=""/>
    <m/>
  </r>
  <r>
    <n v="100319"/>
    <s v="Shivendra Singh "/>
    <d v="2023-07-03T00:00:00"/>
    <s v="Trackchain - Argus - Fixed _x000a_Kemsley Mills_x000a_Talent Pool - India"/>
    <n v="90"/>
    <n v="9"/>
    <n v="12"/>
    <n v="96"/>
    <n v="207"/>
    <n v="108"/>
    <n v="0.1111111111111111"/>
    <n v="0.88888888888888884"/>
    <s v="Critical"/>
    <s v="Trackchain - Argus - Fixed  - NB_x000a_Talent Pool - India - NB_x000a_Kemsley Mills - B"/>
    <x v="3"/>
    <s v="Yes"/>
    <s v="Bench"/>
    <m/>
    <x v="0"/>
    <s v=""/>
    <m/>
  </r>
  <r>
    <n v="100323"/>
    <s v="Swarali Rajesh More"/>
    <d v="2023-07-03T00:00:00"/>
    <s v="Commission Calculator -T&amp;M"/>
    <n v="45"/>
    <n v="9"/>
    <n v="153"/>
    <n v="0"/>
    <n v="207"/>
    <n v="153"/>
    <n v="1"/>
    <n v="0"/>
    <s v="Good"/>
    <s v="Commission Calculator -T&amp;M"/>
    <x v="0"/>
    <s v="Yes"/>
    <s v="Commission Calculator"/>
    <m/>
    <x v="0"/>
    <s v=""/>
    <m/>
  </r>
  <r>
    <n v="100320"/>
    <s v="Megha Agarwal"/>
    <d v="2023-07-03T00:00:00"/>
    <s v="Nuvama Gen AI - Fixed_x000a_Gen AI Deployment for Contracts Use Case - Fixed "/>
    <n v="45"/>
    <n v="9"/>
    <n v="153"/>
    <n v="0"/>
    <n v="207"/>
    <n v="153"/>
    <n v="1"/>
    <n v="0"/>
    <s v="Good"/>
    <s v="Nuvama Gen AI - Fixed_x000a_Gen AI Deployment for Contracts Use Case - Fixed "/>
    <x v="1"/>
    <s v="Yes"/>
    <s v="Gen AI Deployment for Contracts Use Case"/>
    <m/>
    <x v="0"/>
    <s v=""/>
    <m/>
  </r>
  <r>
    <n v="100321"/>
    <s v="Shubham Rajesh Vartak"/>
    <d v="2023-07-03T00:00:00"/>
    <s v="M&amp;M - T&amp;M"/>
    <n v="54"/>
    <n v="9"/>
    <n v="144"/>
    <n v="0"/>
    <n v="207"/>
    <n v="144"/>
    <n v="1"/>
    <n v="0"/>
    <s v="Good"/>
    <s v="M&amp;M - T&amp;M"/>
    <x v="0"/>
    <s v="Yes"/>
    <s v="M&amp;M"/>
    <m/>
    <x v="0"/>
    <s v=""/>
    <m/>
  </r>
  <r>
    <n v="100325"/>
    <s v="Vinay Kumar Kureel"/>
    <d v="2023-07-03T00:00:00"/>
    <s v="Datafactory - T&amp;M"/>
    <n v="54"/>
    <n v="18"/>
    <n v="135"/>
    <n v="0"/>
    <n v="207"/>
    <n v="135"/>
    <n v="1"/>
    <n v="0"/>
    <s v="Good"/>
    <s v="Datafactory - T&amp;M"/>
    <x v="0"/>
    <s v="Yes"/>
    <s v="Datafactory"/>
    <m/>
    <x v="0"/>
    <s v=""/>
    <m/>
  </r>
  <r>
    <n v="100326"/>
    <s v="Priyanandini Das"/>
    <d v="2023-07-06T00:00:00"/>
    <s v="HDFC Life SalesTap - Fixed / T&amp;M"/>
    <n v="0"/>
    <n v="9"/>
    <n v="198"/>
    <n v="0"/>
    <n v="207"/>
    <n v="198"/>
    <n v="1"/>
    <n v="0"/>
    <s v="Good"/>
    <s v="HDFC Life SalesTap - Fixed / T&amp;M"/>
    <x v="0"/>
    <s v="Yes"/>
    <s v="HDFC Life SalesTap"/>
    <m/>
    <x v="0"/>
    <s v=""/>
    <m/>
  </r>
  <r>
    <n v="100327"/>
    <s v="Uday Shivaji Ahire"/>
    <d v="2023-07-10T00:00:00"/>
    <s v="HDFC Life Digi Lab - T&amp;M"/>
    <n v="27"/>
    <n v="9"/>
    <n v="171"/>
    <n v="0"/>
    <n v="207"/>
    <n v="171"/>
    <n v="1"/>
    <n v="0"/>
    <s v="Good"/>
    <s v="HDFC Life Digi Lab - T&amp;M"/>
    <x v="0"/>
    <s v="Yes"/>
    <s v="HDFC Life Digi Lab"/>
    <m/>
    <x v="0"/>
    <s v=""/>
    <m/>
  </r>
  <r>
    <n v="100328"/>
    <s v="Vikas Girotra"/>
    <d v="2023-07-17T00:00:00"/>
    <s v="E Invoicing - Fixed"/>
    <n v="36"/>
    <n v="18"/>
    <n v="153"/>
    <n v="0"/>
    <n v="207"/>
    <n v="153"/>
    <n v="1"/>
    <n v="0"/>
    <s v="Good"/>
    <s v="E Invoicing - Fixed"/>
    <x v="1"/>
    <s v="Yes"/>
    <s v="E Invoicing"/>
    <m/>
    <x v="0"/>
    <s v=""/>
    <m/>
  </r>
  <r>
    <n v="100341"/>
    <s v="Tushar Gupta"/>
    <d v="2023-07-17T00:00:00"/>
    <s v="E2E South - T&amp;M"/>
    <n v="54"/>
    <n v="18"/>
    <n v="135"/>
    <n v="0"/>
    <n v="207"/>
    <n v="135"/>
    <n v="1"/>
    <n v="0"/>
    <s v="Good"/>
    <s v="E2E South - T&amp;M"/>
    <x v="0"/>
    <s v="Yes"/>
    <s v="E2E South"/>
    <m/>
    <x v="0"/>
    <s v=""/>
    <m/>
  </r>
  <r>
    <n v="100329"/>
    <s v="Ayush Agrawal"/>
    <d v="2023-07-18T00:00:00"/>
    <s v="GCPL - T&amp;M"/>
    <n v="45"/>
    <n v="9"/>
    <n v="153"/>
    <n v="0"/>
    <n v="207"/>
    <n v="153"/>
    <n v="1"/>
    <n v="0"/>
    <s v="Good"/>
    <s v="GCPL - T&amp;M"/>
    <x v="0"/>
    <s v="Yes"/>
    <s v="GCPL"/>
    <m/>
    <x v="0"/>
    <s v=""/>
    <m/>
  </r>
  <r>
    <n v="100331"/>
    <s v="Reshma Dnyaneshwar Ganjure"/>
    <d v="2023-07-27T00:00:00"/>
    <s v="Data Foundation for Databricks PoC - T&amp;M"/>
    <n v="9"/>
    <n v="9"/>
    <n v="189"/>
    <n v="0"/>
    <n v="207"/>
    <n v="189"/>
    <n v="1"/>
    <n v="0"/>
    <s v="Good"/>
    <s v="Data Foundation for Databricks PoC - T&amp;M"/>
    <x v="0"/>
    <s v="Yes"/>
    <s v="Data Foundation for Databricks PoC"/>
    <m/>
    <x v="0"/>
    <s v=""/>
    <m/>
  </r>
  <r>
    <n v="100330"/>
    <s v="Kashish Mathur"/>
    <d v="2023-07-31T00:00:00"/>
    <s v="UPL T&amp;M"/>
    <n v="36"/>
    <n v="9"/>
    <n v="162"/>
    <n v="0"/>
    <n v="207"/>
    <n v="162"/>
    <n v="1"/>
    <n v="0"/>
    <s v="Good"/>
    <s v="UPL T&amp;M"/>
    <x v="0"/>
    <s v="Yes"/>
    <s v="UPL"/>
    <m/>
    <x v="0"/>
    <s v=""/>
    <m/>
  </r>
  <r>
    <n v="100332"/>
    <s v="Royston Valerian D'silva"/>
    <d v="2023-08-01T00:00:00"/>
    <s v="Datafactory - T&amp;M_x000a_DS Smith - Pool"/>
    <n v="54"/>
    <n v="18"/>
    <n v="126"/>
    <n v="9"/>
    <n v="207"/>
    <n v="135"/>
    <n v="0.93333333333333335"/>
    <n v="6.6666666666666666E-2"/>
    <s v="Good"/>
    <s v="Datafactory - T&amp;M"/>
    <x v="0"/>
    <s v="Yes"/>
    <s v="Datafactory"/>
    <m/>
    <x v="0"/>
    <s v=""/>
    <m/>
  </r>
  <r>
    <n v="100339"/>
    <s v="Vishal Navnath Arote"/>
    <d v="2023-08-30T00:00:00"/>
    <s v="ABSLI Qlik Dashboard - Fixed &amp; Fixed T&amp;M"/>
    <n v="81"/>
    <n v="9"/>
    <n v="117"/>
    <n v="0"/>
    <n v="207"/>
    <n v="117"/>
    <n v="1"/>
    <n v="0"/>
    <s v="Good"/>
    <s v="ABSLI Qlik Dashboard - Fixed &amp; Fixed T&amp;M"/>
    <x v="1"/>
    <s v="Yes"/>
    <s v="ABSLI"/>
    <m/>
    <x v="0"/>
    <s v=""/>
    <m/>
  </r>
  <r>
    <n v="100342"/>
    <s v="Tarun Kumar Madhei"/>
    <d v="2023-09-11T00:00:00"/>
    <s v="Financial Services - T&amp;M"/>
    <n v="18"/>
    <n v="9"/>
    <n v="180"/>
    <n v="0"/>
    <n v="207"/>
    <n v="180"/>
    <n v="1"/>
    <n v="0"/>
    <s v="Good"/>
    <s v="Financial Services - T&amp;M"/>
    <x v="0"/>
    <s v="Yes"/>
    <s v="Financial Services"/>
    <m/>
    <x v="0"/>
    <s v=""/>
    <m/>
  </r>
  <r>
    <n v="100345"/>
    <s v="Abhijit Balasaheb Tandale"/>
    <d v="2023-09-18T00:00:00"/>
    <s v="POC"/>
    <n v="85.5"/>
    <n v="9"/>
    <n v="0"/>
    <n v="112.5"/>
    <n v="207"/>
    <n v="112.5"/>
    <n v="0"/>
    <n v="1"/>
    <s v="Critical"/>
    <s v="POC - NB"/>
    <x v="3"/>
    <s v="No"/>
    <s v="Bench"/>
    <m/>
    <x v="0"/>
    <s v=""/>
    <m/>
  </r>
  <r>
    <n v="100355"/>
    <s v="Chintamani Dattaram Taral"/>
    <d v="2023-10-18T00:00:00"/>
    <s v="Adani Logistics"/>
    <n v="9"/>
    <n v="9"/>
    <n v="189"/>
    <n v="0"/>
    <n v="207"/>
    <n v="189"/>
    <n v="1"/>
    <n v="0"/>
    <s v="Good"/>
    <s v="Adani Logistics"/>
    <x v="1"/>
    <s v="Yes"/>
    <s v="Adani Logistics"/>
    <m/>
    <x v="0"/>
    <s v=""/>
    <m/>
  </r>
  <r>
    <n v="100357"/>
    <s v="Ketan Waman Paunikar"/>
    <d v="2023-10-23T00:00:00"/>
    <s v="Financial Services - T&amp;M"/>
    <n v="18"/>
    <n v="9"/>
    <n v="180"/>
    <n v="0"/>
    <n v="207"/>
    <n v="180"/>
    <n v="1"/>
    <n v="0"/>
    <s v="Good"/>
    <s v="Financial Services - T&amp;M"/>
    <x v="0"/>
    <s v="Yes"/>
    <s v="Financial Services"/>
    <m/>
    <x v="0"/>
    <s v=""/>
    <m/>
  </r>
  <r>
    <n v="100358"/>
    <s v="Rushikesh Jaiswal"/>
    <d v="2023-10-27T00:00:00"/>
    <s v="Avendus - T&amp;M"/>
    <n v="99"/>
    <n v="9"/>
    <n v="99"/>
    <n v="0"/>
    <n v="207"/>
    <n v="99"/>
    <n v="1"/>
    <n v="0"/>
    <s v="Good"/>
    <s v="Avendus - T&amp;M"/>
    <x v="0"/>
    <s v="Yes"/>
    <s v="Avendus"/>
    <m/>
    <x v="0"/>
    <s v=""/>
    <m/>
  </r>
  <r>
    <n v="100359"/>
    <s v="Onkar Vijay Desai"/>
    <d v="2023-10-30T00:00:00"/>
    <s v="Talent Pool - India_x000a_Niva Bupa DWA - Fixed"/>
    <n v="9"/>
    <n v="9"/>
    <n v="9"/>
    <n v="180"/>
    <n v="207"/>
    <n v="189"/>
    <n v="4.7619047619047616E-2"/>
    <n v="0.95238095238095233"/>
    <s v="Critical"/>
    <s v="Talent Pool - India - NB_x000a_Niva Bupa DWA - Fixed - B ( 20% billable )"/>
    <x v="3"/>
    <s v="No"/>
    <s v="Bench"/>
    <m/>
    <x v="0"/>
    <s v=""/>
    <m/>
  </r>
  <r>
    <n v="100467"/>
    <s v="Sujit Jitendra Saroj"/>
    <d v="2023-12-01T00:00:00"/>
    <s v="Talent Pool - India_x000a_Chatbot &amp; Databricks Tagging Support"/>
    <n v="36"/>
    <n v="9"/>
    <n v="63"/>
    <n v="99"/>
    <n v="207"/>
    <n v="162"/>
    <n v="0.3888888888888889"/>
    <n v="0.61111111111111116"/>
    <s v="Critical"/>
    <s v="Talent Pool - India - NB_x000a_Chatbot &amp; Databricks Tagging Support - B"/>
    <x v="1"/>
    <s v="Yes"/>
    <s v="Chatbot &amp; Databricks Tagging Support"/>
    <m/>
    <x v="0"/>
    <s v=""/>
    <m/>
  </r>
  <r>
    <n v="100407"/>
    <s v="Shefali Bardikar"/>
    <d v="2023-12-01T00:00:00"/>
    <s v="Datafactory - T&amp;M"/>
    <n v="36"/>
    <n v="18"/>
    <n v="153"/>
    <n v="0"/>
    <n v="207"/>
    <n v="153"/>
    <n v="1"/>
    <n v="0"/>
    <s v="Good"/>
    <s v="Datafactory - T&amp;M"/>
    <x v="0"/>
    <s v="Yes"/>
    <s v="Datafactory"/>
    <m/>
    <x v="0"/>
    <s v=""/>
    <m/>
  </r>
  <r>
    <n v="100364"/>
    <s v="Sudarshan Chauhan"/>
    <d v="2023-12-07T00:00:00"/>
    <s v="BCG -T&amp;M"/>
    <n v="108"/>
    <n v="9"/>
    <n v="90"/>
    <n v="0"/>
    <n v="207"/>
    <n v="90"/>
    <n v="1"/>
    <n v="0"/>
    <s v="Good"/>
    <s v="BCG -T&amp;M"/>
    <x v="0"/>
    <s v="Yes"/>
    <s v="BCG"/>
    <m/>
    <x v="0"/>
    <s v=""/>
    <m/>
  </r>
  <r>
    <n v="100365"/>
    <s v="Gopeshwar Nath Dwivedi"/>
    <d v="2023-12-11T00:00:00"/>
    <s v="E Invoicing - Fixed"/>
    <n v="9"/>
    <n v="18"/>
    <n v="171"/>
    <n v="9"/>
    <n v="207"/>
    <n v="180"/>
    <n v="0.95"/>
    <n v="0.05"/>
    <s v="Good"/>
    <s v="E Invoicing - Fixed"/>
    <x v="1"/>
    <s v="Yes"/>
    <s v="E Invoicing"/>
    <m/>
    <x v="1"/>
    <s v=""/>
    <m/>
  </r>
  <r>
    <n v="100369"/>
    <s v="Nikhileshwar Pagadala"/>
    <d v="2023-12-27T00:00:00"/>
    <s v="HDFC Life Bis - T&amp;M"/>
    <n v="9"/>
    <n v="9"/>
    <n v="189"/>
    <n v="0"/>
    <n v="207"/>
    <n v="189"/>
    <n v="1"/>
    <n v="0"/>
    <s v="Good"/>
    <s v="HDFC Life Bis - T&amp;M"/>
    <x v="0"/>
    <s v="Yes"/>
    <s v="HDFC Life Bis"/>
    <m/>
    <x v="0"/>
    <s v=""/>
    <m/>
  </r>
  <r>
    <n v="100370"/>
    <s v="Mouna Sirisha"/>
    <d v="2023-12-27T00:00:00"/>
    <s v="Mondelez Digital Dms - T&amp;M"/>
    <n v="0"/>
    <n v="9"/>
    <n v="198"/>
    <n v="0"/>
    <n v="207"/>
    <n v="198"/>
    <n v="1"/>
    <n v="0"/>
    <s v="Good"/>
    <s v="Mondelez Digital Dms - T&amp;M"/>
    <x v="0"/>
    <s v="Yes"/>
    <s v="Mondelez Digital Dms"/>
    <m/>
    <x v="0"/>
    <s v=""/>
    <m/>
  </r>
  <r>
    <n v="100371"/>
    <s v="Bhairavi Dattatray Bendre"/>
    <d v="2023-12-28T00:00:00"/>
    <s v="HDFC Life Data Lab - T&amp;M"/>
    <n v="0"/>
    <n v="9"/>
    <n v="198"/>
    <n v="0"/>
    <n v="207"/>
    <n v="198"/>
    <n v="1"/>
    <n v="0"/>
    <s v="Good"/>
    <s v="HDFC Life Data Lab - T&amp;M"/>
    <x v="0"/>
    <s v="Yes"/>
    <s v="HDFC Life Data Lab"/>
    <m/>
    <x v="0"/>
    <s v=""/>
    <m/>
  </r>
  <r>
    <n v="100374"/>
    <s v="Namrata Rupendra Meshram"/>
    <d v="2024-01-02T00:00:00"/>
    <s v="Novel Jewels Opp ( Power BI + SQL ) - T&amp;M"/>
    <n v="45"/>
    <n v="9"/>
    <n v="153"/>
    <n v="0"/>
    <n v="207"/>
    <n v="153"/>
    <n v="1"/>
    <n v="0"/>
    <s v="Good"/>
    <s v="Novel Jewels Opp ( Power BI + SQL ) - T&amp;M"/>
    <x v="0"/>
    <s v="Yes"/>
    <s v="Novel Jewels Opp"/>
    <m/>
    <x v="0"/>
    <s v=""/>
    <m/>
  </r>
  <r>
    <n v="100373"/>
    <s v="Mohammad Danish Mohammad Muzaffar"/>
    <d v="2024-01-02T00:00:00"/>
    <s v="HDFC Life Data Lab - T&amp;M"/>
    <n v="13.5"/>
    <n v="9"/>
    <n v="184.5"/>
    <n v="0"/>
    <n v="207"/>
    <n v="184.5"/>
    <n v="1"/>
    <n v="0"/>
    <s v="Good"/>
    <s v="HDFC Life Data Lab - T&amp;M"/>
    <x v="0"/>
    <s v="Yes"/>
    <s v="HDFC Life Data Lab"/>
    <m/>
    <x v="0"/>
    <s v=""/>
    <m/>
  </r>
  <r>
    <n v="100515"/>
    <s v="Hemant Hanumant Patil "/>
    <d v="2024-01-08T00:00:00"/>
    <s v="ABSLI Qlik Dashboard - Fixed &amp; Fixed T&amp;M"/>
    <n v="36"/>
    <n v="9"/>
    <n v="162"/>
    <n v="0"/>
    <n v="207"/>
    <n v="162"/>
    <n v="1"/>
    <n v="0"/>
    <s v="Good"/>
    <s v="ABSLI Qlik Dashboard - Fixed &amp; Fixed T&amp;M"/>
    <x v="1"/>
    <s v="Yes"/>
    <s v="ABSLI"/>
    <m/>
    <x v="0"/>
    <s v=""/>
    <m/>
  </r>
  <r>
    <n v="100376"/>
    <s v="Samiksha Ram Pawar"/>
    <d v="2024-01-08T00:00:00"/>
    <s v="Avendus - T&amp;M"/>
    <n v="94.5"/>
    <n v="9"/>
    <n v="103.5"/>
    <n v="0"/>
    <n v="207"/>
    <n v="103.5"/>
    <n v="1"/>
    <n v="0"/>
    <s v="Good"/>
    <s v="Avendus - T&amp;M"/>
    <x v="0"/>
    <s v="Yes"/>
    <s v="Avendus"/>
    <m/>
    <x v="0"/>
    <s v=""/>
    <m/>
  </r>
  <r>
    <n v="100378"/>
    <s v="Parikshit Agarwal"/>
    <d v="2024-01-15T00:00:00"/>
    <s v="Datafactory - T&amp;M"/>
    <n v="0"/>
    <n v="18"/>
    <n v="189"/>
    <n v="0"/>
    <n v="207"/>
    <n v="189"/>
    <n v="1"/>
    <n v="0"/>
    <s v="Good"/>
    <s v="Datafactory - T&amp;M"/>
    <x v="0"/>
    <s v="Yes"/>
    <s v="Datafactory"/>
    <m/>
    <x v="0"/>
    <s v=""/>
    <m/>
  </r>
  <r>
    <n v="100379"/>
    <s v="Pradeep Chandrakant Narvekar"/>
    <d v="2024-01-19T00:00:00"/>
    <s v="TATA AIG T&amp;M"/>
    <n v="18"/>
    <n v="9"/>
    <n v="180"/>
    <n v="0"/>
    <n v="207"/>
    <n v="180"/>
    <n v="1"/>
    <n v="0"/>
    <s v="Good"/>
    <s v="TATA AIG T&amp;M"/>
    <x v="0"/>
    <s v="Yes"/>
    <s v="TATA AIG"/>
    <m/>
    <x v="0"/>
    <s v=""/>
    <m/>
  </r>
  <r>
    <n v="100381"/>
    <s v="Rahul Jain"/>
    <d v="2024-01-22T00:00:00"/>
    <s v="HDFC Life SalesTap - Fixed / T&amp;M"/>
    <n v="36"/>
    <n v="9"/>
    <n v="162"/>
    <n v="0"/>
    <n v="207"/>
    <n v="162"/>
    <n v="1"/>
    <n v="0"/>
    <s v="Good"/>
    <s v="HDFC Life SalesTap - Fixed / T&amp;M"/>
    <x v="0"/>
    <s v="Yes"/>
    <s v="HDFC Life SalesTap"/>
    <m/>
    <x v="0"/>
    <s v=""/>
    <m/>
  </r>
  <r>
    <n v="100380"/>
    <s v="Yugandhara Yogesh Sharma"/>
    <d v="2024-01-22T00:00:00"/>
    <s v="Afcons Qlik SaaS Migration_x000a_Talent Pool - India"/>
    <n v="27"/>
    <n v="9"/>
    <n v="117"/>
    <n v="54"/>
    <n v="207"/>
    <n v="171"/>
    <n v="0.68421052631578949"/>
    <n v="0.31578947368421051"/>
    <s v="Critical"/>
    <s v="Afcons Qlik SaaS Migration - B_x000a_Talent Pool - India - NB"/>
    <x v="3"/>
    <s v="No"/>
    <s v="Bench"/>
    <m/>
    <x v="0"/>
    <s v=""/>
    <m/>
  </r>
  <r>
    <n v="100387"/>
    <s v="Ninad Jagdale"/>
    <d v="2024-02-13T00:00:00"/>
    <s v="Kemsley Mills_x000a_Transporeon - Data ingesiton - Fixed"/>
    <n v="49.5"/>
    <n v="18"/>
    <n v="139.5"/>
    <n v="0"/>
    <n v="207"/>
    <n v="139.5"/>
    <n v="1"/>
    <n v="0"/>
    <s v="Good"/>
    <s v="Kemsley Mills"/>
    <x v="1"/>
    <s v="Yes"/>
    <s v="Kemsley Mills"/>
    <m/>
    <x v="0"/>
    <s v=""/>
    <m/>
  </r>
  <r>
    <n v="100390"/>
    <s v="Nandan Amalesh Tendulkar "/>
    <d v="2024-02-15T00:00:00"/>
    <s v="Talent Pool - India"/>
    <n v="9"/>
    <n v="9"/>
    <n v="0"/>
    <n v="189"/>
    <n v="207"/>
    <n v="189"/>
    <n v="0"/>
    <n v="1"/>
    <s v="Critical"/>
    <s v="Talent Pool - India - NB"/>
    <x v="3"/>
    <s v="No"/>
    <s v="Bench"/>
    <m/>
    <x v="0"/>
    <s v=""/>
    <m/>
  </r>
  <r>
    <n v="100393"/>
    <s v="Shivanshi Mittal"/>
    <d v="2024-02-16T00:00:00"/>
    <s v="E2E South - T&amp;M"/>
    <n v="54"/>
    <n v="18"/>
    <n v="135"/>
    <n v="0"/>
    <n v="207"/>
    <n v="135"/>
    <n v="1"/>
    <n v="0"/>
    <s v="Good"/>
    <s v="E2E South - T&amp;M"/>
    <x v="0"/>
    <s v="Yes"/>
    <s v="E2E South"/>
    <m/>
    <x v="0"/>
    <s v=""/>
    <m/>
  </r>
  <r>
    <n v="100396"/>
    <s v="Prachi Vishal Doshi"/>
    <d v="2024-02-19T00:00:00"/>
    <s v="Lucamil - T&amp;M"/>
    <n v="36"/>
    <n v="18"/>
    <n v="153"/>
    <n v="0"/>
    <n v="207"/>
    <n v="153"/>
    <n v="1"/>
    <n v="0"/>
    <s v="Good"/>
    <s v="Lucamil - T&amp;M"/>
    <x v="0"/>
    <s v="Yes"/>
    <s v="Lucamil"/>
    <m/>
    <x v="0"/>
    <s v=""/>
    <m/>
  </r>
  <r>
    <n v="100399"/>
    <s v="Grandhi Venkata Sai Nagendra VamsiKrishna"/>
    <d v="2024-02-26T00:00:00"/>
    <s v="E2E South - T&amp;M"/>
    <n v="27"/>
    <n v="18"/>
    <n v="162"/>
    <n v="0"/>
    <n v="207"/>
    <n v="162"/>
    <n v="1"/>
    <n v="0"/>
    <s v="Good"/>
    <s v="E2E South - T&amp;M"/>
    <x v="0"/>
    <s v="Yes"/>
    <s v="E2E South"/>
    <m/>
    <x v="0"/>
    <s v=""/>
    <m/>
  </r>
  <r>
    <n v="100400"/>
    <s v="Prathibha Das"/>
    <d v="2024-03-11T00:00:00"/>
    <s v="Talent Pool - India_x000a_Lids Fabric Migration - Fixed"/>
    <n v="9"/>
    <n v="9"/>
    <n v="81"/>
    <n v="108"/>
    <n v="207"/>
    <n v="189"/>
    <n v="0.42857142857142855"/>
    <n v="0.5714285714285714"/>
    <s v="Critical"/>
    <s v="Talent Pool - India - NB_x000a_Lids Fabric Migration - Fixed - B"/>
    <x v="8"/>
    <s v="No"/>
    <s v="Resignation_Bench"/>
    <m/>
    <x v="1"/>
    <d v="2026-02-18T00:00:00"/>
    <m/>
  </r>
  <r>
    <n v="100402"/>
    <s v="Abhishek Srivastava"/>
    <d v="2024-03-18T00:00:00"/>
    <s v="Comviva Talend Migration_x000a_Talent Pool - India"/>
    <n v="36"/>
    <n v="9"/>
    <n v="117"/>
    <n v="45"/>
    <n v="207"/>
    <n v="162"/>
    <n v="0.72222222222222221"/>
    <n v="0.27777777777777779"/>
    <s v="Critical"/>
    <s v="Comviva Talend Migration"/>
    <x v="3"/>
    <s v="No"/>
    <s v="Bench"/>
    <m/>
    <x v="0"/>
    <s v=""/>
    <m/>
  </r>
  <r>
    <n v="100404"/>
    <s v="Sunandit Chaudhuri"/>
    <d v="2024-03-26T00:00:00"/>
    <s v="IRM Warranty - Fixed / T&amp;M"/>
    <n v="0"/>
    <n v="9"/>
    <n v="198"/>
    <n v="0"/>
    <n v="207"/>
    <n v="198"/>
    <n v="1"/>
    <n v="0"/>
    <s v="Good"/>
    <s v="IRM Warranty - Fixed / T&amp;M"/>
    <x v="0"/>
    <s v="Yes"/>
    <s v="IRM"/>
    <m/>
    <x v="0"/>
    <s v=""/>
    <m/>
  </r>
  <r>
    <n v="100406"/>
    <s v="Alisha Joy"/>
    <d v="2024-03-26T00:00:00"/>
    <s v="Maternity Leave"/>
    <n v="0"/>
    <n v="0"/>
    <n v="0"/>
    <n v="0"/>
    <n v="0"/>
    <n v="0"/>
    <n v="0"/>
    <s v=""/>
    <s v="Critical"/>
    <s v="Maternity Leave"/>
    <x v="4"/>
    <s v="No"/>
    <s v="Maternity Leave"/>
    <m/>
    <x v="0"/>
    <s v=""/>
    <m/>
  </r>
  <r>
    <n v="100412"/>
    <s v="Abhinandan Unawane"/>
    <d v="2024-04-01T00:00:00"/>
    <s v="Talent Pool - India_x000a_HDFC Life SalesTap - Fixed / T&amp;M"/>
    <n v="63"/>
    <n v="9"/>
    <n v="103"/>
    <n v="32"/>
    <n v="207"/>
    <n v="135"/>
    <n v="0.76296296296296295"/>
    <n v="0.23703703703703705"/>
    <s v="Critical"/>
    <s v="HDFC Life SalesTap - Fixed / T&amp;M -B_x000a_Talent Pool - NB"/>
    <x v="0"/>
    <s v="Yes"/>
    <s v="HDFC Life SalesTap"/>
    <m/>
    <x v="0"/>
    <s v=""/>
    <m/>
  </r>
  <r>
    <n v="100411"/>
    <s v="Juhi Ashok Gianani"/>
    <d v="2024-04-01T00:00:00"/>
    <s v="E Invoicing - Fixed"/>
    <n v="63"/>
    <n v="18"/>
    <n v="117"/>
    <n v="9"/>
    <n v="207"/>
    <n v="126"/>
    <n v="0.9285714285714286"/>
    <n v="7.1428571428571425E-2"/>
    <s v="Good"/>
    <s v="E Invoicing - Fixed"/>
    <x v="1"/>
    <s v="Yes"/>
    <s v="E Invoicing"/>
    <m/>
    <x v="0"/>
    <s v=""/>
    <m/>
  </r>
  <r>
    <n v="100414"/>
    <s v="Aakash Agarwal "/>
    <d v="2024-04-08T00:00:00"/>
    <s v="AIXponent - Internal"/>
    <n v="189"/>
    <n v="9"/>
    <n v="0"/>
    <n v="9"/>
    <n v="207"/>
    <n v="9"/>
    <n v="0"/>
    <n v="1"/>
    <s v="Critical"/>
    <s v="AIXponent - Internal - NB"/>
    <x v="9"/>
    <s v="No"/>
    <s v="Aixponent"/>
    <m/>
    <x v="0"/>
    <s v=""/>
    <m/>
  </r>
  <r>
    <n v="100416"/>
    <s v="Priyanka Rajendra Deshmukh"/>
    <d v="2024-04-10T00:00:00"/>
    <s v="E Invoicing - Fixed_x000a_DSS - Shared Resource_x000a_PSA IP Integration"/>
    <n v="27"/>
    <n v="18"/>
    <n v="162"/>
    <n v="0"/>
    <n v="207"/>
    <n v="162"/>
    <n v="1"/>
    <n v="0"/>
    <s v="Good"/>
    <s v="E Invoicing - Fixed -B_x000a_DSS - Shared Resource - NB"/>
    <x v="1"/>
    <s v="Yes"/>
    <s v="E Invoicing"/>
    <m/>
    <x v="0"/>
    <s v=""/>
    <m/>
  </r>
  <r>
    <n v="100417"/>
    <s v="Ishwari Ashok Masalkar"/>
    <d v="2024-04-10T00:00:00"/>
    <s v="ICICI Pru amc - T&amp;M"/>
    <n v="54"/>
    <n v="9"/>
    <n v="144"/>
    <n v="0"/>
    <n v="207"/>
    <n v="144"/>
    <n v="1"/>
    <n v="0"/>
    <s v="Good"/>
    <s v="ICICI Pru amc - T&amp;M"/>
    <x v="0"/>
    <s v="Yes"/>
    <s v="ICICI"/>
    <m/>
    <x v="0"/>
    <s v=""/>
    <m/>
  </r>
  <r>
    <n v="100424"/>
    <s v="Sushil Deepak Nyayadhish"/>
    <d v="2024-04-22T00:00:00"/>
    <s v="TATA AIG T&amp;M"/>
    <n v="9"/>
    <n v="9"/>
    <n v="189"/>
    <n v="0"/>
    <n v="207"/>
    <n v="189"/>
    <n v="1"/>
    <n v="0"/>
    <s v="Good"/>
    <s v="TATA AIG T&amp;M"/>
    <x v="0"/>
    <s v="Yes"/>
    <s v="TATA AIG"/>
    <m/>
    <x v="0"/>
    <s v=""/>
    <m/>
  </r>
  <r>
    <n v="100426"/>
    <s v="Challa Naveen Kumar"/>
    <d v="2024-04-23T00:00:00"/>
    <s v="SBI Life T&amp;M"/>
    <n v="0"/>
    <n v="9"/>
    <n v="198"/>
    <n v="0"/>
    <n v="207"/>
    <n v="198"/>
    <n v="1"/>
    <n v="0"/>
    <s v="Good"/>
    <s v="SBI Life T&amp;M"/>
    <x v="0"/>
    <s v="Yes"/>
    <s v="SBI Life"/>
    <m/>
    <x v="0"/>
    <s v=""/>
    <m/>
  </r>
  <r>
    <n v="100427"/>
    <s v="Manasi Sarang Pathak"/>
    <d v="2024-04-25T00:00:00"/>
    <s v="Talent Pool - India_x000a_T&amp;M Requirement-Adani-1 API Developer"/>
    <n v="9"/>
    <n v="9"/>
    <n v="162"/>
    <n v="27"/>
    <n v="207"/>
    <n v="189"/>
    <n v="0.8571428571428571"/>
    <n v="0.14285714285714285"/>
    <s v="Good"/>
    <s v="T&amp;M Requirement-Adani-1 API Developer"/>
    <x v="0"/>
    <s v="Yes"/>
    <s v="T&amp;M Requirement-Adani-1 API Developer"/>
    <m/>
    <x v="0"/>
    <s v=""/>
    <m/>
  </r>
  <r>
    <n v="100428"/>
    <s v="Krisha Jayendra Makwana"/>
    <d v="2024-04-29T00:00:00"/>
    <s v="Talent Pool - India"/>
    <n v="0"/>
    <n v="9"/>
    <n v="0"/>
    <n v="198"/>
    <n v="207"/>
    <n v="198"/>
    <n v="0"/>
    <n v="1"/>
    <s v="Critical"/>
    <s v="Talent Pool - India - NB"/>
    <x v="8"/>
    <s v="No"/>
    <s v="Resignation_Bench"/>
    <m/>
    <x v="1"/>
    <d v="2026-04-02T00:00:00"/>
    <m/>
  </r>
  <r>
    <n v="100435"/>
    <s v="Tushar Hanumant Sable"/>
    <d v="2024-05-09T00:00:00"/>
    <s v="TATA AIG T&amp;M"/>
    <n v="9"/>
    <n v="9"/>
    <n v="189"/>
    <n v="0"/>
    <n v="207"/>
    <n v="189"/>
    <n v="1"/>
    <n v="0"/>
    <s v="Good"/>
    <s v="TATA AIG T&amp;M"/>
    <x v="0"/>
    <s v="Yes"/>
    <s v="TATA AIG"/>
    <m/>
    <x v="0"/>
    <s v=""/>
    <m/>
  </r>
  <r>
    <n v="100431"/>
    <s v="Swapnil Pandurang Yesade"/>
    <d v="2024-05-15T00:00:00"/>
    <s v="SBI Life T&amp;M"/>
    <n v="18"/>
    <n v="9"/>
    <n v="180"/>
    <n v="0"/>
    <n v="207"/>
    <n v="180"/>
    <n v="1"/>
    <n v="0"/>
    <s v="Good"/>
    <s v="SBI Life T&amp;M"/>
    <x v="0"/>
    <s v="Yes"/>
    <s v="SBI Life"/>
    <m/>
    <x v="0"/>
    <s v=""/>
    <m/>
  </r>
  <r>
    <n v="100440"/>
    <s v="Sohail Shakeel Khan"/>
    <d v="2024-05-21T00:00:00"/>
    <s v="HDFC Life Bis - T&amp;M"/>
    <n v="18"/>
    <n v="9"/>
    <n v="180"/>
    <n v="0"/>
    <n v="207"/>
    <n v="180"/>
    <n v="1"/>
    <n v="0"/>
    <s v="Good"/>
    <s v="HDFC Life Bis - T&amp;M"/>
    <x v="0"/>
    <s v="Yes"/>
    <s v="HDFC Life Bis"/>
    <m/>
    <x v="0"/>
    <s v=""/>
    <m/>
  </r>
  <r>
    <n v="100441"/>
    <s v="Dhawal Praveen Tiwari"/>
    <d v="2024-05-21T00:00:00"/>
    <s v="TATA AIG T&amp;M"/>
    <n v="18"/>
    <n v="9"/>
    <n v="180"/>
    <n v="0"/>
    <n v="207"/>
    <n v="180"/>
    <n v="1"/>
    <n v="0"/>
    <s v="Good"/>
    <s v="TATA AIG T&amp;M"/>
    <x v="0"/>
    <s v="Yes"/>
    <s v="TATA AIG"/>
    <m/>
    <x v="0"/>
    <s v=""/>
    <m/>
  </r>
  <r>
    <n v="100444"/>
    <s v="Vishakha Ranjan"/>
    <d v="2024-05-27T00:00:00"/>
    <s v="BCG -T&amp;M"/>
    <n v="27"/>
    <n v="9"/>
    <n v="171"/>
    <n v="0"/>
    <n v="207"/>
    <n v="171"/>
    <n v="1"/>
    <n v="0"/>
    <s v="Good"/>
    <s v="BCG -T&amp;M"/>
    <x v="0"/>
    <s v="Yes"/>
    <s v="BCG"/>
    <m/>
    <x v="1"/>
    <d v="2026-01-02T00:00:00"/>
    <m/>
  </r>
  <r>
    <n v="100447"/>
    <s v="Swati Jain"/>
    <d v="2024-05-30T00:00:00"/>
    <s v="Emory - Fixed"/>
    <n v="49.5"/>
    <n v="9"/>
    <n v="148.5"/>
    <n v="0"/>
    <n v="207"/>
    <n v="148.5"/>
    <n v="1"/>
    <n v="0"/>
    <s v="Good"/>
    <s v="Emory - Fixed - B"/>
    <x v="1"/>
    <s v="Yes"/>
    <s v="Emory"/>
    <m/>
    <x v="0"/>
    <s v=""/>
    <m/>
  </r>
  <r>
    <n v="100449"/>
    <s v="Divya Sharma"/>
    <d v="2024-05-30T00:00:00"/>
    <s v="HDFC Life Data Lab - T&amp;M"/>
    <n v="9"/>
    <n v="9"/>
    <n v="189"/>
    <n v="0"/>
    <n v="207"/>
    <n v="189"/>
    <n v="1"/>
    <n v="0"/>
    <s v="Good"/>
    <s v="HDFC Life Data Lab - T&amp;M"/>
    <x v="0"/>
    <s v="Yes"/>
    <s v="HDFC Life Data Lab"/>
    <m/>
    <x v="0"/>
    <s v=""/>
    <m/>
  </r>
  <r>
    <n v="100450"/>
    <s v="Hariharan S"/>
    <d v="2024-05-30T00:00:00"/>
    <s v="Talent Pool - India_x000a_HDFC Life IEarn - Fixed / T&amp;M_x000a_Xanadu - T&amp;M"/>
    <n v="0"/>
    <n v="9"/>
    <n v="198"/>
    <n v="0"/>
    <n v="207"/>
    <n v="198"/>
    <n v="1"/>
    <n v="0"/>
    <s v="Good"/>
    <s v="Xanadu - T&amp;M"/>
    <x v="0"/>
    <s v="Yes"/>
    <s v="Xanadu"/>
    <m/>
    <x v="0"/>
    <s v=""/>
    <m/>
  </r>
  <r>
    <n v="100452"/>
    <s v="Yogesh Rameshwar Nagare"/>
    <d v="2024-06-03T00:00:00"/>
    <s v="Talent Pool - India_x000a_Qlik Resources for KMPG_x000a_SBI Life T&amp;M"/>
    <n v="18"/>
    <n v="9"/>
    <n v="54"/>
    <n v="126"/>
    <n v="207"/>
    <n v="180"/>
    <n v="0.3"/>
    <n v="0.7"/>
    <s v="Critical"/>
    <s v="Talent Pool - India - NB_x000a_Qlik Resources for KMPG - B_x000a_SBI Life T&amp;M - B"/>
    <x v="0"/>
    <s v="Yes"/>
    <s v="SBI Life"/>
    <m/>
    <x v="0"/>
    <s v=""/>
    <m/>
  </r>
  <r>
    <n v="100453"/>
    <s v="Syed Sardar "/>
    <d v="2024-06-03T00:00:00"/>
    <s v="Databricks Center of Excellence (CoE) - Internal_x000a_Catalyst - (SSP FP&amp;A Reporting)"/>
    <n v="27"/>
    <n v="9"/>
    <n v="171"/>
    <n v="0"/>
    <n v="207"/>
    <n v="171"/>
    <n v="1"/>
    <n v="0"/>
    <s v="Good"/>
    <s v="Databricks Center of Excellence (CoE) - Internal - NB_x000a_Catalyst - (SSP FP&amp;A Reporting) - B"/>
    <x v="0"/>
    <s v="Yes"/>
    <s v="Catalyst - (SSP FP&amp;A Reporting)"/>
    <m/>
    <x v="0"/>
    <s v=""/>
    <m/>
  </r>
  <r>
    <n v="100454"/>
    <s v="Pravin Auti "/>
    <d v="2024-06-03T00:00:00"/>
    <s v="TATA AIG T&amp;M"/>
    <n v="9"/>
    <n v="9"/>
    <n v="189"/>
    <n v="0"/>
    <n v="207"/>
    <n v="189"/>
    <n v="1"/>
    <n v="0"/>
    <s v="Good"/>
    <s v="TATA AIG T&amp;M"/>
    <x v="0"/>
    <s v="Yes"/>
    <s v="TATA AIG"/>
    <m/>
    <x v="0"/>
    <s v=""/>
    <m/>
  </r>
  <r>
    <n v="100455"/>
    <s v="Arpit Joshi"/>
    <d v="2024-06-04T00:00:00"/>
    <s v="Talent Pool - India"/>
    <n v="0"/>
    <n v="0"/>
    <n v="0"/>
    <n v="9"/>
    <n v="9"/>
    <n v="9"/>
    <n v="0"/>
    <n v="1"/>
    <s v="Critical"/>
    <s v="Talent Pool - India - NB"/>
    <x v="8"/>
    <s v="No"/>
    <s v="Resignation_Bench"/>
    <m/>
    <x v="1"/>
    <d v="2025-12-01T00:00:00"/>
    <m/>
  </r>
  <r>
    <n v="100459"/>
    <s v="Ranjana Chatterjee"/>
    <d v="2024-06-11T00:00:00"/>
    <s v="Financial Services - T&amp;M"/>
    <n v="9"/>
    <n v="9"/>
    <n v="189"/>
    <n v="0"/>
    <n v="207"/>
    <n v="189"/>
    <n v="1"/>
    <n v="0"/>
    <s v="Good"/>
    <s v="Financial Services - T&amp;M"/>
    <x v="0"/>
    <s v="Yes"/>
    <s v="Financial Services"/>
    <m/>
    <x v="0"/>
    <s v=""/>
    <m/>
  </r>
  <r>
    <n v="100458"/>
    <s v="Ankit Jain"/>
    <d v="2024-06-13T00:00:00"/>
    <s v="BCG -T&amp;M"/>
    <n v="54"/>
    <n v="9"/>
    <n v="144"/>
    <n v="0"/>
    <n v="207"/>
    <n v="144"/>
    <n v="1"/>
    <n v="0"/>
    <s v="Good"/>
    <s v="BCG -T&amp;M"/>
    <x v="0"/>
    <s v="Yes"/>
    <s v="BCG"/>
    <m/>
    <x v="0"/>
    <s v=""/>
    <m/>
  </r>
  <r>
    <n v="100460"/>
    <s v="Kothiya Dhruvkumar Mukeshbhai"/>
    <d v="2024-06-17T00:00:00"/>
    <s v="HDFC Life Digi Lab - T&amp;M"/>
    <n v="90"/>
    <n v="9"/>
    <n v="108"/>
    <n v="0"/>
    <n v="207"/>
    <n v="108"/>
    <n v="1"/>
    <n v="0"/>
    <s v="Good"/>
    <s v="HDFC Life Digi Lab - T&amp;M"/>
    <x v="0"/>
    <s v="Yes"/>
    <s v="HDFC Life Digi Lab"/>
    <m/>
    <x v="0"/>
    <s v=""/>
    <m/>
  </r>
  <r>
    <n v="100464"/>
    <s v="Surekha Basu Chavan"/>
    <d v="2024-06-25T00:00:00"/>
    <s v="Odyssey Hotels Group"/>
    <n v="31.5"/>
    <n v="9"/>
    <n v="166.3"/>
    <n v="0"/>
    <n v="207"/>
    <n v="166.5"/>
    <n v="0.99879879879879885"/>
    <n v="0"/>
    <s v="Good"/>
    <s v="Odyssey Hotels Group"/>
    <x v="1"/>
    <s v="Yes"/>
    <s v="Odyssey"/>
    <m/>
    <x v="0"/>
    <s v=""/>
    <m/>
  </r>
  <r>
    <n v="100470"/>
    <s v="Saurabh Mishra"/>
    <d v="2024-07-03T00:00:00"/>
    <s v="SBI Life T&amp;M"/>
    <n v="18"/>
    <n v="9"/>
    <n v="180"/>
    <n v="0"/>
    <n v="207"/>
    <n v="180"/>
    <n v="1"/>
    <n v="0"/>
    <s v="Good"/>
    <s v="SBI Life T&amp;M"/>
    <x v="0"/>
    <s v="Yes"/>
    <s v="SBI Life"/>
    <m/>
    <x v="0"/>
    <s v=""/>
    <m/>
  </r>
  <r>
    <n v="100469"/>
    <s v="Suraj Lalchand Vishwakarma"/>
    <d v="2024-07-04T00:00:00"/>
    <s v="Niva Bupa  - CR New Reports &amp; Enhancement - T&amp;M"/>
    <n v="31.5"/>
    <n v="9"/>
    <n v="166.5"/>
    <n v="0"/>
    <n v="207"/>
    <n v="166.5"/>
    <n v="1"/>
    <n v="0"/>
    <s v="Good"/>
    <s v="Niva Bupa  - CR New Reports &amp; Enhancement - T&amp;M"/>
    <x v="0"/>
    <s v="Yes"/>
    <s v="Niva Bupa"/>
    <m/>
    <x v="0"/>
    <s v=""/>
    <m/>
  </r>
  <r>
    <n v="100471"/>
    <s v="Imran M Beig"/>
    <d v="2024-07-04T00:00:00"/>
    <s v="Data Foundation for Databricks PoC - T&amp;M"/>
    <n v="13.5"/>
    <n v="9"/>
    <n v="184.5"/>
    <n v="0"/>
    <n v="207"/>
    <n v="184.5"/>
    <n v="1"/>
    <n v="0"/>
    <s v="Good"/>
    <s v="Data Foundation for Databricks PoC - T&amp;M"/>
    <x v="0"/>
    <s v="No"/>
    <s v="Data Foundation for Databricks PoC"/>
    <m/>
    <x v="0"/>
    <s v=""/>
    <m/>
  </r>
  <r>
    <n v="100472"/>
    <s v="Mangali Hemavathi"/>
    <d v="2024-07-05T00:00:00"/>
    <s v="HDFC Life Data Lab - T&amp;M"/>
    <n v="45"/>
    <n v="9"/>
    <n v="153"/>
    <n v="0"/>
    <n v="207"/>
    <n v="153"/>
    <n v="1"/>
    <n v="0"/>
    <s v="Good"/>
    <s v="HDFC Life Data Lab - T&amp;M"/>
    <x v="0"/>
    <s v="Yes"/>
    <s v="HDFC Life Data Labs"/>
    <m/>
    <x v="0"/>
    <s v=""/>
    <m/>
  </r>
  <r>
    <n v="100474"/>
    <s v="Naresh Dipak Pardeshi"/>
    <d v="2024-07-17T00:00:00"/>
    <s v="Data Foundation for Databricks PoC - T&amp;M"/>
    <n v="0"/>
    <n v="0"/>
    <n v="90"/>
    <n v="0"/>
    <n v="90"/>
    <n v="90"/>
    <n v="1"/>
    <n v="0"/>
    <s v="Good"/>
    <s v="Data Foundation for Databricks PoC - T&amp;M"/>
    <x v="0"/>
    <s v="Yes"/>
    <s v="Data Foundation for Databricks PoC"/>
    <m/>
    <x v="1"/>
    <d v="2025-12-18T00:00:00"/>
    <m/>
  </r>
  <r>
    <n v="100475"/>
    <s v="Neha Nandlal Gupta"/>
    <d v="2024-07-19T00:00:00"/>
    <s v="AIXponent - Internal"/>
    <n v="49.5"/>
    <n v="9"/>
    <n v="0"/>
    <n v="148.5"/>
    <n v="207"/>
    <n v="148.5"/>
    <n v="0"/>
    <n v="1"/>
    <s v="Critical"/>
    <s v="AIXponent - Internal - NB"/>
    <x v="2"/>
    <s v="No"/>
    <s v="Aixponent"/>
    <m/>
    <x v="0"/>
    <s v=""/>
    <m/>
  </r>
  <r>
    <n v="100476"/>
    <s v="Anup Kumar"/>
    <d v="2024-07-23T00:00:00"/>
    <s v="Talent Pool - India_x000a_Lids Fabric Migration - Fixed"/>
    <n v="27"/>
    <n v="9"/>
    <n v="90"/>
    <n v="81"/>
    <n v="207"/>
    <n v="171"/>
    <n v="0.52631578947368418"/>
    <n v="0.47368421052631576"/>
    <s v="Critical"/>
    <s v="Talent Pool - India - NB_x000a_Lids Fabric Migration - Fixed - B"/>
    <x v="10"/>
    <s v="No"/>
    <s v="PreSales"/>
    <m/>
    <x v="0"/>
    <s v=""/>
    <m/>
  </r>
  <r>
    <n v="100477"/>
    <s v="Shivamkumar Sushilkumar Yadav"/>
    <d v="2024-07-25T00:00:00"/>
    <s v="ICICI Pru amc - T&amp;M"/>
    <n v="45"/>
    <n v="9"/>
    <n v="153"/>
    <n v="0"/>
    <n v="207"/>
    <n v="153"/>
    <n v="1"/>
    <n v="0"/>
    <s v="Good"/>
    <s v="ICICI Pru amc - T&amp;M"/>
    <x v="0"/>
    <s v="Yes"/>
    <s v="ICICI"/>
    <m/>
    <x v="0"/>
    <s v=""/>
    <m/>
  </r>
  <r>
    <n v="100482"/>
    <s v="Khandapu Krishna veni"/>
    <d v="2024-08-05T00:00:00"/>
    <s v="TATA AIG T&amp;M"/>
    <n v="0"/>
    <n v="9"/>
    <n v="198"/>
    <n v="0"/>
    <n v="207"/>
    <n v="198"/>
    <n v="1"/>
    <n v="0"/>
    <s v="Good"/>
    <s v="TATA AIG T&amp;M"/>
    <x v="0"/>
    <s v="Yes"/>
    <s v="TATA AIG"/>
    <m/>
    <x v="0"/>
    <s v=""/>
    <m/>
  </r>
  <r>
    <n v="100483"/>
    <s v="Dravya Ghoil"/>
    <d v="2024-08-06T00:00:00"/>
    <s v="Adani Logistics"/>
    <n v="27"/>
    <n v="9"/>
    <n v="171"/>
    <n v="0"/>
    <n v="207"/>
    <n v="171"/>
    <n v="1"/>
    <n v="0"/>
    <s v="Good"/>
    <s v="Adani Logistics"/>
    <x v="1"/>
    <s v="Yes"/>
    <s v="Adani Logistics"/>
    <m/>
    <x v="0"/>
    <s v=""/>
    <m/>
  </r>
  <r>
    <n v="100484"/>
    <s v="Sumeet Dudeshwar Bisen"/>
    <d v="2024-08-07T00:00:00"/>
    <s v="Nuvama Gen AI - Fixed_x000a_Data Foundation for Databricks PoC - T&amp;M"/>
    <n v="18"/>
    <n v="9"/>
    <n v="166.5"/>
    <n v="13.5"/>
    <n v="207"/>
    <n v="180"/>
    <n v="0.92500000000000004"/>
    <n v="7.4999999999999997E-2"/>
    <s v="Good"/>
    <s v="Nuvama Gen AI - Fixed - B_x000a_Data Foundation for Databricks PoC - T&amp;M - NB will be billable from 9th"/>
    <x v="0"/>
    <s v="Yes"/>
    <s v="Data Foundation for Databricks PoC"/>
    <d v="2025-12-09T00:00:00"/>
    <x v="0"/>
    <s v=""/>
    <m/>
  </r>
  <r>
    <n v="100485"/>
    <s v="Hedyat Ullah "/>
    <d v="2024-08-08T00:00:00"/>
    <s v="Comviva Talend Migration"/>
    <n v="18"/>
    <n v="9"/>
    <n v="180"/>
    <n v="0"/>
    <n v="207"/>
    <n v="180"/>
    <n v="1"/>
    <n v="0"/>
    <s v="Good"/>
    <s v="Comviva Talend Migration"/>
    <x v="1"/>
    <s v="Yes"/>
    <s v="Comviva"/>
    <m/>
    <x v="1"/>
    <d v="2026-01-09T00:00:00"/>
    <m/>
  </r>
  <r>
    <n v="100486"/>
    <s v="Meetu Bhardwaj"/>
    <d v="2024-08-14T00:00:00"/>
    <s v="BCG -T&amp;M"/>
    <n v="27"/>
    <n v="9"/>
    <n v="171"/>
    <n v="0"/>
    <n v="207"/>
    <n v="171"/>
    <n v="1"/>
    <n v="0"/>
    <s v="Good"/>
    <s v="BCG -T&amp;M"/>
    <x v="0"/>
    <s v="Yes"/>
    <s v="BCG"/>
    <m/>
    <x v="0"/>
    <s v=""/>
    <m/>
  </r>
  <r>
    <n v="100488"/>
    <s v="Aniket Sudhakar Patil"/>
    <d v="2024-08-19T00:00:00"/>
    <s v="ABSLI Qlik Dashboard - Fixed &amp; Fixed T&amp;M"/>
    <n v="18"/>
    <n v="9"/>
    <n v="180"/>
    <n v="0"/>
    <n v="207"/>
    <n v="180"/>
    <n v="1"/>
    <n v="0"/>
    <s v="Good"/>
    <s v="ABSLI Qlik Dashboard - Fixed &amp; Fixed T&amp;M"/>
    <x v="1"/>
    <s v="Yes"/>
    <s v="ABSLI"/>
    <m/>
    <x v="0"/>
    <s v=""/>
    <m/>
  </r>
  <r>
    <n v="100489"/>
    <s v="Nilkantha Nayak"/>
    <d v="2024-08-19T00:00:00"/>
    <s v="SBI Life T&amp;M"/>
    <n v="9"/>
    <n v="9"/>
    <n v="189"/>
    <n v="0"/>
    <n v="207"/>
    <n v="189"/>
    <n v="1"/>
    <n v="0"/>
    <s v="Good"/>
    <s v="SBI Life T&amp;M"/>
    <x v="0"/>
    <s v="Yes"/>
    <s v="SBI Life"/>
    <m/>
    <x v="0"/>
    <s v=""/>
    <m/>
  </r>
  <r>
    <n v="100492"/>
    <s v="Pranavkumar Keshao Nimgade"/>
    <d v="2024-08-26T00:00:00"/>
    <s v="TMS_Finance - Fixed_x000a_DIOH 360 CR - Fixed"/>
    <n v="27"/>
    <n v="18"/>
    <n v="162"/>
    <n v="0"/>
    <n v="207"/>
    <n v="162"/>
    <n v="1"/>
    <n v="0"/>
    <s v="Good"/>
    <s v="TMS_Finance - Fixed_x000a_DIOH 360 CR - Fixed"/>
    <x v="1"/>
    <s v="Yes"/>
    <s v="TMS"/>
    <m/>
    <x v="0"/>
    <s v=""/>
    <m/>
  </r>
  <r>
    <n v="50004"/>
    <s v="Sheena Binoy"/>
    <d v="2024-08-27T00:00:00"/>
    <s v="DSS - T&amp;M_Yogi_Team - T&amp;M"/>
    <n v="81"/>
    <n v="18"/>
    <n v="108"/>
    <n v="0"/>
    <n v="207"/>
    <n v="108"/>
    <n v="1"/>
    <n v="0"/>
    <s v="Good"/>
    <s v="DSS - T&amp;M_Yogi_Team - T&amp;M"/>
    <x v="0"/>
    <s v="Yes"/>
    <s v="DSS Yogi"/>
    <m/>
    <x v="0"/>
    <s v=""/>
    <m/>
  </r>
  <r>
    <n v="100588"/>
    <s v="Vinay Chafle"/>
    <d v="2024-08-29T00:00:00"/>
    <s v="Talent Pool - India"/>
    <n v="0"/>
    <n v="9"/>
    <n v="0"/>
    <n v="198"/>
    <n v="207"/>
    <n v="198"/>
    <n v="0"/>
    <n v="1"/>
    <s v="Critical"/>
    <s v="Talent Pool - India - NB"/>
    <x v="8"/>
    <s v="No"/>
    <s v="Resignation_Bench"/>
    <m/>
    <x v="1"/>
    <d v="2026-04-01T00:00:00"/>
    <m/>
  </r>
  <r>
    <n v="100493"/>
    <s v="Rutuja Pradeep Balkundre"/>
    <d v="2024-08-29T00:00:00"/>
    <s v="DS Smith - Pool_x000a_Trackchain - Argus - Fixed "/>
    <n v="36"/>
    <n v="18"/>
    <n v="90"/>
    <n v="63"/>
    <n v="207"/>
    <n v="153"/>
    <n v="0.58823529411764708"/>
    <n v="0.41176470588235292"/>
    <s v="Critical"/>
    <s v="Trackchain - Argus - Fixed - B_x000a_DS Smith Pool - NB"/>
    <x v="3"/>
    <s v="No"/>
    <s v="Bench"/>
    <m/>
    <x v="0"/>
    <s v=""/>
    <m/>
  </r>
  <r>
    <n v="100496"/>
    <s v="Kiran Krishna Patil"/>
    <d v="2024-08-30T00:00:00"/>
    <s v="HDFC Life Data Lab - T&amp;M"/>
    <n v="27"/>
    <n v="9"/>
    <n v="171"/>
    <n v="0"/>
    <n v="207"/>
    <n v="171"/>
    <n v="1"/>
    <n v="0"/>
    <s v="Good"/>
    <s v="HDFC Life Data Lab - T&amp;M"/>
    <x v="0"/>
    <s v="Yes"/>
    <s v="HDFC Life Data Labs"/>
    <m/>
    <x v="1"/>
    <d v="2026-03-08T00:00:00"/>
    <m/>
  </r>
  <r>
    <n v="100495"/>
    <s v="Vijay Hansraj Yadav"/>
    <d v="2024-08-30T00:00:00"/>
    <s v="Datafactory - T&amp;M"/>
    <n v="0"/>
    <n v="0"/>
    <n v="72"/>
    <n v="0"/>
    <n v="72"/>
    <n v="72"/>
    <n v="1"/>
    <n v="0"/>
    <s v="Good"/>
    <s v="Datafactory - T&amp;M"/>
    <x v="0"/>
    <s v="Yes"/>
    <s v="Datafactory"/>
    <m/>
    <x v="1"/>
    <d v="2025-12-10T00:00:00"/>
    <m/>
  </r>
  <r>
    <n v="100500"/>
    <s v="Abhishek Sunil Sawlikar"/>
    <d v="2024-09-02T00:00:00"/>
    <s v="Talent Pool - India"/>
    <n v="0"/>
    <n v="0"/>
    <n v="0"/>
    <n v="45"/>
    <n v="45"/>
    <n v="45"/>
    <n v="0"/>
    <n v="1"/>
    <s v="Critical"/>
    <s v="Talent Pool - India - NB"/>
    <x v="8"/>
    <s v="No"/>
    <s v="Resignation_Bench"/>
    <m/>
    <x v="1"/>
    <d v="2025-12-08T00:00:00"/>
    <m/>
  </r>
  <r>
    <n v="100501"/>
    <s v="Anas Sameer Mulla"/>
    <d v="2024-09-03T00:00:00"/>
    <s v="Emory - Fixed"/>
    <n v="54"/>
    <n v="9"/>
    <n v="144"/>
    <n v="0"/>
    <n v="207"/>
    <n v="144"/>
    <n v="1"/>
    <n v="0"/>
    <s v="Good"/>
    <s v="Emory - Fixed"/>
    <x v="1"/>
    <s v="Yes"/>
    <s v="Emory"/>
    <m/>
    <x v="0"/>
    <s v=""/>
    <m/>
  </r>
  <r>
    <n v="100504"/>
    <s v="Akash Devendra Gawande"/>
    <d v="2024-09-16T00:00:00"/>
    <s v="Niva Bupa  - CR New Reports &amp; Enhancement - T&amp;M"/>
    <n v="9"/>
    <n v="9"/>
    <n v="189"/>
    <n v="0"/>
    <n v="207"/>
    <n v="189"/>
    <n v="1"/>
    <n v="0"/>
    <s v="Good"/>
    <s v="Niva Bupa  - CR New Reports &amp; Enhancement - T&amp;M"/>
    <x v="0"/>
    <s v="Yes"/>
    <s v="Niva Bupa"/>
    <m/>
    <x v="0"/>
    <s v=""/>
    <m/>
  </r>
  <r>
    <n v="100626"/>
    <s v="Gorakala Venkatesh"/>
    <d v="2024-09-16T00:00:00"/>
    <s v="BCG -T&amp;M_x000a_E2E South - T&amp;M"/>
    <n v="27"/>
    <n v="18"/>
    <n v="90"/>
    <n v="72"/>
    <n v="207"/>
    <n v="162"/>
    <n v="0.55555555555555558"/>
    <n v="0.44444444444444442"/>
    <s v="Critical"/>
    <s v="BCG -T&amp;M - NB_x000a_E2E South - T&amp;M - B"/>
    <x v="0"/>
    <s v="Yes"/>
    <s v="E2E South"/>
    <m/>
    <x v="0"/>
    <s v=""/>
    <m/>
  </r>
  <r>
    <n v="100506"/>
    <s v="Shripati More"/>
    <d v="2024-09-17T00:00:00"/>
    <s v="Talent Pool - India"/>
    <n v="0"/>
    <n v="0"/>
    <n v="0"/>
    <n v="54"/>
    <n v="54"/>
    <n v="54"/>
    <n v="0"/>
    <n v="1"/>
    <s v="Critical"/>
    <s v="Talent Pool - India - NB"/>
    <x v="8"/>
    <s v="No"/>
    <s v="Resignation_Bench"/>
    <m/>
    <x v="1"/>
    <d v="2025-12-08T00:00:00"/>
    <m/>
  </r>
  <r>
    <n v="100508"/>
    <s v="Yatharth Mathur"/>
    <d v="2024-09-23T00:00:00"/>
    <s v="Datafactory - T&amp;M"/>
    <n v="36"/>
    <n v="18"/>
    <n v="153"/>
    <n v="0"/>
    <n v="207"/>
    <n v="153"/>
    <n v="1"/>
    <n v="0"/>
    <s v="Good"/>
    <s v="Datafactory - T&amp;M"/>
    <x v="0"/>
    <s v="Yes"/>
    <s v="Datafactory"/>
    <m/>
    <x v="0"/>
    <s v=""/>
    <m/>
  </r>
  <r>
    <n v="100512"/>
    <s v="Omkar Sudarshan Gujja"/>
    <d v="2024-09-26T00:00:00"/>
    <s v="AIXponent - Internal_x000a_Data Coach - Fixed_x000a_Gen AI Deployment for Contracts Use Case - Fixed "/>
    <n v="9"/>
    <n v="9"/>
    <n v="157.5"/>
    <n v="31.5"/>
    <n v="207"/>
    <n v="189"/>
    <n v="0.83333333333333337"/>
    <n v="0.16666666666666666"/>
    <s v="Critical"/>
    <s v="AIXponent - Internal - NB_x000a_Data Coach - Fixed - B_x000a_Gen AI Deployment for Contracts Use Case - Fixed - B "/>
    <x v="1"/>
    <s v="Yes"/>
    <s v="Data Coach"/>
    <m/>
    <x v="0"/>
    <s v=""/>
    <m/>
  </r>
  <r>
    <n v="100513"/>
    <s v="Roshan Pandurang Chothe"/>
    <d v="2024-09-27T00:00:00"/>
    <s v="TATA AIG T&amp;M"/>
    <n v="9"/>
    <n v="9"/>
    <n v="189"/>
    <n v="0"/>
    <n v="207"/>
    <n v="189"/>
    <n v="1"/>
    <n v="0"/>
    <s v="Good"/>
    <s v="TATA AIG T&amp;M"/>
    <x v="0"/>
    <s v="Yes"/>
    <s v="TATA AIG"/>
    <m/>
    <x v="0"/>
    <s v=""/>
    <m/>
  </r>
  <r>
    <n v="100514"/>
    <s v="Arpita Vijay Sanas"/>
    <d v="2024-09-30T00:00:00"/>
    <s v="SBI Life T&amp;M"/>
    <n v="27"/>
    <n v="9"/>
    <n v="171"/>
    <n v="0"/>
    <n v="207"/>
    <n v="171"/>
    <n v="1"/>
    <n v="0"/>
    <s v="Good"/>
    <s v="SBI Life T&amp;M"/>
    <x v="0"/>
    <s v="Yes"/>
    <s v="SBI Life"/>
    <m/>
    <x v="0"/>
    <s v=""/>
    <m/>
  </r>
  <r>
    <n v="100518"/>
    <s v="Aashima Sodhi"/>
    <d v="2024-10-07T00:00:00"/>
    <s v="Adani PORT - T&amp;M"/>
    <n v="22.5"/>
    <n v="9"/>
    <n v="175.5"/>
    <n v="0"/>
    <n v="207"/>
    <n v="175.5"/>
    <n v="1"/>
    <n v="0"/>
    <s v="Good"/>
    <s v="Adani PORT - T&amp;M"/>
    <x v="0"/>
    <s v="Yes"/>
    <s v="Adani PORT"/>
    <m/>
    <x v="0"/>
    <s v=""/>
    <m/>
  </r>
  <r>
    <n v="100520"/>
    <s v="Rahul Raosaheb Zaware"/>
    <d v="2024-10-14T00:00:00"/>
    <s v="BCG -T&amp;M"/>
    <n v="0"/>
    <n v="0"/>
    <n v="90"/>
    <n v="0"/>
    <n v="90"/>
    <n v="90"/>
    <n v="1"/>
    <n v="0"/>
    <s v="Good"/>
    <s v="BCG -T&amp;M"/>
    <x v="0"/>
    <s v="Yes"/>
    <s v="BCG"/>
    <m/>
    <x v="1"/>
    <d v="2025-12-15T00:00:00"/>
    <m/>
  </r>
  <r>
    <n v="100522"/>
    <s v="Madhuri Mahadev Patil"/>
    <d v="2024-10-15T00:00:00"/>
    <s v="TATA AIG T&amp;M"/>
    <n v="0"/>
    <n v="9"/>
    <n v="198"/>
    <n v="0"/>
    <n v="207"/>
    <n v="198"/>
    <n v="1"/>
    <n v="0"/>
    <s v="Good"/>
    <s v="TATA AIG T&amp;M"/>
    <x v="0"/>
    <s v="Yes"/>
    <s v="TATA AIG"/>
    <m/>
    <x v="0"/>
    <s v=""/>
    <m/>
  </r>
  <r>
    <n v="100523"/>
    <s v="Ananya Bharatee"/>
    <d v="2024-10-18T00:00:00"/>
    <s v="HDFC Product - T&amp;M"/>
    <n v="45"/>
    <n v="9"/>
    <n v="153"/>
    <n v="0"/>
    <n v="207"/>
    <n v="153"/>
    <n v="1"/>
    <n v="0"/>
    <s v="Good"/>
    <s v="HDFC Product - T&amp;M"/>
    <x v="0"/>
    <s v="Yes"/>
    <s v="HDFC Product"/>
    <m/>
    <x v="0"/>
    <s v=""/>
    <m/>
  </r>
  <r>
    <n v="100525"/>
    <s v="Shyam Sukhadeorao Futane"/>
    <d v="2024-10-21T00:00:00"/>
    <s v="TATA AIG T&amp;M"/>
    <n v="0"/>
    <n v="9"/>
    <n v="198"/>
    <n v="0"/>
    <n v="207"/>
    <n v="198"/>
    <n v="1"/>
    <n v="0"/>
    <s v="Good"/>
    <s v="TATA AIG T&amp;M"/>
    <x v="0"/>
    <s v="Yes"/>
    <s v="TATA AIG"/>
    <m/>
    <x v="0"/>
    <s v=""/>
    <m/>
  </r>
  <r>
    <n v="100526"/>
    <s v="Parag Vikas Borkar"/>
    <d v="2024-10-23T00:00:00"/>
    <s v="TATA AIG T&amp;M"/>
    <n v="0"/>
    <n v="9"/>
    <n v="198"/>
    <n v="0"/>
    <n v="207"/>
    <n v="198"/>
    <n v="1"/>
    <n v="0"/>
    <s v="Good"/>
    <s v="TATA AIG T&amp;M"/>
    <x v="0"/>
    <s v="Yes"/>
    <s v="TATA AIG"/>
    <m/>
    <x v="0"/>
    <s v=""/>
    <m/>
  </r>
  <r>
    <n v="100529"/>
    <s v="Ujjwal Kumar"/>
    <d v="2024-11-04T00:00:00"/>
    <s v="HDFC Life Data Lab - T&amp;M"/>
    <n v="63"/>
    <n v="9"/>
    <n v="135"/>
    <n v="0"/>
    <n v="207"/>
    <n v="135"/>
    <n v="1"/>
    <n v="0"/>
    <s v="Good"/>
    <s v="HDFC Life Data Labs T&amp;M First week of december on leave"/>
    <x v="0"/>
    <s v="Yes"/>
    <s v="HDFC Life Data Labs"/>
    <m/>
    <x v="0"/>
    <s v=""/>
    <m/>
  </r>
  <r>
    <n v="100530"/>
    <s v="Umesh Ulhas Rane"/>
    <d v="2024-11-04T00:00:00"/>
    <s v="Talent Pool - India"/>
    <n v="0"/>
    <n v="9"/>
    <n v="0"/>
    <n v="198"/>
    <n v="207"/>
    <n v="198"/>
    <n v="0"/>
    <n v="1"/>
    <s v="Critical"/>
    <s v="Talent Pool - India - NB"/>
    <x v="3"/>
    <s v="No"/>
    <s v="Bench"/>
    <m/>
    <x v="0"/>
    <s v=""/>
    <m/>
  </r>
  <r>
    <n v="100535"/>
    <s v="Rohini Amol Pawar"/>
    <d v="2024-11-05T00:00:00"/>
    <s v="TATA AIG T&amp;M"/>
    <n v="27"/>
    <n v="9"/>
    <n v="171"/>
    <n v="0"/>
    <n v="207"/>
    <n v="171"/>
    <n v="1"/>
    <n v="0"/>
    <s v="Good"/>
    <s v="TATA AIG T&amp;M"/>
    <x v="0"/>
    <s v="Yes"/>
    <s v="TATA AIG"/>
    <m/>
    <x v="0"/>
    <s v=""/>
    <m/>
  </r>
  <r>
    <n v="100536"/>
    <s v="Deepak Dharmraj Patil"/>
    <d v="2024-11-05T00:00:00"/>
    <s v="TATA AIG T&amp;M"/>
    <n v="45"/>
    <n v="9"/>
    <n v="153"/>
    <n v="0"/>
    <n v="207"/>
    <n v="153"/>
    <n v="1"/>
    <n v="0"/>
    <s v="Good"/>
    <s v="TATA AIG T&amp;M"/>
    <x v="0"/>
    <s v="Yes"/>
    <s v="TATA AIG"/>
    <m/>
    <x v="0"/>
    <s v=""/>
    <m/>
  </r>
  <r>
    <n v="100537"/>
    <s v="Shubham Bhanudas Chavan"/>
    <d v="2024-11-06T00:00:00"/>
    <s v="PayPal - T&amp;M"/>
    <n v="45"/>
    <n v="9"/>
    <n v="153"/>
    <n v="0"/>
    <n v="207"/>
    <n v="153"/>
    <n v="1"/>
    <n v="0"/>
    <s v="Good"/>
    <s v="PayPal - T&amp;M"/>
    <x v="0"/>
    <s v="Yes"/>
    <s v="PayPal"/>
    <m/>
    <x v="0"/>
    <s v=""/>
    <m/>
  </r>
  <r>
    <n v="100538"/>
    <s v="Rishika Patel"/>
    <d v="2024-11-11T00:00:00"/>
    <s v="HDFC Product - T&amp;M"/>
    <n v="36"/>
    <n v="9"/>
    <n v="162"/>
    <n v="0"/>
    <n v="207"/>
    <n v="162"/>
    <n v="1"/>
    <n v="0"/>
    <s v="Good"/>
    <s v="HDFC Product - T&amp;M"/>
    <x v="0"/>
    <s v="Yes"/>
    <s v="HDFC Product"/>
    <m/>
    <x v="0"/>
    <s v=""/>
    <m/>
  </r>
  <r>
    <n v="100542"/>
    <s v="Anilsingh Onkarsingh Kanpuriya"/>
    <d v="2024-11-26T00:00:00"/>
    <s v="TATA AIG T&amp;M"/>
    <n v="0"/>
    <n v="9"/>
    <n v="198"/>
    <n v="0"/>
    <n v="207"/>
    <n v="198"/>
    <n v="1"/>
    <n v="0"/>
    <s v="Good"/>
    <s v="TATA AIG T&amp;M"/>
    <x v="0"/>
    <s v="Yes"/>
    <s v="TATA AIG"/>
    <m/>
    <x v="0"/>
    <s v=""/>
    <m/>
  </r>
  <r>
    <n v="100543"/>
    <s v="Madhuri Tanaji Mali"/>
    <d v="2024-11-27T00:00:00"/>
    <s v="TATA AIG T&amp;M"/>
    <n v="0"/>
    <n v="9"/>
    <n v="198"/>
    <n v="0"/>
    <n v="207"/>
    <n v="198"/>
    <n v="1"/>
    <n v="0"/>
    <s v="Good"/>
    <s v="TATA AIG T&amp;M"/>
    <x v="0"/>
    <s v="Yes"/>
    <s v="TATA AIG"/>
    <m/>
    <x v="0"/>
    <s v=""/>
    <m/>
  </r>
  <r>
    <n v="100546"/>
    <s v="Utkarsh Chauhan Singh"/>
    <d v="2024-11-29T00:00:00"/>
    <s v="Avendus - T&amp;M"/>
    <n v="18"/>
    <n v="9"/>
    <n v="180"/>
    <n v="0"/>
    <n v="207"/>
    <n v="180"/>
    <n v="1"/>
    <n v="0"/>
    <s v="Good"/>
    <s v="Avendus - T&amp;M"/>
    <x v="0"/>
    <s v="Yes"/>
    <s v="Avendus"/>
    <m/>
    <x v="0"/>
    <s v=""/>
    <m/>
  </r>
  <r>
    <n v="100547"/>
    <s v="Suyash Nishikant Kamble"/>
    <d v="2024-11-29T00:00:00"/>
    <s v="TMS_Finance - Fixed_x000a_DS Smith - Pool"/>
    <n v="18"/>
    <n v="18"/>
    <n v="135"/>
    <n v="36"/>
    <n v="207"/>
    <n v="171"/>
    <n v="0.78947368421052633"/>
    <n v="0.21052631578947367"/>
    <s v="Critical"/>
    <s v="TMS_Finance - Fixed - B_x000a_DS Smith Pool - NB ( Project went on hold in mid)"/>
    <x v="1"/>
    <s v="Yes"/>
    <s v="TMS"/>
    <m/>
    <x v="0"/>
    <s v=""/>
    <m/>
  </r>
  <r>
    <n v="100548"/>
    <s v="Yabesh Mani"/>
    <d v="2024-12-02T00:00:00"/>
    <s v="Talent Pool - India"/>
    <n v="9"/>
    <n v="9"/>
    <n v="0"/>
    <n v="189"/>
    <n v="207"/>
    <n v="189"/>
    <n v="0"/>
    <n v="1"/>
    <s v="Critical"/>
    <s v="Talent Pool - India - NB"/>
    <x v="8"/>
    <s v="No"/>
    <s v="Resignation_Bench"/>
    <m/>
    <x v="1"/>
    <d v="2026-04-02T00:00:00"/>
    <m/>
  </r>
  <r>
    <n v="100561"/>
    <s v="Khushboo Singh"/>
    <d v="2024-12-04T00:00:00"/>
    <s v="Emory - Fixed"/>
    <n v="27"/>
    <n v="9"/>
    <n v="171"/>
    <n v="0"/>
    <n v="207"/>
    <n v="171"/>
    <n v="1"/>
    <n v="0"/>
    <s v="Good"/>
    <s v="Emory - Fixed"/>
    <x v="1"/>
    <s v="Yes"/>
    <s v="Emory"/>
    <m/>
    <x v="0"/>
    <s v=""/>
    <m/>
  </r>
  <r>
    <n v="100562"/>
    <s v="Kushwaha Naveenkumar Jugalkishor"/>
    <d v="2024-12-09T00:00:00"/>
    <s v="Datafactory - T&amp;M"/>
    <n v="54"/>
    <n v="18"/>
    <n v="135"/>
    <n v="0"/>
    <n v="207"/>
    <n v="135"/>
    <n v="1"/>
    <n v="0"/>
    <s v="Good"/>
    <s v="Datafactory - T&amp;M"/>
    <x v="0"/>
    <s v="Yes"/>
    <s v="Datafactory"/>
    <m/>
    <x v="0"/>
    <s v=""/>
    <m/>
  </r>
  <r>
    <n v="100563"/>
    <s v="Safeer Khan"/>
    <d v="2024-12-09T00:00:00"/>
    <s v="DS Smith - Pool_x000a_Kemsley Mills"/>
    <n v="36"/>
    <n v="18"/>
    <n v="0"/>
    <n v="153"/>
    <n v="207"/>
    <n v="153"/>
    <n v="0"/>
    <n v="1"/>
    <s v="Critical"/>
    <s v="DS Smith - Pool - NB_x000a_Kemsley Mills - NB"/>
    <x v="1"/>
    <s v="No"/>
    <s v="Kemsley Mills"/>
    <m/>
    <x v="0"/>
    <s v=""/>
    <m/>
  </r>
  <r>
    <n v="100564"/>
    <s v="Shruti Pramod Govindan"/>
    <d v="2024-12-10T00:00:00"/>
    <s v="E Invoicing - Fixed"/>
    <n v="67.5"/>
    <n v="18"/>
    <n v="76.5"/>
    <n v="45"/>
    <n v="207"/>
    <n v="121.5"/>
    <n v="0.62962962962962965"/>
    <n v="0.37037037037037035"/>
    <s v="Critical"/>
    <s v="E Invoicing - Fixed"/>
    <x v="1"/>
    <s v="Yes"/>
    <s v="E Invoicing"/>
    <m/>
    <x v="0"/>
    <s v=""/>
    <m/>
  </r>
  <r>
    <n v="100565"/>
    <s v="Faguni"/>
    <d v="2024-12-10T00:00:00"/>
    <s v="Databricks Center of Excellence (CoE) - Internal"/>
    <n v="18"/>
    <n v="9"/>
    <n v="0"/>
    <n v="180"/>
    <n v="207"/>
    <n v="180"/>
    <n v="0"/>
    <n v="1"/>
    <s v="Critical"/>
    <s v="Databricks Center of Excellence (CoE) - Internal - NB"/>
    <x v="11"/>
    <s v="No"/>
    <s v="Databricks Center of Excellence (CoE) - Internal"/>
    <m/>
    <x v="0"/>
    <s v=""/>
    <m/>
  </r>
  <r>
    <n v="100567"/>
    <s v="Swapnil Ashok Sonawane"/>
    <d v="2024-12-16T00:00:00"/>
    <s v="ABSLI Qlik Dashboard - Fixed &amp; Fixed T&amp;M"/>
    <n v="27"/>
    <n v="9"/>
    <n v="171"/>
    <n v="0"/>
    <n v="207"/>
    <n v="171"/>
    <n v="1"/>
    <n v="0"/>
    <s v="Good"/>
    <s v="ABSLI Qlik Dashboard - Fixed &amp; Fixed T&amp;M"/>
    <x v="1"/>
    <s v="Yes"/>
    <s v="ABSLI"/>
    <m/>
    <x v="0"/>
    <s v=""/>
    <m/>
  </r>
  <r>
    <n v="100566"/>
    <s v="Uddhav Dhondiba Dahatonde"/>
    <d v="2024-12-16T00:00:00"/>
    <s v="BCG -T&amp;M"/>
    <n v="27"/>
    <n v="9"/>
    <n v="171"/>
    <n v="0"/>
    <n v="207"/>
    <n v="171"/>
    <n v="1"/>
    <n v="0"/>
    <s v="Good"/>
    <s v="BCG -T&amp;M"/>
    <x v="0"/>
    <s v="Yes"/>
    <s v="BCG"/>
    <m/>
    <x v="0"/>
    <s v=""/>
    <m/>
  </r>
  <r>
    <n v="100570"/>
    <s v="Rushali Madhukar Muratakar"/>
    <d v="2024-12-18T00:00:00"/>
    <s v="Talent Pool - India"/>
    <n v="0"/>
    <n v="9"/>
    <n v="0"/>
    <n v="171"/>
    <n v="180"/>
    <n v="171"/>
    <n v="0"/>
    <n v="1"/>
    <s v="Critical"/>
    <s v="Talent Pool - India - NB"/>
    <x v="8"/>
    <s v="No"/>
    <s v="Resignation_Bench"/>
    <m/>
    <x v="1"/>
    <d v="2025-12-31T00:00:00"/>
    <m/>
  </r>
  <r>
    <n v="100572"/>
    <s v="Dhaval Haresh Kacha"/>
    <d v="2024-12-19T00:00:00"/>
    <s v="Emory - Fixed"/>
    <n v="58.5"/>
    <n v="9"/>
    <n v="139.5"/>
    <n v="0"/>
    <n v="207"/>
    <n v="139.5"/>
    <n v="1"/>
    <n v="0"/>
    <s v="Good"/>
    <s v="Emory - Fixed"/>
    <x v="1"/>
    <s v="Yes"/>
    <s v="Emory"/>
    <m/>
    <x v="0"/>
    <s v=""/>
    <m/>
  </r>
  <r>
    <n v="100571"/>
    <s v="Kalyani Dilip Sonawane"/>
    <d v="2024-12-19T00:00:00"/>
    <s v="Trackchain - Argus - Fixed _x000a_E2E South - T&amp;M_x000a_POC"/>
    <n v="54"/>
    <n v="18"/>
    <n v="54"/>
    <n v="81"/>
    <n v="207"/>
    <n v="135"/>
    <n v="0.4"/>
    <n v="0.6"/>
    <s v="Critical"/>
    <s v="Trackchain - Argus - Fixed - NB_x000a_E2E South - T&amp;M - B_x000a_POC - NB"/>
    <x v="0"/>
    <s v="Yes"/>
    <s v="E2E South"/>
    <m/>
    <x v="0"/>
    <s v=""/>
    <m/>
  </r>
  <r>
    <n v="100574"/>
    <s v="Omkar Satish More"/>
    <d v="2024-12-23T00:00:00"/>
    <s v="Talent Pool - India_x000a_TATA AIG AIxponent Implementation - Fixed"/>
    <n v="45"/>
    <n v="9"/>
    <n v="5"/>
    <n v="148"/>
    <n v="207"/>
    <n v="153"/>
    <n v="3.2679738562091505E-2"/>
    <n v="0.9673202614379085"/>
    <s v="Critical"/>
    <s v="Talent Pool - India - NB_x000a_TATA AIG AIxponent Implementation - Fixed - B"/>
    <x v="3"/>
    <s v="No"/>
    <s v="Bench"/>
    <m/>
    <x v="0"/>
    <s v=""/>
    <m/>
  </r>
  <r>
    <n v="100575"/>
    <s v="Vaishnavi Kaklij"/>
    <d v="2024-12-23T00:00:00"/>
    <s v="Talent Pool - India"/>
    <n v="0"/>
    <n v="9"/>
    <n v="0"/>
    <n v="198"/>
    <n v="207"/>
    <n v="198"/>
    <n v="0"/>
    <n v="1"/>
    <s v="Critical"/>
    <s v="Talent Pool - India - NB"/>
    <x v="3"/>
    <s v="No"/>
    <s v="Bench"/>
    <m/>
    <x v="0"/>
    <s v=""/>
    <m/>
  </r>
  <r>
    <n v="100576"/>
    <s v="Shivam Subhash Doddamani"/>
    <d v="2024-12-30T00:00:00"/>
    <s v="T&amp;M Requirement-Adani-Data Engineer(EY) - T&amp;M"/>
    <n v="36"/>
    <n v="9"/>
    <n v="162"/>
    <n v="0"/>
    <n v="207"/>
    <n v="162"/>
    <n v="1"/>
    <n v="0"/>
    <s v="Good"/>
    <s v="T&amp;M Requirement-Adani-Data Engineer(EY) - T&amp;M"/>
    <x v="0"/>
    <s v="Yes"/>
    <s v="T&amp;M Requirement-Adani-Data Engineer(EY)"/>
    <m/>
    <x v="0"/>
    <s v=""/>
    <m/>
  </r>
  <r>
    <n v="100577"/>
    <s v="Huzefa Shabbir Sadikot"/>
    <d v="2024-12-31T00:00:00"/>
    <s v="Xanadu - T&amp;M"/>
    <n v="76.5"/>
    <n v="9"/>
    <n v="121.5"/>
    <n v="0"/>
    <n v="207"/>
    <n v="121.5"/>
    <n v="1"/>
    <n v="0"/>
    <s v="Good"/>
    <s v="Xanadu - T&amp;M"/>
    <x v="0"/>
    <s v="Yes"/>
    <s v="Xanadu"/>
    <m/>
    <x v="0"/>
    <s v=""/>
    <m/>
  </r>
  <r>
    <n v="100580"/>
    <s v="Bhagyashree Bapu Navale"/>
    <d v="2025-01-06T00:00:00"/>
    <s v="Odyssey Hotels Group"/>
    <n v="9"/>
    <n v="9"/>
    <n v="189"/>
    <n v="0"/>
    <n v="207"/>
    <n v="189"/>
    <n v="1"/>
    <n v="0"/>
    <s v="Good"/>
    <s v="Odyssey Hotels Group"/>
    <x v="1"/>
    <s v="Yes"/>
    <s v="Odyssey"/>
    <m/>
    <x v="0"/>
    <s v=""/>
    <m/>
  </r>
  <r>
    <n v="100585"/>
    <s v="Yogeshkumar Narshibhai Mav"/>
    <d v="2025-01-07T00:00:00"/>
    <s v="ABSLI Qlik Dashboard - Fixed &amp; Fixed T&amp;M_x000a_GCPL - T&amp;M_x000a_ICICI Pru amc - T&amp;M_x000a_Mondelez Digital Dms - T&amp;M"/>
    <n v="45"/>
    <n v="9"/>
    <n v="114.5"/>
    <n v="38.5"/>
    <n v="207"/>
    <n v="153"/>
    <n v="0.74836601307189543"/>
    <n v="0.25163398692810457"/>
    <s v="Critical"/>
    <s v="ABSLI Qlik Dashboard - Fixed &amp; Fixed T&amp;M - B_x000a_GCPL - T&amp;M - NB_x000a_ICICI Pru amc - T&amp;M - NB_x000a_Mondelez Digital Dms - T&amp;M - B"/>
    <x v="1"/>
    <s v="Yes"/>
    <s v="ABSLI"/>
    <m/>
    <x v="0"/>
    <s v=""/>
    <m/>
  </r>
  <r>
    <n v="100589"/>
    <s v="Sujeet Sharma"/>
    <d v="2025-01-13T00:00:00"/>
    <s v="DIOH 360 CR - Fixed"/>
    <n v="45"/>
    <n v="9"/>
    <n v="153"/>
    <n v="0"/>
    <n v="207"/>
    <n v="153"/>
    <n v="1"/>
    <n v="0"/>
    <s v="Good"/>
    <s v="DIOH 360 - B"/>
    <x v="1"/>
    <s v="Yes"/>
    <s v="DIOH 360"/>
    <m/>
    <x v="0"/>
    <s v=""/>
    <m/>
  </r>
  <r>
    <n v="100592"/>
    <s v="Varun Arjun Bari"/>
    <d v="2025-01-21T00:00:00"/>
    <s v="PSA IP Integration_x000a_Talent Pool - India"/>
    <n v="18"/>
    <n v="18"/>
    <n v="135"/>
    <n v="36"/>
    <n v="207"/>
    <n v="171"/>
    <n v="0.78947368421052633"/>
    <n v="0.21052631578947367"/>
    <s v="Critical"/>
    <s v="PSA IP Integration - B_x000a_Talent Pool - India - NB"/>
    <x v="1"/>
    <s v="Yes"/>
    <s v="PSA IP Integration"/>
    <m/>
    <x v="0"/>
    <s v=""/>
    <m/>
  </r>
  <r>
    <n v="100595"/>
    <s v="Shubham Sudhir Tankhiwale"/>
    <d v="2025-01-27T00:00:00"/>
    <s v="Data Foundation for Databricks PoC - T&amp;M"/>
    <n v="9"/>
    <n v="9"/>
    <n v="189"/>
    <n v="0"/>
    <n v="207"/>
    <n v="189"/>
    <n v="1"/>
    <n v="0"/>
    <s v="Good"/>
    <s v="Data Foundation for Databricks PoC - T&amp;M"/>
    <x v="0"/>
    <s v="Yes"/>
    <s v="Data Foundation for Databricks PoC"/>
    <m/>
    <x v="0"/>
    <s v=""/>
    <m/>
  </r>
  <r>
    <n v="100597"/>
    <s v="Shraddha Rajesh Ingawale"/>
    <d v="2025-01-27T00:00:00"/>
    <s v="ICICI Pru amc - T&amp;M"/>
    <n v="36"/>
    <n v="9"/>
    <n v="162"/>
    <n v="0"/>
    <n v="207"/>
    <n v="162"/>
    <n v="1"/>
    <n v="0"/>
    <s v="Good"/>
    <s v="ICICI Pru amc - T&amp;M"/>
    <x v="0"/>
    <s v="Yes"/>
    <s v="ICICI"/>
    <m/>
    <x v="0"/>
    <s v=""/>
    <m/>
  </r>
  <r>
    <n v="100600"/>
    <s v="Nitesh Kumar"/>
    <d v="2025-02-03T00:00:00"/>
    <s v="Odyssey Hotels Group"/>
    <n v="31.5"/>
    <n v="9"/>
    <n v="166.5"/>
    <n v="0"/>
    <n v="207"/>
    <n v="166.5"/>
    <n v="1"/>
    <n v="0"/>
    <s v="Good"/>
    <s v="Odyssey Hotels Group"/>
    <x v="1"/>
    <s v="Yes"/>
    <s v="Odyssey"/>
    <m/>
    <x v="0"/>
    <s v=""/>
    <m/>
  </r>
  <r>
    <n v="100601"/>
    <s v="Nishant Kumar"/>
    <d v="2025-02-03T00:00:00"/>
    <s v="Keka Dashboard - Internal"/>
    <n v="18"/>
    <n v="9"/>
    <n v="0"/>
    <n v="180"/>
    <n v="207"/>
    <n v="180"/>
    <n v="0"/>
    <n v="1"/>
    <s v="Critical"/>
    <s v="Keka Dashboard - Internal - NB ( will be assigned to Lids)"/>
    <x v="3"/>
    <s v="No"/>
    <s v="Bench"/>
    <m/>
    <x v="0"/>
    <s v=""/>
    <m/>
  </r>
  <r>
    <n v="100602"/>
    <s v="Kushang Mukesh Dajiwala"/>
    <d v="2025-02-04T00:00:00"/>
    <s v="Talent Pool - India_x000a_Keka Dashboard - Internal_x000a_Emory - Fixed"/>
    <n v="54"/>
    <n v="9"/>
    <n v="45"/>
    <n v="99"/>
    <n v="207"/>
    <n v="144"/>
    <n v="0.3125"/>
    <n v="0.6875"/>
    <s v="Critical"/>
    <s v="Keka Dashboard - Internal - NB_x000a_Emory - B"/>
    <x v="3"/>
    <s v="No"/>
    <s v="Bench"/>
    <m/>
    <x v="0"/>
    <s v=""/>
    <m/>
  </r>
  <r>
    <n v="100603"/>
    <s v="Abhishek Bhimraj Kangane"/>
    <d v="2025-02-04T00:00:00"/>
    <s v="Odyssey Hotels Group"/>
    <n v="13.5"/>
    <n v="9"/>
    <n v="184.5"/>
    <n v="0"/>
    <n v="207"/>
    <n v="184.5"/>
    <n v="1"/>
    <n v="0"/>
    <s v="Good"/>
    <s v="Odyssey Hotels Group"/>
    <x v="1"/>
    <s v="Yes"/>
    <s v="Odyssey"/>
    <m/>
    <x v="0"/>
    <s v=""/>
    <m/>
  </r>
  <r>
    <n v="100604"/>
    <s v="Aditya Ashok Mhatre"/>
    <d v="2025-02-05T00:00:00"/>
    <s v="Novel Jewels Opp ( Power BI + SQL ) - T&amp;M"/>
    <n v="18"/>
    <n v="9"/>
    <n v="0"/>
    <n v="180"/>
    <n v="207"/>
    <n v="180"/>
    <n v="0"/>
    <n v="1"/>
    <s v="Critical"/>
    <s v="Novel Jewels Opp ( Power BI + SQL ) - T&amp;M - NB"/>
    <x v="0"/>
    <s v="No"/>
    <s v="Novel Jewels Opp"/>
    <m/>
    <x v="0"/>
    <s v=""/>
    <m/>
  </r>
  <r>
    <n v="100605"/>
    <s v="Prasad Besikrao"/>
    <d v="2025-02-06T00:00:00"/>
    <s v="EY Adani to Databricks Data Engineer - T&amp;M"/>
    <n v="9"/>
    <n v="9"/>
    <n v="189"/>
    <n v="0"/>
    <n v="207"/>
    <n v="189"/>
    <n v="1"/>
    <n v="0"/>
    <s v="Good"/>
    <s v="EY Adani to Databricks Data Engineer - T&amp;M"/>
    <x v="0"/>
    <s v="Yes"/>
    <s v="EY Adani to Databricks Data Engineer"/>
    <m/>
    <x v="0"/>
    <s v=""/>
    <m/>
  </r>
  <r>
    <n v="100606"/>
    <s v="Harshit Singh"/>
    <d v="2025-02-06T00:00:00"/>
    <s v="Adani Logistics"/>
    <n v="9"/>
    <n v="9"/>
    <n v="189"/>
    <n v="0"/>
    <n v="207"/>
    <n v="189"/>
    <n v="1"/>
    <n v="0"/>
    <s v="Good"/>
    <s v="Adani Logistics"/>
    <x v="1"/>
    <s v="Yes"/>
    <s v="Adani Logistics"/>
    <m/>
    <x v="0"/>
    <s v=""/>
    <m/>
  </r>
  <r>
    <n v="100609"/>
    <s v="Rajiv Srinivas Bandaru"/>
    <d v="2025-02-06T00:00:00"/>
    <s v="Talent Pool - India"/>
    <n v="0"/>
    <n v="9"/>
    <n v="0"/>
    <n v="135"/>
    <n v="144"/>
    <n v="135"/>
    <n v="0"/>
    <n v="1"/>
    <s v="Critical"/>
    <s v="Talent Pool - India - NB"/>
    <x v="8"/>
    <s v="No"/>
    <s v="Resignation_Bench"/>
    <m/>
    <x v="1"/>
    <d v="2025-12-26T00:00:00"/>
    <m/>
  </r>
  <r>
    <n v="100612"/>
    <s v="Karan Santosh Sadawana"/>
    <d v="2025-02-11T00:00:00"/>
    <s v="Trackchain - Argus - Fixed _x000a_RCA with Gen AI"/>
    <n v="54"/>
    <n v="18"/>
    <n v="135"/>
    <n v="0"/>
    <n v="207"/>
    <n v="135"/>
    <n v="1"/>
    <n v="0"/>
    <s v="Good"/>
    <s v="Trackchain - Argus - Fixed "/>
    <x v="1"/>
    <s v="Yes"/>
    <s v="Trackchain - Argus"/>
    <m/>
    <x v="0"/>
    <s v=""/>
    <m/>
  </r>
  <r>
    <n v="100613"/>
    <s v="Sowndarya Sri"/>
    <d v="2025-02-12T00:00:00"/>
    <s v="AIXponent - Internal"/>
    <n v="0"/>
    <n v="18"/>
    <n v="0"/>
    <n v="189"/>
    <n v="207"/>
    <n v="189"/>
    <n v="0"/>
    <n v="1"/>
    <s v="Critical"/>
    <s v="AIXponent - Internal - NB"/>
    <x v="6"/>
    <s v="No"/>
    <s v="Aixponent"/>
    <m/>
    <x v="0"/>
    <s v=""/>
    <m/>
  </r>
  <r>
    <n v="100614"/>
    <s v="Soni Nakul"/>
    <d v="2025-02-13T00:00:00"/>
    <s v="POC_x000a_Data Coach - Fixed_x000a_Emory - Fixed"/>
    <n v="36"/>
    <n v="9"/>
    <n v="49"/>
    <n v="113"/>
    <n v="207"/>
    <n v="162"/>
    <n v="0.30246913580246915"/>
    <n v="0.69753086419753085"/>
    <s v="Critical"/>
    <s v="POC - NB_x000a_Data Coach -B _x000a_Emory - Fixed - B"/>
    <x v="1"/>
    <s v="Yes"/>
    <s v="Emory"/>
    <m/>
    <x v="0"/>
    <s v=""/>
    <m/>
  </r>
  <r>
    <n v="300025"/>
    <s v="Anup Krishnan"/>
    <d v="2025-02-13T00:00:00"/>
    <s v="Odyssey Hotels Group"/>
    <n v="9"/>
    <n v="9"/>
    <n v="189"/>
    <n v="0"/>
    <n v="207"/>
    <n v="189"/>
    <n v="1"/>
    <n v="0"/>
    <s v="Good"/>
    <s v="Odyssey Hotels Group"/>
    <x v="1"/>
    <s v="Yes"/>
    <s v="Odyssey"/>
    <m/>
    <x v="0"/>
    <s v=""/>
    <m/>
  </r>
  <r>
    <n v="100615"/>
    <s v="Jitender Kumar"/>
    <d v="2025-02-14T00:00:00"/>
    <s v="BCG -T&amp;M"/>
    <n v="36"/>
    <n v="9"/>
    <n v="162"/>
    <n v="0"/>
    <n v="207"/>
    <n v="162"/>
    <n v="1"/>
    <n v="0"/>
    <s v="Good"/>
    <s v="BCG -T&amp;M"/>
    <x v="0"/>
    <s v="Yes"/>
    <s v="BCG"/>
    <m/>
    <x v="0"/>
    <s v=""/>
    <m/>
  </r>
  <r>
    <n v="100616"/>
    <s v="Avinash Dharmik"/>
    <d v="2025-02-17T00:00:00"/>
    <s v="Data Foundation for Databricks PoC - T&amp;M_x000a_Titan Finance"/>
    <n v="9"/>
    <n v="9"/>
    <n v="0"/>
    <n v="189"/>
    <n v="207"/>
    <n v="189"/>
    <n v="0"/>
    <n v="1"/>
    <s v="Critical"/>
    <s v="Data Foundation for Databricks PoC - T&amp;M - NB_x000a_Titan Finance- NB"/>
    <x v="12"/>
    <s v="No"/>
    <s v="Resgination_Project"/>
    <m/>
    <x v="1"/>
    <d v="2026-01-31T00:00:00"/>
    <m/>
  </r>
  <r>
    <n v="100617"/>
    <s v="Jyoti Tandon"/>
    <d v="2025-02-17T00:00:00"/>
    <s v="E Invoicing - Fixed"/>
    <n v="18"/>
    <n v="18"/>
    <n v="171"/>
    <n v="0"/>
    <n v="207"/>
    <n v="171"/>
    <n v="1"/>
    <n v="0"/>
    <s v="Good"/>
    <s v="E Invoicing - Fixed"/>
    <x v="1"/>
    <s v="Yes"/>
    <s v="E Invoicing"/>
    <m/>
    <x v="0"/>
    <s v=""/>
    <m/>
  </r>
  <r>
    <n v="100620"/>
    <s v="Amirt Anand "/>
    <d v="2025-02-20T00:00:00"/>
    <s v="TATA AIG T&amp;M"/>
    <n v="0"/>
    <n v="9"/>
    <n v="198"/>
    <n v="0"/>
    <n v="207"/>
    <n v="198"/>
    <n v="1"/>
    <n v="0"/>
    <s v="Good"/>
    <s v="TATA AIG T&amp;M"/>
    <x v="0"/>
    <s v="Yes"/>
    <s v="TATA AIG"/>
    <m/>
    <x v="0"/>
    <s v=""/>
    <m/>
  </r>
  <r>
    <n v="100621"/>
    <s v="Gayatri Kamal Paul"/>
    <d v="2025-02-24T00:00:00"/>
    <s v="HDFC Life Data Lab - T&amp;M"/>
    <n v="27"/>
    <n v="9"/>
    <n v="171"/>
    <n v="0"/>
    <n v="207"/>
    <n v="171"/>
    <n v="1"/>
    <n v="0"/>
    <s v="Good"/>
    <s v="HDFC Life Data Lab - T&amp;M"/>
    <x v="0"/>
    <s v="Yes"/>
    <s v="HDFC Life Data Lab"/>
    <m/>
    <x v="0"/>
    <s v=""/>
    <m/>
  </r>
  <r>
    <n v="100624"/>
    <s v="Pragati Jha"/>
    <d v="2025-02-24T00:00:00"/>
    <s v="TATA AIG T&amp;M"/>
    <n v="45"/>
    <n v="9"/>
    <n v="153"/>
    <n v="0"/>
    <n v="207"/>
    <n v="153"/>
    <n v="1"/>
    <n v="0"/>
    <s v="Good"/>
    <s v="TATA AIG T&amp;M"/>
    <x v="0"/>
    <s v="Yes"/>
    <s v="TATA AIG"/>
    <m/>
    <x v="0"/>
    <s v=""/>
    <m/>
  </r>
  <r>
    <n v="100703"/>
    <s v="Apoorv Mathur"/>
    <d v="2025-02-25T00:00:00"/>
    <s v="Gen AI Deployment for Contracts Use Case - Fixed "/>
    <n v="13.5"/>
    <n v="18"/>
    <n v="175.5"/>
    <n v="0"/>
    <n v="207"/>
    <n v="175.5"/>
    <n v="1"/>
    <n v="0"/>
    <s v="Good"/>
    <s v="Gen AI Deployment for Contracts Use Case - Fixed "/>
    <x v="1"/>
    <s v="Yes"/>
    <s v="Gen AI Deployment for Contracts Use Case"/>
    <m/>
    <x v="0"/>
    <s v=""/>
    <m/>
  </r>
  <r>
    <n v="100625"/>
    <s v="Arushi Bhagwati"/>
    <d v="2025-02-26T00:00:00"/>
    <s v="Talent Pool - India_x000a_Data Coach - Fixed"/>
    <n v="9"/>
    <n v="9"/>
    <n v="81"/>
    <n v="108"/>
    <n v="207"/>
    <n v="189"/>
    <n v="0.42857142857142855"/>
    <n v="0.5714285714285714"/>
    <s v="Critical"/>
    <s v="Talent Pool - India - NB_x000a_Data Coach - Fixed - B"/>
    <x v="3"/>
    <s v="No"/>
    <s v="Bench"/>
    <m/>
    <x v="0"/>
    <s v=""/>
    <m/>
  </r>
  <r>
    <n v="100627"/>
    <s v="Mayank Swaroop Mathur"/>
    <d v="2025-03-03T00:00:00"/>
    <s v="AIXponent - Internal_x000a_Talent Pool - India_x000a_TATA AIG AIxponent Implementation - Fixed"/>
    <n v="36"/>
    <n v="9"/>
    <n v="17"/>
    <n v="145"/>
    <n v="207"/>
    <n v="162"/>
    <n v="0.10493827160493827"/>
    <n v="0.89506172839506171"/>
    <s v="Critical"/>
    <s v="TATA AIG AIxponent Implementation - Fixed - B_x000a_Talent Pool - India - NB_x000a_( Currently Working on Task assigned by Ram Sir, 2 week task )"/>
    <x v="8"/>
    <s v="No"/>
    <s v="Resignation_Bench"/>
    <m/>
    <x v="1"/>
    <d v="2026-04-02T00:00:00"/>
    <m/>
  </r>
  <r>
    <n v="100628"/>
    <s v="Mayur Ashok Kukreja"/>
    <d v="2025-03-03T00:00:00"/>
    <s v="Intellicus report migration to Qlik Sense  - T&amp;M "/>
    <n v="54"/>
    <n v="9"/>
    <n v="144"/>
    <n v="0"/>
    <n v="207"/>
    <n v="144"/>
    <n v="1"/>
    <n v="0"/>
    <s v="Good"/>
    <s v="Intellicus report migration to Qlik Sense  - T&amp;M "/>
    <x v="0"/>
    <s v="Yes"/>
    <s v="Intellicus report migration to Qlik Sense"/>
    <m/>
    <x v="0"/>
    <s v=""/>
    <m/>
  </r>
  <r>
    <n v="100633"/>
    <s v="Pratik Bhabad"/>
    <d v="2025-03-10T00:00:00"/>
    <s v="SBI Life T&amp;M"/>
    <n v="45"/>
    <n v="9"/>
    <n v="153"/>
    <n v="0"/>
    <n v="207"/>
    <n v="153"/>
    <n v="1"/>
    <n v="0"/>
    <s v="Good"/>
    <s v="SBI Life T&amp;M - B First full week on Leave"/>
    <x v="0"/>
    <s v="Yes"/>
    <s v="SBI Life"/>
    <m/>
    <x v="0"/>
    <s v=""/>
    <m/>
  </r>
  <r>
    <n v="100634"/>
    <s v="Suryank Ashok Singh"/>
    <d v="2025-03-11T00:00:00"/>
    <s v="Adani Ahemdabad T&amp;M_x000a_IIFL Risk Dashboard Development on Qlik Sense - Fixed"/>
    <n v="45"/>
    <n v="9"/>
    <n v="85.5"/>
    <n v="67.5"/>
    <n v="207"/>
    <n v="153"/>
    <n v="0.55882352941176472"/>
    <n v="0.44117647058823528"/>
    <s v="Critical"/>
    <s v="Adani Ahemdabad T&amp;M - NB_x000a_IIFL Risk Dashboard Development on Qlik Sense - Fixed - B"/>
    <x v="0"/>
    <s v="No"/>
    <s v="Adani Ahemdabad T&amp;M"/>
    <m/>
    <x v="0"/>
    <s v=""/>
    <m/>
  </r>
  <r>
    <n v="50008"/>
    <s v="Ajay Harish Sasane"/>
    <d v="2025-03-12T00:00:00"/>
    <s v="Tera - T&amp;M"/>
    <n v="9"/>
    <n v="18"/>
    <n v="180"/>
    <n v="0"/>
    <n v="207"/>
    <n v="180"/>
    <n v="1"/>
    <n v="0"/>
    <s v="Good"/>
    <s v="Tera - T&amp;M"/>
    <x v="0"/>
    <s v="Yes"/>
    <s v="Tera"/>
    <m/>
    <x v="0"/>
    <s v=""/>
    <m/>
  </r>
  <r>
    <n v="100641"/>
    <s v="Kumar Mayank"/>
    <d v="2025-03-17T00:00:00"/>
    <s v="Translation Application_x000a_RCA with Gen AI"/>
    <n v="9"/>
    <n v="18"/>
    <n v="180"/>
    <n v="0"/>
    <n v="207"/>
    <n v="180"/>
    <n v="1"/>
    <n v="0"/>
    <s v="Good"/>
    <s v="Translation Application"/>
    <x v="1"/>
    <s v="Yes"/>
    <s v="Translation Application"/>
    <m/>
    <x v="0"/>
    <s v=""/>
    <m/>
  </r>
  <r>
    <n v="100637"/>
    <s v="Shubham Kumar"/>
    <d v="2025-03-17T00:00:00"/>
    <s v="Adani Ahemdabad T&amp;M_x000a_Keka Dashboard - Internal"/>
    <n v="72"/>
    <n v="9"/>
    <n v="54"/>
    <n v="72"/>
    <n v="207"/>
    <n v="126"/>
    <n v="0.42857142857142855"/>
    <n v="0.5714285714285714"/>
    <s v="Critical"/>
    <s v="Keka Dashboard - Internal - NB_x000a_will be aligned in Adani Ahemdabad from next week"/>
    <x v="3"/>
    <s v="No"/>
    <s v="Bench"/>
    <m/>
    <x v="0"/>
    <s v=""/>
    <m/>
  </r>
  <r>
    <n v="100636"/>
    <s v="Rajakumari Gundampadu"/>
    <d v="2025-03-17T00:00:00"/>
    <s v="Talent Pool - India"/>
    <n v="27"/>
    <n v="9"/>
    <n v="0"/>
    <n v="144"/>
    <n v="180"/>
    <n v="144"/>
    <n v="0"/>
    <n v="1"/>
    <s v="Critical"/>
    <s v="Talent Pool - India - NB"/>
    <x v="8"/>
    <s v="No"/>
    <s v="Resignation_Bench"/>
    <m/>
    <x v="1"/>
    <d v="2025-12-26T00:00:00"/>
    <m/>
  </r>
  <r>
    <n v="100645"/>
    <s v="Kunal Mahadev Sapkal"/>
    <d v="2025-03-20T00:00:00"/>
    <s v="Talent Pool - India"/>
    <n v="0"/>
    <n v="0"/>
    <n v="0"/>
    <n v="45"/>
    <n v="45"/>
    <n v="45"/>
    <n v="0"/>
    <n v="1"/>
    <s v="Critical"/>
    <s v="Talent Pool - India - NB"/>
    <x v="8"/>
    <s v="No"/>
    <s v="Resignation_Bench"/>
    <m/>
    <x v="1"/>
    <d v="2025-12-12T00:00:00"/>
    <m/>
  </r>
  <r>
    <n v="100646"/>
    <s v="Agasti Janardan Desai"/>
    <d v="2025-03-21T00:00:00"/>
    <s v="Datafactory - T&amp;M"/>
    <n v="45"/>
    <n v="18"/>
    <n v="144"/>
    <n v="0"/>
    <n v="207"/>
    <n v="144"/>
    <n v="1"/>
    <n v="0"/>
    <s v="Good"/>
    <s v="Datafactory - T&amp;M"/>
    <x v="0"/>
    <s v="Yes"/>
    <s v="Datafactory"/>
    <m/>
    <x v="0"/>
    <s v=""/>
    <m/>
  </r>
  <r>
    <n v="100647"/>
    <s v="ABDUL ASHIF"/>
    <d v="2025-03-24T00:00:00"/>
    <s v="Talent Pool - India"/>
    <n v="0"/>
    <n v="9"/>
    <n v="0"/>
    <n v="198"/>
    <n v="207"/>
    <n v="198"/>
    <n v="0"/>
    <n v="1"/>
    <s v="Critical"/>
    <s v="Talent Pool - India - NB"/>
    <x v="3"/>
    <s v="No"/>
    <s v="Bench"/>
    <m/>
    <x v="1"/>
    <s v=""/>
    <m/>
  </r>
  <r>
    <n v="100648"/>
    <s v="Gaurav Prakash Gawande"/>
    <d v="2025-03-24T00:00:00"/>
    <s v="Talent Pool - India"/>
    <n v="54"/>
    <n v="9"/>
    <n v="0"/>
    <n v="144"/>
    <n v="207"/>
    <n v="144"/>
    <n v="0"/>
    <n v="1"/>
    <s v="Critical"/>
    <s v="Talent Pool - India - NB First full week on Leave"/>
    <x v="3"/>
    <s v="No"/>
    <s v="Bench"/>
    <m/>
    <x v="0"/>
    <s v=""/>
    <m/>
  </r>
  <r>
    <n v="100649"/>
    <s v="Prashant Hanjage"/>
    <d v="2025-03-26T00:00:00"/>
    <s v="AIXponent - Internal_x000a_Qlik QAP_x000a_Data Coach - Fixed"/>
    <n v="54"/>
    <n v="9"/>
    <n v="28"/>
    <n v="116"/>
    <n v="207"/>
    <n v="144"/>
    <n v="0.19444444444444445"/>
    <n v="0.80555555555555558"/>
    <s v="Critical"/>
    <s v="AIXponent - Internal - NB_x000a_Qlik QAP - B_x000a_Data Coach - B "/>
    <x v="2"/>
    <s v="Yes"/>
    <s v="Data Coach"/>
    <m/>
    <x v="0"/>
    <s v=""/>
    <m/>
  </r>
  <r>
    <n v="100650"/>
    <s v="Mrunali Tejkumar Jambhulkar"/>
    <d v="2025-03-31T00:00:00"/>
    <s v="TATA AIG T&amp;M"/>
    <n v="63"/>
    <n v="9"/>
    <n v="135"/>
    <n v="0"/>
    <n v="207"/>
    <n v="135"/>
    <n v="1"/>
    <n v="0"/>
    <s v="Good"/>
    <s v="TATA AIG T&amp;M"/>
    <x v="0"/>
    <s v="Yes"/>
    <s v="TATA AIG"/>
    <m/>
    <x v="0"/>
    <s v=""/>
    <m/>
  </r>
  <r>
    <n v="100688"/>
    <s v="Manjeet Ravindra Bilthare"/>
    <d v="2025-04-01T00:00:00"/>
    <s v="Talent Pool - India_x000a_Data Coach - Fixed"/>
    <n v="81"/>
    <n v="9"/>
    <n v="72"/>
    <n v="45"/>
    <n v="207"/>
    <n v="117"/>
    <n v="0.61538461538461542"/>
    <n v="0.38461538461538464"/>
    <s v="Critical"/>
    <s v="Talent Pool - India - NB_x000a_Data Coach - Fixed - B"/>
    <x v="3"/>
    <s v="No"/>
    <s v="Bench"/>
    <m/>
    <x v="0"/>
    <s v=""/>
    <m/>
  </r>
  <r>
    <n v="100654"/>
    <s v="Kunal Kumar Singh"/>
    <d v="2025-04-02T00:00:00"/>
    <s v="TATA AIG T&amp;M"/>
    <n v="18"/>
    <n v="9"/>
    <n v="180"/>
    <n v="0"/>
    <n v="207"/>
    <n v="180"/>
    <n v="1"/>
    <n v="0"/>
    <s v="Good"/>
    <s v="TATA AIG T&amp;M"/>
    <x v="0"/>
    <s v="Yes"/>
    <s v="TATA AIG"/>
    <m/>
    <x v="0"/>
    <s v=""/>
    <m/>
  </r>
  <r>
    <n v="100656"/>
    <s v="Gourav Gulashankar Dubey"/>
    <d v="2025-04-03T00:00:00"/>
    <s v="Emory - Fixed"/>
    <n v="45"/>
    <n v="9"/>
    <n v="153"/>
    <n v="0"/>
    <n v="207"/>
    <n v="153"/>
    <n v="1"/>
    <n v="0"/>
    <s v="Good"/>
    <s v="Emory - Fixed"/>
    <x v="1"/>
    <s v="Yes"/>
    <s v="Emory"/>
    <m/>
    <x v="0"/>
    <s v=""/>
    <m/>
  </r>
  <r>
    <n v="100660"/>
    <s v="Aniket Mohan Gharate"/>
    <d v="2025-04-04T00:00:00"/>
    <s v="EY-Adani Ahmedabad - GCP Big query to Azure Data bricks migration - T&amp;M"/>
    <n v="27"/>
    <n v="9"/>
    <n v="171"/>
    <n v="0"/>
    <n v="207"/>
    <n v="171"/>
    <n v="1"/>
    <n v="0"/>
    <s v="Good"/>
    <s v="EY-Adani Ahmedabad - GCP Big query to Azure Data bricks migration - T&amp;M"/>
    <x v="0"/>
    <s v="Yes"/>
    <s v="EY-Adani Ahmedabad - GCP Big query to Azure Data bricks migration"/>
    <m/>
    <x v="0"/>
    <s v=""/>
    <m/>
  </r>
  <r>
    <n v="100662"/>
    <s v="Yogesh Mangesh Surve"/>
    <d v="2025-04-09T00:00:00"/>
    <s v="Adani Logistics"/>
    <n v="18"/>
    <n v="9"/>
    <n v="180"/>
    <n v="0"/>
    <n v="207"/>
    <n v="180"/>
    <n v="1"/>
    <n v="0"/>
    <s v="Good"/>
    <s v="Adani Logistics"/>
    <x v="1"/>
    <s v="Yes"/>
    <s v="Adani Logistics"/>
    <m/>
    <x v="0"/>
    <s v=""/>
    <m/>
  </r>
  <r>
    <n v="100663"/>
    <s v="Rutuja Santosh Gole"/>
    <d v="2025-04-14T00:00:00"/>
    <s v="POC"/>
    <n v="18"/>
    <n v="9"/>
    <n v="0"/>
    <n v="180"/>
    <n v="207"/>
    <n v="180"/>
    <n v="0"/>
    <n v="1"/>
    <s v="Critical"/>
    <s v="POC - NB"/>
    <x v="13"/>
    <s v="No"/>
    <s v="Bench"/>
    <m/>
    <x v="0"/>
    <s v=""/>
    <m/>
  </r>
  <r>
    <n v="100667"/>
    <s v="Ashwin Srinivasan"/>
    <d v="2025-04-14T00:00:00"/>
    <s v="AIXponent - Internal"/>
    <n v="36"/>
    <n v="9"/>
    <n v="0"/>
    <n v="162"/>
    <n v="207"/>
    <n v="162"/>
    <n v="0"/>
    <n v="1"/>
    <s v="Critical"/>
    <s v="AIXponent - Internal - NB"/>
    <x v="2"/>
    <s v="No"/>
    <s v="Aixponent"/>
    <m/>
    <x v="0"/>
    <s v=""/>
    <m/>
  </r>
  <r>
    <n v="100669"/>
    <s v="Aman Mohanty"/>
    <d v="2025-04-14T00:00:00"/>
    <s v="Afcons Qlik SaaS Migration_x000a_Talent Pool - India_x000a_Databricks Center of Excellence (CoE) - Internal"/>
    <n v="45"/>
    <n v="9"/>
    <n v="63.5"/>
    <n v="89.5"/>
    <n v="207"/>
    <n v="153"/>
    <n v="0.41503267973856212"/>
    <n v="0.58496732026143794"/>
    <s v="Critical"/>
    <s v="Afcons Qlik SaaS Migration - B_x000a_Talent Pool - India - NB_x000a_Databricks Center of Excellence (CoE) - Internal - NB"/>
    <x v="3"/>
    <s v="No"/>
    <s v="Bench"/>
    <m/>
    <x v="0"/>
    <s v=""/>
    <m/>
  </r>
  <r>
    <n v="100673"/>
    <s v="Vishakha Vijay Naik"/>
    <d v="2025-04-16T00:00:00"/>
    <s v="ABSLI Qlik Dashboard - Fixed &amp; Fixed T&amp;M"/>
    <n v="18"/>
    <n v="9"/>
    <n v="180"/>
    <n v="0"/>
    <n v="207"/>
    <n v="180"/>
    <n v="1"/>
    <n v="0"/>
    <s v="Good"/>
    <s v="ABSLI Qlik Dashboard - Fixed &amp; Fixed T&amp;M"/>
    <x v="1"/>
    <s v="Yes"/>
    <s v="ABSLI"/>
    <m/>
    <x v="0"/>
    <s v=""/>
    <m/>
  </r>
  <r>
    <n v="100674"/>
    <s v="Borse Akash Rajendra"/>
    <d v="2025-04-17T00:00:00"/>
    <s v="ICICI Pru amc - T&amp;M"/>
    <n v="36"/>
    <n v="9"/>
    <n v="162"/>
    <n v="0"/>
    <n v="207"/>
    <n v="162"/>
    <n v="1"/>
    <n v="0"/>
    <s v="Good"/>
    <s v="ICICI Pru amc - T&amp;M"/>
    <x v="0"/>
    <s v="Yes"/>
    <s v="ICICI"/>
    <m/>
    <x v="0"/>
    <s v=""/>
    <m/>
  </r>
  <r>
    <n v="100676"/>
    <s v="Vaibhav Soni"/>
    <d v="2025-04-28T00:00:00"/>
    <s v="Data Foundation for Databricks PoC - T&amp;M"/>
    <n v="27"/>
    <n v="9"/>
    <n v="171"/>
    <n v="0"/>
    <n v="207"/>
    <n v="171"/>
    <n v="1"/>
    <n v="0"/>
    <s v="Good"/>
    <s v="Data Foundation for Databricks PoC - T&amp;M"/>
    <x v="0"/>
    <s v="Yes"/>
    <s v="Data Foundation for Databricks PoC"/>
    <m/>
    <x v="0"/>
    <s v=""/>
    <m/>
  </r>
  <r>
    <n v="300033"/>
    <s v="Manjunath L"/>
    <d v="2025-04-28T00:00:00"/>
    <s v="HDFC Life Digi Lab - T&amp;M"/>
    <n v="0"/>
    <n v="9"/>
    <n v="198"/>
    <n v="0"/>
    <n v="207"/>
    <n v="198"/>
    <n v="1"/>
    <n v="0"/>
    <s v="Good"/>
    <s v="HDFC Life Digi Lab - T&amp;M"/>
    <x v="0"/>
    <s v="Yes"/>
    <s v="HDFC Life Digi Lab"/>
    <m/>
    <x v="0"/>
    <s v=""/>
    <m/>
  </r>
  <r>
    <n v="100677"/>
    <s v="Sudhanshu Rajesh Pandey"/>
    <d v="2025-04-29T00:00:00"/>
    <s v="Financial Services - T&amp;M"/>
    <n v="54"/>
    <n v="9"/>
    <n v="144"/>
    <n v="0"/>
    <n v="207"/>
    <n v="144"/>
    <n v="1"/>
    <n v="0"/>
    <s v="Good"/>
    <s v="Financial Services - T&amp;M - B First full week on Leave"/>
    <x v="0"/>
    <s v="Yes"/>
    <s v="Financial Services"/>
    <m/>
    <x v="0"/>
    <s v=""/>
    <m/>
  </r>
  <r>
    <n v="100678"/>
    <s v="Premjeet Chaubey"/>
    <d v="2025-04-29T00:00:00"/>
    <s v="Data Foundation for Databricks PoC - T&amp;M"/>
    <n v="18"/>
    <n v="9"/>
    <n v="180"/>
    <n v="0"/>
    <n v="207"/>
    <n v="180"/>
    <n v="1"/>
    <n v="0"/>
    <s v="Good"/>
    <s v="Data Foundation for Databricks PoC - T&amp;M"/>
    <x v="0"/>
    <s v="Yes"/>
    <s v="Data Foundation for Databricks PoC"/>
    <m/>
    <x v="0"/>
    <s v=""/>
    <m/>
  </r>
  <r>
    <n v="100682"/>
    <s v="Santosh Jadhav"/>
    <d v="2025-05-05T00:00:00"/>
    <s v="Talent Pool - India_x000a_IIFL Risk Dashboard Development on Qlik Sense - Fixed"/>
    <n v="9"/>
    <n v="9"/>
    <n v="162"/>
    <n v="27"/>
    <n v="207"/>
    <n v="189"/>
    <n v="0.8571428571428571"/>
    <n v="0.14285714285714285"/>
    <s v="Good"/>
    <s v="IIFL Risk Dashboard Development on Qlik Sense - Fixed"/>
    <x v="1"/>
    <s v="Yes"/>
    <s v="IIFL"/>
    <m/>
    <x v="0"/>
    <s v=""/>
    <m/>
  </r>
  <r>
    <n v="100683"/>
    <s v="Saadat Hillal Mukadam"/>
    <d v="2025-05-05T00:00:00"/>
    <s v="Data Foundation for Databricks PoC - T&amp;M"/>
    <n v="0"/>
    <n v="9"/>
    <n v="198"/>
    <n v="0"/>
    <n v="207"/>
    <n v="198"/>
    <n v="1"/>
    <n v="0"/>
    <s v="Good"/>
    <s v="Data Foundation for Databricks PoC - T&amp;M"/>
    <x v="0"/>
    <s v="Yes"/>
    <s v="Data Foundation for Databricks PoC"/>
    <m/>
    <x v="0"/>
    <s v=""/>
    <m/>
  </r>
  <r>
    <n v="100684"/>
    <s v="Snehal Braswel Dsouza"/>
    <d v="2025-05-05T00:00:00"/>
    <s v="Talent Pool - India_x000a_IIFL Risk Dashboard Development on Qlik Sense - Fixed"/>
    <n v="63"/>
    <n v="9"/>
    <n v="63"/>
    <n v="72"/>
    <n v="207"/>
    <n v="135"/>
    <n v="0.46666666666666667"/>
    <n v="0.53333333333333333"/>
    <s v="Critical"/>
    <s v="Talent Pool - India - NB_x000a_IIFL Risk Dashboard Development on Qlik Sense - Fixed - B"/>
    <x v="3"/>
    <s v="No"/>
    <s v="Bench"/>
    <m/>
    <x v="0"/>
    <s v=""/>
    <m/>
  </r>
  <r>
    <n v="100685"/>
    <s v="Ajay Sudam Zine"/>
    <d v="2025-05-07T00:00:00"/>
    <s v="Novel Jewels Opp ( Power BI + SQL ) - T&amp;M"/>
    <n v="45"/>
    <n v="9"/>
    <n v="153"/>
    <n v="0"/>
    <n v="207"/>
    <n v="153"/>
    <n v="1"/>
    <n v="0"/>
    <s v="Good"/>
    <s v="Novel Jewels Opp ( Power BI + SQL ) - T&amp;M"/>
    <x v="0"/>
    <s v="Yes"/>
    <s v="Novel Jewels Opp"/>
    <m/>
    <x v="0"/>
    <s v=""/>
    <m/>
  </r>
  <r>
    <n v="100689"/>
    <s v="Sachin Hiraman Kolwate"/>
    <d v="2025-05-12T00:00:00"/>
    <s v="TATA AIG T&amp;M"/>
    <n v="9"/>
    <n v="9"/>
    <n v="189"/>
    <n v="0"/>
    <n v="207"/>
    <n v="189"/>
    <n v="1"/>
    <n v="0"/>
    <s v="Good"/>
    <s v="TATA AIG T&amp;M"/>
    <x v="0"/>
    <s v="Yes"/>
    <s v="TATA AIG"/>
    <m/>
    <x v="0"/>
    <s v=""/>
    <m/>
  </r>
  <r>
    <n v="100690"/>
    <s v="Pankaj Gurunath Mali"/>
    <d v="2025-05-12T00:00:00"/>
    <s v="Talent Pool - India_x000a_Data Foundation for Databricks PoC - T&amp;M"/>
    <n v="0"/>
    <n v="9"/>
    <n v="90"/>
    <n v="108"/>
    <n v="207"/>
    <n v="198"/>
    <n v="0.45454545454545453"/>
    <n v="0.54545454545454541"/>
    <s v="Critical"/>
    <s v="Talent Pool - India - NB_x000a_Data Foundation for Databricks PoC - T&amp;M - B"/>
    <x v="3"/>
    <s v="No"/>
    <s v="Bench"/>
    <m/>
    <x v="0"/>
    <s v=""/>
    <m/>
  </r>
  <r>
    <n v="100692"/>
    <s v="Devi Sree"/>
    <d v="2025-05-16T00:00:00"/>
    <s v="Talent Pool - India_x000a_TATA AIG AIxponent Implementation - Fixed"/>
    <n v="36"/>
    <n v="9"/>
    <n v="64.25"/>
    <n v="97.75"/>
    <n v="207"/>
    <n v="162"/>
    <n v="0.39660493827160492"/>
    <n v="0.60339506172839508"/>
    <s v="Critical"/>
    <s v="Talent Pool - India - NB_x000a_TATA AIG AIxponent Implementation - Fixed - B"/>
    <x v="1"/>
    <s v="Yes"/>
    <s v="TATA AIG AIX"/>
    <m/>
    <x v="0"/>
    <s v=""/>
    <m/>
  </r>
  <r>
    <n v="100718"/>
    <s v="Satish Maruti Narvekar"/>
    <d v="2025-05-19T00:00:00"/>
    <s v="AIXponent - Internal"/>
    <n v="0"/>
    <n v="9"/>
    <n v="0"/>
    <n v="198"/>
    <n v="207"/>
    <n v="198"/>
    <n v="0"/>
    <n v="1"/>
    <s v="Critical"/>
    <s v="AIXponent - Internal - NB "/>
    <x v="2"/>
    <s v="No"/>
    <s v="Aixponent"/>
    <m/>
    <x v="0"/>
    <s v=""/>
    <m/>
  </r>
  <r>
    <n v="100694"/>
    <s v="Harihar Ajay Apamarjane"/>
    <d v="2025-05-19T00:00:00"/>
    <s v="AIXponent - Internal"/>
    <n v="27"/>
    <n v="9"/>
    <n v="0"/>
    <n v="171"/>
    <n v="207"/>
    <n v="171"/>
    <n v="0"/>
    <n v="1"/>
    <s v="Critical"/>
    <s v="AIXponent - Internal - NB "/>
    <x v="6"/>
    <s v="No"/>
    <s v="Aixponent"/>
    <m/>
    <x v="0"/>
    <s v=""/>
    <m/>
  </r>
  <r>
    <n v="100696"/>
    <s v="Arsh Rupainwar"/>
    <d v="2025-06-02T00:00:00"/>
    <s v="Data Lake &amp; Marts Automation - Fixed"/>
    <n v="27"/>
    <n v="9"/>
    <n v="171"/>
    <n v="0"/>
    <n v="207"/>
    <n v="171"/>
    <n v="1"/>
    <n v="0"/>
    <s v="Good"/>
    <s v="Data Lake &amp; Marts Automation - Fixed"/>
    <x v="1"/>
    <s v="Yes"/>
    <s v="Data Lake &amp; Marts Automation"/>
    <m/>
    <x v="0"/>
    <s v=""/>
    <m/>
  </r>
  <r>
    <n v="100698"/>
    <s v="Vaibhav Aggarwal"/>
    <d v="2025-06-09T00:00:00"/>
    <s v="Adani PORT - T&amp;M_x000a_Adani Logistics_x000a_Talent Pool - India_x000a_Novel Jewels Opp ( Power BI + SQL ) - T&amp;M_x000a_PayPal - T&amp;M"/>
    <n v="18"/>
    <n v="9"/>
    <n v="94.5"/>
    <n v="85.5"/>
    <n v="207"/>
    <n v="180"/>
    <n v="0.52500000000000002"/>
    <n v="0.47499999999999998"/>
    <s v="Critical"/>
    <s v="Adani Logistics - B_x000a_Novel Jewels Opp ( Power BI + SQL ) - T&amp;M - NB_x000a_Talent Pool - NB_x000a_Adani Logistics - NB_x000a_PayPal  T&amp;M - NB"/>
    <x v="1"/>
    <s v="Yes"/>
    <s v="Adani Logistics"/>
    <m/>
    <x v="0"/>
    <s v=""/>
    <m/>
  </r>
  <r>
    <n v="100699"/>
    <s v="Suresh Gendappa Thite"/>
    <d v="2025-06-11T00:00:00"/>
    <s v="TATA AIG T&amp;M"/>
    <n v="0"/>
    <n v="9"/>
    <n v="198"/>
    <n v="0"/>
    <n v="207"/>
    <n v="198"/>
    <n v="1"/>
    <n v="0"/>
    <s v="Good"/>
    <s v="TATA AIG T&amp;M"/>
    <x v="0"/>
    <s v="Yes"/>
    <s v="TATA AIG"/>
    <m/>
    <x v="0"/>
    <s v=""/>
    <m/>
  </r>
  <r>
    <n v="100700"/>
    <s v="Shankar Baditya"/>
    <d v="2025-06-12T00:00:00"/>
    <s v="SBI Life T&amp;M"/>
    <n v="9"/>
    <n v="9"/>
    <n v="189"/>
    <n v="0"/>
    <n v="207"/>
    <n v="189"/>
    <n v="1"/>
    <n v="0"/>
    <s v="Good"/>
    <s v="SBI Life T&amp;M"/>
    <x v="0"/>
    <s v="Yes"/>
    <s v="SBI Life"/>
    <m/>
    <x v="0"/>
    <s v=""/>
    <m/>
  </r>
  <r>
    <n v="100009"/>
    <s v="Sudhakar Chavan"/>
    <d v="2015-11-16T00:00:00"/>
    <s v="Qlik &amp; Talend Center of Excellence - Internal"/>
    <n v="0"/>
    <n v="0"/>
    <n v="0"/>
    <n v="207"/>
    <n v="207"/>
    <n v="207"/>
    <n v="0"/>
    <n v="1"/>
    <s v="Critical"/>
    <s v="Qlik &amp; Talend Center of Excellence - Internal - NB -  (Timesheet not filled )"/>
    <x v="7"/>
    <s v="No"/>
    <s v="Qlik &amp; Talend Center of Excellence - Internal"/>
    <m/>
    <x v="0"/>
    <s v=""/>
    <m/>
  </r>
  <r>
    <n v="100016"/>
    <s v="Prathamesh Sable"/>
    <d v="2017-05-22T00:00:00"/>
    <s v="COE - Microsoft - Fabric/Power BI"/>
    <n v="0"/>
    <n v="0"/>
    <n v="0"/>
    <n v="207"/>
    <n v="207"/>
    <n v="207"/>
    <n v="0"/>
    <n v="1"/>
    <s v="Critical"/>
    <s v="COE - Microsoft - Fabric/Power BI - NB - (Timesheet not filled )"/>
    <x v="14"/>
    <s v="No"/>
    <s v="COE - Microsoft - Fabric/Power BI"/>
    <m/>
    <x v="0"/>
    <s v=""/>
    <m/>
  </r>
  <r>
    <n v="100059"/>
    <s v="Gaurav Dhing"/>
    <d v="2019-09-05T00:00:00"/>
    <s v="COE - AWS"/>
    <n v="0"/>
    <n v="0"/>
    <n v="0"/>
    <n v="207"/>
    <n v="207"/>
    <n v="207"/>
    <n v="0"/>
    <n v="1"/>
    <s v="Critical"/>
    <s v="COE - AWS - NB - (Timesheet not filled )"/>
    <x v="15"/>
    <s v="No"/>
    <s v="COE - AWS"/>
    <m/>
    <x v="0"/>
    <s v=""/>
    <m/>
  </r>
  <r>
    <n v="100422"/>
    <s v="Viresh Rajkumar Manjarekar"/>
    <d v="2024-04-16T00:00:00"/>
    <s v="Databricks Center of Excellence (CoE) - Internal"/>
    <n v="22.5"/>
    <n v="9"/>
    <n v="0"/>
    <n v="175.5"/>
    <n v="207"/>
    <n v="175.5"/>
    <n v="0"/>
    <n v="1"/>
    <s v="Critical"/>
    <s v="Databricks Center of Excellence (CoE) - Internal - NB"/>
    <x v="11"/>
    <s v="No"/>
    <s v="COE - Databricks"/>
    <m/>
    <x v="0"/>
    <s v=""/>
    <m/>
  </r>
  <r>
    <n v="100642"/>
    <s v="Chirag Nailesh Poladia"/>
    <d v="2025-03-17T00:00:00"/>
    <s v="Databricks Center of Excellence (CoE) - Internal_x000a_Enterprise Analytics DW – T&amp;M"/>
    <n v="18"/>
    <n v="9"/>
    <n v="179"/>
    <n v="1"/>
    <n v="207"/>
    <n v="180"/>
    <n v="0.99444444444444446"/>
    <n v="5.5555555555555558E-3"/>
    <s v="Good"/>
    <s v="Enterprise Analytics DW – T&amp;M"/>
    <x v="0"/>
    <s v="Yes"/>
    <s v="Enterprise Analytics DW"/>
    <m/>
    <x v="0"/>
    <s v=""/>
    <m/>
  </r>
  <r>
    <n v="100640"/>
    <s v="Akshay Gangwar"/>
    <d v="2025-03-17T00:00:00"/>
    <s v="Qlik &amp; Talend Center of Excellence - Internal"/>
    <n v="0"/>
    <n v="0"/>
    <n v="0"/>
    <n v="90"/>
    <n v="90"/>
    <n v="90"/>
    <n v="0"/>
    <n v="1"/>
    <s v="Critical"/>
    <s v="Qlik &amp; Talend Center of Excellence - Internal - NB"/>
    <x v="7"/>
    <s v="No"/>
    <s v="Qlik &amp; Talend Center of Excellence - Internal"/>
    <m/>
    <x v="1"/>
    <d v="2025-12-12T00:00:00"/>
    <m/>
  </r>
  <r>
    <n v="100241"/>
    <s v="Sandhya Agrahari"/>
    <d v="2022-05-09T00:00:00"/>
    <s v="AIXponent - Internal"/>
    <n v="9"/>
    <n v="9"/>
    <n v="0"/>
    <n v="189"/>
    <n v="207"/>
    <n v="189"/>
    <n v="0"/>
    <n v="1"/>
    <s v="Critical"/>
    <s v="AIXponent - Internal - NB"/>
    <x v="6"/>
    <s v="No"/>
    <s v="Aixponent"/>
    <m/>
    <x v="0"/>
    <s v=""/>
    <m/>
  </r>
  <r>
    <n v="400033"/>
    <s v="Harikrishna Shankaran Natrajan"/>
    <d v="2025-04-01T00:00:00"/>
    <s v="SBI - Qlik Dashboard and Contest Management - Fixed / T&amp;M"/>
    <n v="0"/>
    <n v="9"/>
    <n v="198"/>
    <n v="0"/>
    <n v="207"/>
    <n v="198"/>
    <n v="1"/>
    <n v="0"/>
    <s v="Good"/>
    <s v="SBI - Qlik Dashboard and Contest Management - Fixed / T&amp;M"/>
    <x v="1"/>
    <s v="Yes"/>
    <s v="SBI"/>
    <m/>
    <x v="0"/>
    <s v=""/>
    <m/>
  </r>
  <r>
    <n v="100716"/>
    <s v="Nitin Pawar"/>
    <d v="2025-09-01T00:00:00"/>
    <s v="SBI Life T&amp;M"/>
    <n v="9"/>
    <n v="9"/>
    <n v="189"/>
    <n v="0"/>
    <n v="207"/>
    <n v="189"/>
    <n v="1"/>
    <n v="0"/>
    <s v="Good"/>
    <s v="SBI Life T&amp;M"/>
    <x v="0"/>
    <s v="Yes"/>
    <s v="SBI Life"/>
    <m/>
    <x v="0"/>
    <s v=""/>
    <m/>
  </r>
  <r>
    <n v="100705"/>
    <s v="Aditya Dnyaneshwar Jejurkar"/>
    <d v="2025-06-23T00:00:00"/>
    <s v="Adani Logistics"/>
    <n v="76.5"/>
    <n v="9"/>
    <n v="121.5"/>
    <n v="0"/>
    <n v="207"/>
    <n v="121.5"/>
    <n v="1"/>
    <n v="0"/>
    <s v="Good"/>
    <s v="Adani Logistics - Currently on full week leave"/>
    <x v="1"/>
    <s v="Yes"/>
    <s v="Adani Logistics"/>
    <m/>
    <x v="0"/>
    <s v=""/>
    <m/>
  </r>
  <r>
    <n v="100706"/>
    <s v="Mansi Vishnani"/>
    <d v="2025-06-23T00:00:00"/>
    <s v="SBI Life T&amp;M"/>
    <n v="0"/>
    <n v="9"/>
    <n v="198"/>
    <n v="0"/>
    <n v="207"/>
    <n v="198"/>
    <n v="1"/>
    <n v="0"/>
    <s v="Good"/>
    <s v="SBI Life T&amp;M"/>
    <x v="0"/>
    <s v="Yes"/>
    <s v="SBI Life"/>
    <m/>
    <x v="0"/>
    <s v=""/>
    <m/>
  </r>
  <r>
    <n v="200055"/>
    <s v="Apurva Ketan Mandape"/>
    <d v="2025-07-08T00:00:00"/>
    <s v="Talent Pool - India"/>
    <n v="27"/>
    <n v="9"/>
    <n v="0"/>
    <n v="171"/>
    <n v="207"/>
    <n v="171"/>
    <n v="0"/>
    <n v="1"/>
    <s v="Critical"/>
    <s v="Talent Pool - India - NB ( Learning phase and doing practicals soon to be assigned to POC )"/>
    <x v="16"/>
    <s v="No"/>
    <s v="Bench"/>
    <m/>
    <x v="0"/>
    <s v=""/>
    <m/>
  </r>
  <r>
    <n v="100709"/>
    <s v="Rajat Deepaklal Dhera"/>
    <d v="2025-07-16T00:00:00"/>
    <s v="Endurance Technologies-Dashboard Performance Optimization &amp; Overall Performance Improvement _x000a_Talent Pool - India"/>
    <n v="0"/>
    <n v="9"/>
    <n v="90"/>
    <n v="108"/>
    <n v="207"/>
    <n v="198"/>
    <n v="0.45454545454545453"/>
    <n v="0.54545454545454541"/>
    <s v="Critical"/>
    <s v="Endurance Technologies-Dashboard Performance Optimization &amp; Overall Performance Improvement  -B (50 % Billable in Project )_x000a_Talent Pool - NB "/>
    <x v="0"/>
    <s v="Yes"/>
    <s v="Endurance Technologies-Dashboard Performance Optimization &amp; Overall Performance Improvement "/>
    <m/>
    <x v="0"/>
    <s v=""/>
    <m/>
  </r>
  <r>
    <n v="100710"/>
    <s v="Akshay Rajendra Saraf"/>
    <d v="2025-07-17T00:00:00"/>
    <s v="ABSLI Qlik Dashboard - Fixed &amp; Fixed T&amp;M"/>
    <n v="0"/>
    <n v="9"/>
    <n v="198"/>
    <n v="0"/>
    <n v="207"/>
    <n v="198"/>
    <n v="1"/>
    <n v="0"/>
    <s v="Good"/>
    <s v="ABSLI Qlik Dashboard - Fixed &amp; Fixed T&amp;M"/>
    <x v="1"/>
    <s v="Yes"/>
    <s v="ABSLI"/>
    <m/>
    <x v="0"/>
    <s v=""/>
    <m/>
  </r>
  <r>
    <n v="300037"/>
    <s v="Arup Ghosh"/>
    <d v="2025-07-22T00:00:00"/>
    <s v="Titan Finance"/>
    <n v="9"/>
    <n v="9"/>
    <n v="189"/>
    <n v="0"/>
    <n v="207"/>
    <n v="189"/>
    <n v="1"/>
    <n v="0"/>
    <s v="Good"/>
    <s v="Titan Finance"/>
    <x v="0"/>
    <s v="Yes"/>
    <s v="Titan Finance"/>
    <m/>
    <x v="0"/>
    <s v=""/>
    <m/>
  </r>
  <r>
    <n v="100711"/>
    <s v="Sukanya Bipin Patil"/>
    <d v="2025-07-28T00:00:00"/>
    <s v="IIB Reporting- Resource"/>
    <n v="18"/>
    <n v="9"/>
    <n v="180"/>
    <n v="0"/>
    <n v="207"/>
    <n v="180"/>
    <n v="1"/>
    <n v="0"/>
    <s v="Good"/>
    <s v="IIB Reporting- Resource"/>
    <x v="0"/>
    <s v="Yes"/>
    <s v="IIB Reporting- Resource"/>
    <m/>
    <x v="0"/>
    <s v=""/>
    <m/>
  </r>
  <r>
    <n v="200057"/>
    <s v="Bharat Narain Bhagnani"/>
    <d v="2025-08-04T00:00:00"/>
    <s v="AIXponent - Internal"/>
    <n v="13.5"/>
    <n v="9"/>
    <n v="0"/>
    <n v="184.5"/>
    <n v="207"/>
    <n v="184.5"/>
    <n v="0"/>
    <n v="1"/>
    <s v="Critical"/>
    <s v="AIXponent - Internal - NB Overviewing on backend Pipeline"/>
    <x v="17"/>
    <s v="No"/>
    <s v="Aixponent"/>
    <m/>
    <x v="0"/>
    <s v=""/>
    <m/>
  </r>
  <r>
    <n v="100713"/>
    <s v="Udipta Ghosh"/>
    <d v="2025-08-06T00:00:00"/>
    <s v="HDFC Life -  Replicate Support T&amp;M"/>
    <n v="18"/>
    <n v="9"/>
    <n v="180"/>
    <n v="0"/>
    <n v="207"/>
    <n v="180"/>
    <n v="1"/>
    <n v="0"/>
    <s v="Good"/>
    <s v="HDFC Life -  Replicate Support T&amp;M"/>
    <x v="0"/>
    <s v="Yes"/>
    <s v="HDFC Life - Replicate Support"/>
    <m/>
    <x v="0"/>
    <s v=""/>
    <m/>
  </r>
  <r>
    <n v="300035"/>
    <s v="Sad Mridha"/>
    <d v="2025-04-29T00:00:00"/>
    <s v="AIXponent - Internal"/>
    <n v="0"/>
    <n v="18"/>
    <n v="0"/>
    <n v="189"/>
    <n v="207"/>
    <n v="189"/>
    <n v="0"/>
    <n v="1"/>
    <s v="Critical"/>
    <s v="AIXponent - Internal -NB ( Machine Mesh Poc )"/>
    <x v="6"/>
    <s v="No"/>
    <s v="Aixponent"/>
    <m/>
    <x v="0"/>
    <s v=""/>
    <m/>
  </r>
  <r>
    <n v="100734"/>
    <s v="Pratham Purendra Vaddepalli"/>
    <d v="2025-08-11T00:00:00"/>
    <s v="AIXponent - Internal"/>
    <n v="0"/>
    <n v="9"/>
    <n v="0"/>
    <n v="198"/>
    <n v="207"/>
    <n v="198"/>
    <n v="0"/>
    <n v="1"/>
    <s v="Critical"/>
    <s v="AIXponent - Internal -NB ( Aixponent Backend )"/>
    <x v="2"/>
    <s v="No"/>
    <s v="Aixponent"/>
    <m/>
    <x v="0"/>
    <s v=""/>
    <m/>
  </r>
  <r>
    <n v="100714"/>
    <s v="Arun Vivekananda"/>
    <d v="2025-08-21T00:00:00"/>
    <s v="Titan Finance"/>
    <n v="18"/>
    <n v="9"/>
    <n v="180"/>
    <n v="0"/>
    <n v="207"/>
    <n v="180"/>
    <n v="1"/>
    <n v="0"/>
    <s v="Good"/>
    <s v="Titan Finance"/>
    <x v="0"/>
    <s v="Yes"/>
    <s v="Titan Finance"/>
    <m/>
    <x v="0"/>
    <s v=""/>
    <m/>
  </r>
  <r>
    <n v="100715"/>
    <s v="Mihir Rajan Patil"/>
    <d v="2025-08-26T00:00:00"/>
    <s v="Talent Pool - India_x000a_EY-Adani Ahmedabad - GCP Big query to Azure Data bricks migration - T&amp;M"/>
    <n v="45"/>
    <n v="9"/>
    <n v="126"/>
    <n v="27"/>
    <n v="207"/>
    <n v="153"/>
    <n v="0.82352941176470584"/>
    <n v="0.17647058823529413"/>
    <s v="Critical"/>
    <s v="Talent Pool - India - NB_x000a_EY-Adani Ahmedabad - GCP Big query to Azure Data bricks migration - T&amp;M - B"/>
    <x v="3"/>
    <s v="No"/>
    <s v="Bench"/>
    <m/>
    <x v="0"/>
    <s v=""/>
    <m/>
  </r>
  <r>
    <n v="200059"/>
    <s v="Roshni Tuna Panda"/>
    <d v="2025-09-02T00:00:00"/>
    <s v="AIXponent - Internal"/>
    <n v="9"/>
    <n v="9"/>
    <n v="0"/>
    <n v="189"/>
    <n v="207"/>
    <n v="189"/>
    <n v="0"/>
    <n v="1"/>
    <s v="Critical"/>
    <s v="AIXponent - Internal -NB ( Video processing Task for AIXponent )"/>
    <x v="2"/>
    <s v="No"/>
    <s v="Aixponent"/>
    <m/>
    <x v="0"/>
    <s v=""/>
    <m/>
  </r>
  <r>
    <n v="200060"/>
    <s v="Shriyash Shrikrishna Ingle"/>
    <d v="2025-09-02T00:00:00"/>
    <s v="AIXponent - Internal"/>
    <n v="0"/>
    <n v="9"/>
    <n v="0"/>
    <n v="198"/>
    <n v="207"/>
    <n v="198"/>
    <n v="0"/>
    <n v="1"/>
    <s v="Critical"/>
    <s v="AIXponent - Internal -NB ( Video processing task for AiXponent  )"/>
    <x v="2"/>
    <s v="No"/>
    <s v="Aixponent"/>
    <m/>
    <x v="0"/>
    <s v=""/>
    <m/>
  </r>
  <r>
    <n v="200061"/>
    <s v="Tisha Sunil Jeswani"/>
    <d v="2025-09-03T00:00:00"/>
    <s v="AIXponent - Internal"/>
    <n v="9"/>
    <n v="18"/>
    <n v="0"/>
    <n v="180"/>
    <n v="207"/>
    <n v="180"/>
    <n v="0"/>
    <n v="1"/>
    <s v="Critical"/>
    <s v="AIXponent - Internal -NB ( Digital Assistant )"/>
    <x v="2"/>
    <s v="No"/>
    <s v="Aixponent"/>
    <m/>
    <x v="0"/>
    <s v=""/>
    <m/>
  </r>
  <r>
    <n v="100717"/>
    <s v="Gokulnathan Saravanan"/>
    <d v="2025-09-24T00:00:00"/>
    <s v="Databricks + Power BI Resource"/>
    <n v="0"/>
    <n v="9"/>
    <n v="198"/>
    <n v="0"/>
    <n v="207"/>
    <n v="198"/>
    <n v="1"/>
    <n v="0"/>
    <s v="Good"/>
    <s v="Databricks + Power BI Resource"/>
    <x v="0"/>
    <s v="Yes"/>
    <s v="Databricks + Power BI Resource"/>
    <m/>
    <x v="0"/>
    <s v=""/>
    <m/>
  </r>
  <r>
    <n v="300039"/>
    <s v="Rajesh Bogireddy"/>
    <d v="2025-09-29T00:00:00"/>
    <s v="Talent Pool - India"/>
    <n v="18"/>
    <n v="9"/>
    <n v="0"/>
    <n v="27"/>
    <n v="54"/>
    <n v="27"/>
    <n v="0"/>
    <n v="1"/>
    <s v="Critical"/>
    <s v="Talent Pool - India - NB"/>
    <x v="3"/>
    <s v="No"/>
    <s v="Bench"/>
    <m/>
    <x v="0"/>
    <s v=""/>
    <m/>
  </r>
  <r>
    <n v="400038"/>
    <s v="Mitesh Ravatka"/>
    <d v="2025-10-06T00:00:00"/>
    <s v="Talent Pool - India_x000a_T&amp;M Requirement-Adani-Data Engineer(EY) - T&amp;M"/>
    <n v="0"/>
    <n v="9"/>
    <n v="171"/>
    <n v="27"/>
    <n v="207"/>
    <n v="198"/>
    <n v="0.86363636363636365"/>
    <n v="0.13636363636363635"/>
    <s v="Good"/>
    <s v="T&amp;M Requirement-Adani-Data Engineer(EY) - T&amp;M"/>
    <x v="0"/>
    <s v="Yes"/>
    <s v="T&amp;M Requirement-Adani-Data Engineer(EY)"/>
    <m/>
    <x v="0"/>
    <s v=""/>
    <m/>
  </r>
  <r>
    <n v="200063"/>
    <s v="Dhruv Agrawal"/>
    <d v="2025-10-13T00:00:00"/>
    <s v="Talent Pool - India"/>
    <n v="0"/>
    <n v="9"/>
    <n v="0"/>
    <n v="198"/>
    <n v="207"/>
    <n v="198"/>
    <n v="0"/>
    <n v="1"/>
    <s v="Critical"/>
    <s v="Talent Pool - India - NB ( Creating Master Risk KPIs list based on the IIFL Risk Dashboard project. )"/>
    <x v="16"/>
    <s v="No"/>
    <s v="Bench"/>
    <m/>
    <x v="0"/>
    <s v=""/>
    <m/>
  </r>
  <r>
    <n v="200062"/>
    <s v="Akshat Mathur"/>
    <d v="2025-10-13T00:00:00"/>
    <s v="AIXponent - Internal_x000a_POC"/>
    <n v="0"/>
    <n v="9"/>
    <n v="0"/>
    <n v="198"/>
    <n v="207"/>
    <n v="198"/>
    <n v="0"/>
    <n v="1"/>
    <s v="Critical"/>
    <s v="POC - NB Aptar POC"/>
    <x v="16"/>
    <s v="No"/>
    <s v="Bench"/>
    <m/>
    <x v="0"/>
    <s v=""/>
    <m/>
  </r>
  <r>
    <n v="200064"/>
    <s v="M Roohi Jahan"/>
    <d v="2025-10-22T00:00:00"/>
    <s v="Talent Pool - India"/>
    <n v="18"/>
    <n v="9"/>
    <n v="0"/>
    <n v="180"/>
    <n v="207"/>
    <n v="180"/>
    <n v="0"/>
    <n v="1"/>
    <s v="Critical"/>
    <s v="Talent Pool - India -NB ( Doing self learning and exploring online documentations )"/>
    <x v="16"/>
    <s v="No"/>
    <s v="Bench"/>
    <m/>
    <x v="0"/>
    <s v=""/>
    <m/>
  </r>
  <r>
    <n v="400039"/>
    <s v="Amol Vikas Patil"/>
    <d v="2025-10-27T00:00:00"/>
    <s v="SBI Life T&amp;M"/>
    <n v="36"/>
    <n v="9"/>
    <n v="162"/>
    <n v="0"/>
    <n v="207"/>
    <n v="162"/>
    <n v="1"/>
    <n v="0"/>
    <s v="Good"/>
    <s v="SBI Life T&amp;M"/>
    <x v="0"/>
    <s v="Yes"/>
    <s v="SBI Life"/>
    <m/>
    <x v="0"/>
    <s v=""/>
    <m/>
  </r>
  <r>
    <n v="100720"/>
    <s v="Kamal Lochan Barik"/>
    <d v="2025-10-28T00:00:00"/>
    <s v="HDFC Life Data Lab - T&amp;M"/>
    <n v="9"/>
    <n v="9"/>
    <n v="0"/>
    <n v="189"/>
    <n v="207"/>
    <n v="189"/>
    <n v="0"/>
    <n v="1"/>
    <s v="Critical"/>
    <s v="HDFC Life Data Lab - T&amp;M - NB_x000a_Billable after hitesh is offboarded"/>
    <x v="3"/>
    <s v="No"/>
    <s v="Bench"/>
    <m/>
    <x v="1"/>
    <s v=""/>
    <m/>
  </r>
  <r>
    <n v="200065"/>
    <s v="Roshan Kumar Kumawat"/>
    <d v="2025-11-04T00:00:00"/>
    <s v="Talent Pool - India"/>
    <n v="0"/>
    <n v="9"/>
    <n v="0"/>
    <n v="198"/>
    <n v="207"/>
    <n v="198"/>
    <n v="0"/>
    <n v="1"/>
    <s v="Critical"/>
    <s v="Talent Pool - India -NB ( Data Model task assigned by Syed )"/>
    <x v="17"/>
    <s v="No"/>
    <s v="Bench"/>
    <m/>
    <x v="0"/>
    <s v=""/>
    <m/>
  </r>
  <r>
    <n v="200066"/>
    <s v="Apurva Mohan Muthaye"/>
    <d v="2025-11-04T00:00:00"/>
    <s v="Talent Pool - India"/>
    <n v="9"/>
    <n v="9"/>
    <n v="0"/>
    <n v="189"/>
    <n v="207"/>
    <n v="189"/>
    <n v="0"/>
    <n v="1"/>
    <s v="Critical"/>
    <s v="Talent Pool - India -NB ( Data Quality Summary Dashboard task assigend by Syed )"/>
    <x v="17"/>
    <s v="No"/>
    <s v="Bench"/>
    <m/>
    <x v="0"/>
    <s v=""/>
    <m/>
  </r>
  <r>
    <n v="200067"/>
    <s v="Jash Tarun Kapoor"/>
    <d v="2025-11-05T00:00:00"/>
    <s v="Talent Pool - India"/>
    <n v="0"/>
    <n v="9"/>
    <n v="0"/>
    <n v="198"/>
    <n v="207"/>
    <n v="198"/>
    <n v="0"/>
    <n v="1"/>
    <s v="Critical"/>
    <s v="Talent Pool - India -NB (Lang chain  ,Lang graph , Apis of claude gemini gpt models pipelines )"/>
    <x v="16"/>
    <s v="No"/>
    <s v="Bench"/>
    <m/>
    <x v="0"/>
    <s v=""/>
    <m/>
  </r>
  <r>
    <n v="200068"/>
    <s v="Adesh Balaji Bhosale"/>
    <d v="2025-11-05T00:00:00"/>
    <s v="Talent Pool - India"/>
    <n v="0"/>
    <n v="9"/>
    <n v="0"/>
    <n v="198"/>
    <n v="207"/>
    <n v="198"/>
    <n v="0"/>
    <n v="1"/>
    <s v="Critical"/>
    <s v="Talent Pool - India -NB ( Data quality Profiling task assigned by Syed )"/>
    <x v="17"/>
    <s v="No"/>
    <s v="Bench"/>
    <m/>
    <x v="0"/>
    <s v=""/>
    <m/>
  </r>
  <r>
    <n v="200069"/>
    <s v="Daniyal Tanveerul Islam Azmi"/>
    <d v="2025-11-06T00:00:00"/>
    <s v="Talent Pool - India"/>
    <n v="18"/>
    <n v="9"/>
    <n v="0"/>
    <n v="180"/>
    <n v="207"/>
    <n v="180"/>
    <n v="0"/>
    <n v="1"/>
    <s v="Critical"/>
    <s v="Talent Pool - India -NB ( Data Quality Custom check task assigned by Syed )"/>
    <x v="17"/>
    <s v="No"/>
    <s v="Bench"/>
    <m/>
    <x v="0"/>
    <s v=""/>
    <m/>
  </r>
  <r>
    <n v="400040"/>
    <s v="Rimjhim Sharma"/>
    <d v="2025-11-03T00:00:00"/>
    <s v="Catalyst - (SSP FP&amp;A Reporting)"/>
    <n v="0"/>
    <n v="18"/>
    <n v="189"/>
    <n v="0"/>
    <n v="207"/>
    <n v="189"/>
    <n v="1"/>
    <n v="0"/>
    <s v="Good"/>
    <s v="Catalyst - (SSP FP&amp;A Reporting)"/>
    <x v="1"/>
    <s v="Yes"/>
    <s v="Catalyst - (SSP FP&amp;A Reporting)"/>
    <m/>
    <x v="0"/>
    <s v=""/>
    <m/>
  </r>
  <r>
    <n v="400041"/>
    <s v="Bindurani Ballupet Mallanna"/>
    <d v="2025-11-03T00:00:00"/>
    <s v="Catalyst - (SSP FP&amp;A Reporting)"/>
    <n v="0"/>
    <n v="18"/>
    <n v="189"/>
    <n v="0"/>
    <n v="207"/>
    <n v="189"/>
    <n v="1"/>
    <n v="0"/>
    <s v="Good"/>
    <s v="Catalyst - (SSP FP&amp;A Reporting)"/>
    <x v="1"/>
    <s v="Yes"/>
    <s v="Catalyst - (SSP FP&amp;A Reporting)"/>
    <m/>
    <x v="0"/>
    <s v=""/>
    <m/>
  </r>
  <r>
    <n v="400043"/>
    <s v="Mukund Kumar Kulkarni"/>
    <d v="2025-11-10T00:00:00"/>
    <s v="Talent Pool - India"/>
    <n v="0"/>
    <n v="0"/>
    <n v="0"/>
    <n v="36"/>
    <n v="36"/>
    <n v="36"/>
    <n v="0"/>
    <n v="1"/>
    <s v="Critical"/>
    <s v="Talent Pool - India - NB"/>
    <x v="12"/>
    <s v="Yes"/>
    <s v="Resgination_Project"/>
    <m/>
    <x v="1"/>
    <d v="2025-12-04T00:00:00"/>
    <m/>
  </r>
  <r>
    <n v="200070"/>
    <s v="Prachiti Rajesh Palande"/>
    <d v="2025-11-10T00:00:00"/>
    <s v="Talent Pool - India"/>
    <n v="0"/>
    <n v="9"/>
    <n v="0"/>
    <n v="198"/>
    <n v="207"/>
    <n v="198"/>
    <n v="0"/>
    <n v="1"/>
    <s v="Critical"/>
    <s v="Talent Pool - India -NB ( Currently Researching PowerPoint presentations with AI, incorporating not only images and text but also proper infographics using core PowerPoint objects using MCP tools. )"/>
    <x v="16"/>
    <s v="No"/>
    <s v="Bench"/>
    <m/>
    <x v="0"/>
    <s v=""/>
    <m/>
  </r>
  <r>
    <n v="300047"/>
    <s v="Mayank Pramod Pandey"/>
    <d v="2025-11-10T00:00:00"/>
    <s v="DS Smith - Pool_x000a_Transporeon - Data ingesiton - Fixed"/>
    <n v="9"/>
    <n v="9"/>
    <n v="45"/>
    <n v="144"/>
    <n v="207"/>
    <n v="189"/>
    <n v="0.23809523809523808"/>
    <n v="0.76190476190476186"/>
    <s v="Critical"/>
    <s v="Transporeon - Data ingesiton -B_x000a_DS Smith Pool - NB"/>
    <x v="3"/>
    <s v="No"/>
    <s v="Bench"/>
    <m/>
    <x v="0"/>
    <s v=""/>
    <m/>
  </r>
  <r>
    <n v="400045"/>
    <s v="Raghavendra Nagaraj"/>
    <d v="2025-10-15T00:00:00"/>
    <s v="E Invoicing - Fixed"/>
    <n v="18"/>
    <n v="0"/>
    <n v="144"/>
    <n v="0"/>
    <n v="162"/>
    <n v="144"/>
    <n v="1"/>
    <n v="0"/>
    <s v="Good"/>
    <s v="E Invoicing - Fixed"/>
    <x v="1"/>
    <s v="Yes"/>
    <s v="E Invoicing"/>
    <m/>
    <x v="1"/>
    <d v="2025-12-22T00:00:00"/>
    <m/>
  </r>
  <r>
    <n v="100722"/>
    <s v="Prajak Hirachand Karande"/>
    <d v="2025-11-19T00:00:00"/>
    <s v="EY Adani to Databricks Data Engineer - T&amp;M"/>
    <n v="0"/>
    <n v="9"/>
    <n v="198"/>
    <n v="0"/>
    <n v="207"/>
    <n v="198"/>
    <n v="1"/>
    <n v="0"/>
    <s v="Good"/>
    <s v="EY Adani to Databricks Data Engineer - T&amp;M"/>
    <x v="0"/>
    <s v="Yes"/>
    <s v="Financial Services"/>
    <m/>
    <x v="0"/>
    <s v=""/>
    <m/>
  </r>
  <r>
    <n v="100724"/>
    <s v="Kaushal Dayanand Devlekar"/>
    <d v="2025-11-24T00:00:00"/>
    <s v="Financial Services - T&amp;M"/>
    <n v="18"/>
    <n v="9"/>
    <n v="180"/>
    <n v="0"/>
    <n v="207"/>
    <n v="180"/>
    <n v="1"/>
    <n v="0"/>
    <s v="Good"/>
    <s v="Financial Services - T&amp;M"/>
    <x v="0"/>
    <s v="Yes"/>
    <s v="Financial Services"/>
    <m/>
    <x v="0"/>
    <s v=""/>
    <m/>
  </r>
  <r>
    <n v="400046"/>
    <s v="T Suhash"/>
    <d v="2025-11-20T00:00:00"/>
    <s v="FibreExpert - Fixed"/>
    <n v="31.5"/>
    <n v="18"/>
    <n v="157.5"/>
    <n v="0"/>
    <n v="207"/>
    <n v="157.5"/>
    <n v="1"/>
    <n v="0"/>
    <s v="Good"/>
    <s v="FibreExpert"/>
    <x v="1"/>
    <s v="Yes"/>
    <s v="FibreExpert"/>
    <m/>
    <x v="1"/>
    <d v="2025-12-31T00:00:00"/>
    <m/>
  </r>
  <r>
    <n v="400048"/>
    <s v="Girish Kumar"/>
    <d v="2025-11-26T00:00:00"/>
    <s v="Talent Pool - India"/>
    <n v="0"/>
    <n v="9"/>
    <n v="0"/>
    <n v="198"/>
    <n v="207"/>
    <n v="198"/>
    <n v="0"/>
    <n v="1"/>
    <s v="Critical"/>
    <s v="Talent Pool - India - NB"/>
    <x v="3"/>
    <s v="No"/>
    <s v="Capita"/>
    <d v="2026-01-12T00:00:00"/>
    <x v="0"/>
    <s v=""/>
    <m/>
  </r>
  <r>
    <n v="300041"/>
    <s v="Nethaji Kamalapuram"/>
    <d v="2025-11-17T00:00:00"/>
    <s v="Databricks Center of Excellence (CoE) - Internal_x000a_Lids Fabric Migration - Fixed_x000a_Odyssey Hotels Group"/>
    <n v="0"/>
    <n v="0"/>
    <n v="112.5"/>
    <n v="22.5"/>
    <n v="135"/>
    <n v="135"/>
    <n v="0.83333333333333337"/>
    <n v="0.16666666666666666"/>
    <s v="Critical"/>
    <s v="Lids Fabric Migration - B_x000a_Databricks Center of Excellence (CoE) - Internal - NB_x000a_Odyssey Hotels Group - B"/>
    <x v="1"/>
    <s v="Yes"/>
    <s v="Odyssey"/>
    <m/>
    <x v="1"/>
    <d v="2025-12-19T00:00:00"/>
    <m/>
  </r>
  <r>
    <n v="300042"/>
    <s v="Vikash Kumar"/>
    <d v="2025-11-26T00:00:00"/>
    <s v="Datafactory - T&amp;M_x000a_Talent Pool - India"/>
    <n v="18"/>
    <n v="18"/>
    <n v="117"/>
    <n v="54"/>
    <n v="207"/>
    <n v="171"/>
    <n v="0.68421052631578949"/>
    <n v="0.31578947368421051"/>
    <s v="Critical"/>
    <s v="Datafactory - T&amp;M - B_x000a_Talent Pool - India - NB"/>
    <x v="0"/>
    <s v="Yes"/>
    <s v="Datafactory"/>
    <m/>
    <x v="0"/>
    <s v=""/>
    <m/>
  </r>
  <r>
    <n v="100726"/>
    <s v="Nilesh Kumar Jha"/>
    <d v="2025-12-01T00:00:00"/>
    <s v="TATA AIG T&amp;M"/>
    <n v="0"/>
    <n v="9"/>
    <n v="198"/>
    <n v="0"/>
    <n v="207"/>
    <n v="198"/>
    <n v="1"/>
    <n v="0"/>
    <s v="Good"/>
    <s v="TATA AIG T&amp;M - B"/>
    <x v="0"/>
    <s v="Yes"/>
    <s v="TATA AIG"/>
    <m/>
    <x v="0"/>
    <s v=""/>
    <m/>
  </r>
  <r>
    <n v="200071"/>
    <s v="Ryan Gupta"/>
    <d v="2025-12-01T00:00:00"/>
    <s v="Talent Pool - India"/>
    <n v="0"/>
    <n v="9"/>
    <n v="0"/>
    <n v="171"/>
    <n v="180"/>
    <n v="171"/>
    <n v="0"/>
    <n v="1"/>
    <s v="Critical"/>
    <s v="Talent Pool - India - NB ( Learning  Angular )"/>
    <x v="16"/>
    <s v="No"/>
    <s v="Resignation_Bench"/>
    <m/>
    <x v="1"/>
    <d v="2025-12-31T00:00:00"/>
    <m/>
  </r>
  <r>
    <n v="300044"/>
    <s v="Rohan Damaji Patil"/>
    <d v="2025-12-05T00:00:00"/>
    <s v="Adani Ahemdabad T&amp;M_x000a_Talent Pool - India"/>
    <n v="0"/>
    <n v="9"/>
    <n v="108"/>
    <n v="54"/>
    <n v="171"/>
    <n v="162"/>
    <n v="0.66666666666666663"/>
    <n v="0.33333333333333331"/>
    <s v="Critical"/>
    <s v="Adani Ahemdabad T&amp;M - B_x000a_Talent Pool - India - NB"/>
    <x v="0"/>
    <s v="No"/>
    <s v="Adani Ahemdabad"/>
    <d v="2025-12-15T00:00:00"/>
    <x v="0"/>
    <s v=""/>
    <m/>
  </r>
  <r>
    <n v="100728"/>
    <s v="Sunny Gangurde"/>
    <d v="2025-11-10T00:00:00"/>
    <s v="AIXponent - Internal"/>
    <n v="18"/>
    <n v="9"/>
    <n v="0"/>
    <n v="180"/>
    <n v="207"/>
    <n v="180"/>
    <n v="0"/>
    <n v="1"/>
    <s v="Critical"/>
    <s v="AIXponent - Internal - NB"/>
    <x v="6"/>
    <s v="No"/>
    <s v="Aixponent"/>
    <m/>
    <x v="0"/>
    <s v=""/>
    <m/>
  </r>
  <r>
    <n v="100727"/>
    <s v="Shreyash Bhandarkar"/>
    <d v="2025-11-04T00:00:00"/>
    <s v="Adani Logistics"/>
    <n v="0"/>
    <n v="9"/>
    <n v="198"/>
    <n v="0"/>
    <n v="207"/>
    <n v="198"/>
    <n v="1"/>
    <n v="0"/>
    <s v="Good"/>
    <s v="Adani Logistics - B"/>
    <x v="1"/>
    <s v="Yes"/>
    <s v="Adani Logistics"/>
    <m/>
    <x v="0"/>
    <s v=""/>
    <m/>
  </r>
  <r>
    <n v="300040"/>
    <s v="Sanchit Sawant"/>
    <d v="2025-08-01T00:00:00"/>
    <s v="Novel Jewels Opp ( Power BI + SQL ) - T&amp;M"/>
    <n v="9"/>
    <n v="9"/>
    <n v="189"/>
    <n v="0"/>
    <n v="207"/>
    <n v="189"/>
    <n v="1"/>
    <n v="0"/>
    <s v="Good"/>
    <s v="Novel Jewels Opp ( Power BI + SQL ) - T&amp;M - B"/>
    <x v="0"/>
    <s v="Yes"/>
    <s v="Novel Jewels Opp"/>
    <m/>
    <x v="0"/>
    <s v=""/>
    <m/>
  </r>
  <r>
    <n v="300045"/>
    <s v="Feeroz Bagban"/>
    <d v="2025-12-09T00:00:00"/>
    <s v="Talent Pool - India"/>
    <n v="0"/>
    <n v="0"/>
    <n v="0"/>
    <n v="36"/>
    <n v="36"/>
    <n v="36"/>
    <n v="0"/>
    <n v="1"/>
    <s v="Critical"/>
    <s v="Talent Pool - NB - Waiting for LWD"/>
    <x v="8"/>
    <s v="No"/>
    <s v="Resignation_Bench"/>
    <m/>
    <x v="1"/>
    <d v="2025-12-18T00:00:00"/>
    <m/>
  </r>
  <r>
    <n v="300048"/>
    <s v="Deepanshi Singhal"/>
    <d v="2025-12-18T00:00:00"/>
    <s v="Talent Pool - India"/>
    <n v="0"/>
    <n v="9"/>
    <n v="0"/>
    <n v="81"/>
    <n v="90"/>
    <n v="81"/>
    <n v="0"/>
    <n v="1"/>
    <s v="Critical"/>
    <s v="Talent Pool - India - NB - DIOH from 29th Dec"/>
    <x v="3"/>
    <s v="No"/>
    <s v="Bench"/>
    <m/>
    <x v="0"/>
    <s v=""/>
    <m/>
  </r>
  <r>
    <n v="50007"/>
    <s v="Alan Soby"/>
    <d v="2025-12-18T00:00:00"/>
    <s v="Catalyst - (SSP FP&amp;A Reporting)"/>
    <n v="0"/>
    <n v="18"/>
    <n v="72"/>
    <n v="0"/>
    <n v="90"/>
    <n v="72"/>
    <n v="1"/>
    <n v="0"/>
    <s v="Good"/>
    <s v="Catalyst - (SSP FP&amp;A Reporting)"/>
    <x v="0"/>
    <s v="Yes"/>
    <s v="Catalyst - (SSP FP&amp;A Reporting)"/>
    <m/>
    <x v="0"/>
    <s v=""/>
    <m/>
  </r>
  <r>
    <n v="100731"/>
    <s v="Areeb Malik"/>
    <d v="2025-12-15T00:00:00"/>
    <s v="Talent Pool - India"/>
    <n v="0"/>
    <n v="9"/>
    <n v="0"/>
    <n v="108"/>
    <n v="117"/>
    <n v="108"/>
    <n v="0"/>
    <n v="1"/>
    <s v="Critical"/>
    <s v="Talent Pool - India - NB"/>
    <x v="3"/>
    <s v="No"/>
    <s v="Bench"/>
    <m/>
    <x v="0"/>
    <s v=""/>
    <m/>
  </r>
  <r>
    <n v="300046"/>
    <s v="Manjunath Bharath"/>
    <d v="2025-12-11T00:00:00"/>
    <s v="Talent Pool - India_x000a_Titan Finance"/>
    <n v="0"/>
    <n v="9"/>
    <n v="108"/>
    <n v="18"/>
    <n v="135"/>
    <n v="126"/>
    <n v="0.8571428571428571"/>
    <n v="0.14285714285714285"/>
    <s v="Good"/>
    <s v="Talent Pool - India - NB_x000a_Titan Finance - B"/>
    <x v="0"/>
    <s v="Yes"/>
    <s v="Titan Finance"/>
    <m/>
    <x v="0"/>
    <s v=""/>
    <m/>
  </r>
  <r>
    <n v="100729"/>
    <s v="Rakesh Roshan"/>
    <d v="2025-12-11T00:00:00"/>
    <s v="Talent Pool - India_x000a_Lids Fabric Migration - Fixed"/>
    <n v="0"/>
    <n v="9"/>
    <n v="45"/>
    <n v="81"/>
    <n v="135"/>
    <n v="126"/>
    <n v="0.35714285714285715"/>
    <n v="0.6428571428571429"/>
    <s v="Critical"/>
    <s v="Talent Pool - India - NB_x000a_Lids Fabric Migration - Fixed - B"/>
    <x v="3"/>
    <s v="No"/>
    <s v="Bench"/>
    <m/>
    <x v="0"/>
    <s v=""/>
    <m/>
  </r>
  <r>
    <n v="400052"/>
    <s v="Rajat Goel"/>
    <d v="2025-12-24T00:00:00"/>
    <s v="Talent Pool - India"/>
    <n v="0"/>
    <n v="9"/>
    <n v="0"/>
    <n v="45"/>
    <n v="54"/>
    <n v="45"/>
    <n v="0"/>
    <n v="1"/>
    <s v="Critical"/>
    <s v="Talent Pool - India - NB"/>
    <x v="3"/>
    <s v="No"/>
    <s v="Bench"/>
    <m/>
    <x v="0"/>
    <s v=""/>
    <m/>
  </r>
  <r>
    <n v="300049"/>
    <s v="Somnath Uttam Desai"/>
    <d v="2025-12-24T00:00:00"/>
    <s v="Adani Ahemdabad T&amp;M"/>
    <n v="0"/>
    <n v="9"/>
    <n v="45"/>
    <n v="0"/>
    <n v="54"/>
    <n v="45"/>
    <n v="1"/>
    <n v="0"/>
    <s v="Good"/>
    <s v="Adani Ahemdabad T&amp;M -B"/>
    <x v="0"/>
    <s v="Yes"/>
    <s v="Adani Ahemdabad"/>
    <m/>
    <x v="0"/>
    <s v=""/>
    <m/>
  </r>
  <r>
    <m/>
    <m/>
    <m/>
    <m/>
    <m/>
    <m/>
    <m/>
    <m/>
    <m/>
    <m/>
    <m/>
    <m/>
    <m/>
    <m/>
    <x v="18"/>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CFBB15-5969-49A7-932C-0CEFCD379068}" name="PivotTable1" cacheId="48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G18" firstHeaderRow="0" firstDataRow="1" firstDataCol="1" rowPageCount="1" colPageCount="1"/>
  <pivotFields count="22">
    <pivotField dataField="1"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axis="axisRow" showAll="0">
      <items count="14">
        <item x="9"/>
        <item x="5"/>
        <item x="3"/>
        <item x="7"/>
        <item x="4"/>
        <item x="6"/>
        <item x="2"/>
        <item x="1"/>
        <item x="10"/>
        <item x="11"/>
        <item x="8"/>
        <item x="0"/>
        <item x="12"/>
        <item t="default"/>
      </items>
    </pivotField>
    <pivotField showAll="0"/>
    <pivotField showAll="0"/>
    <pivotField showAll="0"/>
    <pivotField axis="axisPage" multipleItemSelectionAllowed="1" showAll="0">
      <items count="3">
        <item x="0"/>
        <item h="1" x="1"/>
        <item t="default"/>
      </items>
    </pivotField>
    <pivotField showAll="0"/>
    <pivotField showAll="0"/>
    <pivotField dataField="1" dragToRow="0" dragToCol="0" dragToPage="0" showAll="0" defaultSubtotal="0"/>
  </pivotFields>
  <rowFields count="1">
    <field x="14"/>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pageFields count="1">
    <pageField fld="18" hier="-1"/>
  </pageFields>
  <dataFields count="5">
    <dataField name="Sum of Billable Hours " fld="6" baseField="0" baseItem="0"/>
    <dataField name="Sum of Non Billable Hours " fld="7" baseField="0" baseItem="0"/>
    <dataField name="Sum of Tota Hrs Exc Leave" fld="9" baseField="0" baseItem="0"/>
    <dataField name="Sum of Utilization %" fld="21" baseField="0" baseItem="0" numFmtId="10"/>
    <dataField name="Count of Employee Number" fld="0" subtotal="count" baseField="14" baseItem="2"/>
  </dataFields>
  <formats count="12">
    <format dxfId="270">
      <pivotArea collapsedLevelsAreSubtotals="1" fieldPosition="0">
        <references count="2">
          <reference field="4294967294" count="1" selected="0">
            <x v="3"/>
          </reference>
          <reference field="14" count="0"/>
        </references>
      </pivotArea>
    </format>
    <format dxfId="271">
      <pivotArea field="14" grandRow="1" outline="0" collapsedLevelsAreSubtotals="1" axis="axisRow" fieldPosition="0">
        <references count="1">
          <reference field="4294967294" count="1" selected="0">
            <x v="3"/>
          </reference>
        </references>
      </pivotArea>
    </format>
    <format dxfId="272">
      <pivotArea collapsedLevelsAreSubtotals="1" fieldPosition="0">
        <references count="1">
          <reference field="14" count="1">
            <x v="7"/>
          </reference>
        </references>
      </pivotArea>
    </format>
    <format dxfId="273">
      <pivotArea dataOnly="0" labelOnly="1" fieldPosition="0">
        <references count="1">
          <reference field="14" count="1">
            <x v="7"/>
          </reference>
        </references>
      </pivotArea>
    </format>
    <format dxfId="274">
      <pivotArea collapsedLevelsAreSubtotals="1" fieldPosition="0">
        <references count="1">
          <reference field="14" count="1">
            <x v="11"/>
          </reference>
        </references>
      </pivotArea>
    </format>
    <format dxfId="275">
      <pivotArea dataOnly="0" labelOnly="1" fieldPosition="0">
        <references count="1">
          <reference field="14" count="1">
            <x v="11"/>
          </reference>
        </references>
      </pivotArea>
    </format>
    <format dxfId="276">
      <pivotArea field="14" type="button" dataOnly="0" labelOnly="1" outline="0" axis="axisRow" fieldPosition="0"/>
    </format>
    <format dxfId="277">
      <pivotArea dataOnly="0" labelOnly="1" outline="0" fieldPosition="0">
        <references count="1">
          <reference field="4294967294" count="4">
            <x v="0"/>
            <x v="2"/>
            <x v="3"/>
            <x v="4"/>
          </reference>
        </references>
      </pivotArea>
    </format>
    <format dxfId="278">
      <pivotArea dataOnly="0" labelOnly="1" outline="0" fieldPosition="0">
        <references count="1">
          <reference field="4294967294" count="4">
            <x v="0"/>
            <x v="2"/>
            <x v="3"/>
            <x v="4"/>
          </reference>
        </references>
      </pivotArea>
    </format>
    <format dxfId="279">
      <pivotArea dataOnly="0" labelOnly="1" outline="0" fieldPosition="0">
        <references count="1">
          <reference field="4294967294" count="4">
            <x v="0"/>
            <x v="2"/>
            <x v="3"/>
            <x v="4"/>
          </reference>
        </references>
      </pivotArea>
    </format>
    <format dxfId="280">
      <pivotArea outline="0" collapsedLevelsAreSubtotals="1" fieldPosition="0">
        <references count="1">
          <reference field="4294967294" count="1" selected="0">
            <x v="3"/>
          </reference>
        </references>
      </pivotArea>
    </format>
    <format dxfId="281">
      <pivotArea dataOnly="0" labelOnly="1" outline="0" fieldPosition="0">
        <references count="1">
          <reference field="4294967294" count="1">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50708D-309B-4687-8219-453A2C7D759D}" name="PivotTable1" cacheId="48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1" firstHeaderRow="0" firstDataRow="1" firstDataCol="1" rowPageCount="1" colPageCount="1"/>
  <pivotFields count="22">
    <pivotField dataField="1"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axis="axisRow" showAll="0">
      <items count="25">
        <item m="1" x="22"/>
        <item x="6"/>
        <item x="2"/>
        <item x="3"/>
        <item x="13"/>
        <item x="11"/>
        <item x="14"/>
        <item x="7"/>
        <item x="9"/>
        <item m="1" x="21"/>
        <item x="1"/>
        <item x="16"/>
        <item m="1" x="23"/>
        <item x="10"/>
        <item x="0"/>
        <item m="1" x="19"/>
        <item x="18"/>
        <item m="1" x="20"/>
        <item x="17"/>
        <item x="5"/>
        <item x="4"/>
        <item x="8"/>
        <item x="15"/>
        <item x="12"/>
        <item t="default"/>
      </items>
    </pivotField>
    <pivotField showAll="0"/>
    <pivotField showAll="0"/>
    <pivotField showAll="0"/>
    <pivotField axis="axisPage" multipleItemSelectionAllowed="1" showAll="0">
      <items count="4">
        <item x="0"/>
        <item h="1" x="1"/>
        <item x="2"/>
        <item t="default"/>
      </items>
    </pivotField>
    <pivotField showAll="0"/>
    <pivotField showAll="0"/>
    <pivotField dataField="1" dragToRow="0" dragToCol="0" dragToPage="0" showAll="0" defaultSubtotal="0"/>
  </pivotFields>
  <rowFields count="1">
    <field x="14"/>
  </rowFields>
  <rowItems count="18">
    <i>
      <x v="1"/>
    </i>
    <i>
      <x v="2"/>
    </i>
    <i>
      <x v="3"/>
    </i>
    <i>
      <x v="4"/>
    </i>
    <i>
      <x v="5"/>
    </i>
    <i>
      <x v="6"/>
    </i>
    <i>
      <x v="7"/>
    </i>
    <i>
      <x v="8"/>
    </i>
    <i>
      <x v="10"/>
    </i>
    <i>
      <x v="11"/>
    </i>
    <i>
      <x v="13"/>
    </i>
    <i>
      <x v="14"/>
    </i>
    <i>
      <x v="16"/>
    </i>
    <i>
      <x v="18"/>
    </i>
    <i>
      <x v="19"/>
    </i>
    <i>
      <x v="20"/>
    </i>
    <i>
      <x v="22"/>
    </i>
    <i t="grand">
      <x/>
    </i>
  </rowItems>
  <colFields count="1">
    <field x="-2"/>
  </colFields>
  <colItems count="5">
    <i>
      <x/>
    </i>
    <i i="1">
      <x v="1"/>
    </i>
    <i i="2">
      <x v="2"/>
    </i>
    <i i="3">
      <x v="3"/>
    </i>
    <i i="4">
      <x v="4"/>
    </i>
  </colItems>
  <pageFields count="1">
    <pageField fld="18" hier="-1"/>
  </pageFields>
  <dataFields count="5">
    <dataField name="Sum of Billable Hours " fld="6" baseField="0" baseItem="0"/>
    <dataField name="Sum of Non Billable Hours " fld="7" baseField="0" baseItem="0"/>
    <dataField name="Sum of Tota Hrs Exc Leave" fld="9" baseField="0" baseItem="0"/>
    <dataField name="Sum of Utlization %" fld="21" baseField="14" baseItem="0" numFmtId="10"/>
    <dataField name="Count of Employee Number" fld="0" subtotal="count" baseField="14" baseItem="2"/>
  </dataFields>
  <formats count="7">
    <format dxfId="263">
      <pivotArea outline="0" collapsedLevelsAreSubtotals="1" fieldPosition="0">
        <references count="1">
          <reference field="4294967294" count="1" selected="0">
            <x v="3"/>
          </reference>
        </references>
      </pivotArea>
    </format>
    <format dxfId="264">
      <pivotArea dataOnly="0" labelOnly="1" outline="0" fieldPosition="0">
        <references count="1">
          <reference field="4294967294" count="1">
            <x v="3"/>
          </reference>
        </references>
      </pivotArea>
    </format>
    <format dxfId="265">
      <pivotArea dataOnly="0" labelOnly="1" outline="0" fieldPosition="0">
        <references count="1">
          <reference field="4294967294" count="4">
            <x v="0"/>
            <x v="2"/>
            <x v="3"/>
            <x v="4"/>
          </reference>
        </references>
      </pivotArea>
    </format>
    <format dxfId="266">
      <pivotArea dataOnly="0" labelOnly="1" outline="0" fieldPosition="0">
        <references count="1">
          <reference field="4294967294" count="4">
            <x v="0"/>
            <x v="2"/>
            <x v="3"/>
            <x v="4"/>
          </reference>
        </references>
      </pivotArea>
    </format>
    <format dxfId="267">
      <pivotArea collapsedLevelsAreSubtotals="1" fieldPosition="0">
        <references count="2">
          <reference field="4294967294" count="1" selected="0">
            <x v="3"/>
          </reference>
          <reference field="14" count="1">
            <x v="14"/>
          </reference>
        </references>
      </pivotArea>
    </format>
    <format dxfId="268">
      <pivotArea collapsedLevelsAreSubtotals="1" fieldPosition="0">
        <references count="2">
          <reference field="4294967294" count="1" selected="0">
            <x v="3"/>
          </reference>
          <reference field="14" count="1">
            <x v="10"/>
          </reference>
        </references>
      </pivotArea>
    </format>
    <format dxfId="269">
      <pivotArea dataOnly="0" labelOnly="1" outline="0" fieldPosition="0">
        <references count="1">
          <reference field="4294967294" count="1">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1EAF2-930F-423B-8CB0-CC5AFDDB3447}">
  <dimension ref="B2:G77"/>
  <sheetViews>
    <sheetView workbookViewId="0">
      <selection activeCell="B4" sqref="B4"/>
    </sheetView>
  </sheetViews>
  <sheetFormatPr defaultRowHeight="14.45"/>
  <cols>
    <col min="2" max="2" width="30.140625" bestFit="1" customWidth="1"/>
    <col min="3" max="3" width="13.7109375" customWidth="1"/>
    <col min="4" max="4" width="25" customWidth="1"/>
    <col min="5" max="5" width="24.42578125" style="50" bestFit="1" customWidth="1"/>
    <col min="6" max="6" width="9.140625" customWidth="1"/>
    <col min="7" max="7" width="25" bestFit="1" customWidth="1"/>
  </cols>
  <sheetData>
    <row r="2" spans="2:7">
      <c r="B2" s="48" t="s">
        <v>0</v>
      </c>
      <c r="C2" t="s">
        <v>1</v>
      </c>
    </row>
    <row r="4" spans="2:7" ht="43.15">
      <c r="B4" s="55" t="s">
        <v>2</v>
      </c>
      <c r="C4" s="56" t="s">
        <v>3</v>
      </c>
      <c r="D4" t="s">
        <v>4</v>
      </c>
      <c r="E4" s="56" t="s">
        <v>5</v>
      </c>
      <c r="F4" s="59" t="s">
        <v>6</v>
      </c>
      <c r="G4" s="56" t="s">
        <v>7</v>
      </c>
    </row>
    <row r="5" spans="2:7">
      <c r="B5" s="49" t="s">
        <v>8</v>
      </c>
      <c r="C5">
        <v>90</v>
      </c>
      <c r="D5">
        <v>603</v>
      </c>
      <c r="E5">
        <v>693</v>
      </c>
      <c r="F5" s="16">
        <v>0.12987012987012986</v>
      </c>
      <c r="G5">
        <v>4</v>
      </c>
    </row>
    <row r="6" spans="2:7">
      <c r="B6" s="49" t="s">
        <v>9</v>
      </c>
      <c r="C6">
        <v>127.28</v>
      </c>
      <c r="D6">
        <v>1258.72</v>
      </c>
      <c r="E6">
        <v>1386</v>
      </c>
      <c r="F6" s="16">
        <v>9.1832611832611835E-2</v>
      </c>
      <c r="G6">
        <v>8</v>
      </c>
    </row>
    <row r="7" spans="2:7">
      <c r="B7" s="49" t="s">
        <v>10</v>
      </c>
      <c r="C7">
        <v>310.5</v>
      </c>
      <c r="D7">
        <v>2205</v>
      </c>
      <c r="E7">
        <v>2515.5</v>
      </c>
      <c r="F7" s="16">
        <v>0.12343470483005367</v>
      </c>
      <c r="G7">
        <v>19</v>
      </c>
    </row>
    <row r="8" spans="2:7">
      <c r="B8" s="49" t="s">
        <v>11</v>
      </c>
      <c r="C8">
        <v>250</v>
      </c>
      <c r="D8">
        <v>429.5</v>
      </c>
      <c r="E8">
        <v>679.5</v>
      </c>
      <c r="F8" s="16">
        <v>0.36791758646063283</v>
      </c>
      <c r="G8">
        <v>4</v>
      </c>
    </row>
    <row r="9" spans="2:7">
      <c r="B9" s="49" t="s">
        <v>12</v>
      </c>
      <c r="C9">
        <v>153</v>
      </c>
      <c r="D9">
        <v>180</v>
      </c>
      <c r="E9">
        <v>333</v>
      </c>
      <c r="F9" s="16">
        <v>0.45945945945945948</v>
      </c>
      <c r="G9">
        <v>2</v>
      </c>
    </row>
    <row r="10" spans="2:7">
      <c r="B10" s="49" t="s">
        <v>13</v>
      </c>
      <c r="C10">
        <v>315</v>
      </c>
      <c r="D10">
        <v>180</v>
      </c>
      <c r="E10">
        <v>495</v>
      </c>
      <c r="F10" s="16">
        <v>0.63636363636363635</v>
      </c>
      <c r="G10">
        <v>3</v>
      </c>
    </row>
    <row r="11" spans="2:7">
      <c r="B11" s="49" t="s">
        <v>14</v>
      </c>
      <c r="C11">
        <v>5</v>
      </c>
      <c r="D11">
        <v>508</v>
      </c>
      <c r="E11">
        <v>513</v>
      </c>
      <c r="F11" s="16">
        <v>9.7465886939571145E-3</v>
      </c>
      <c r="G11">
        <v>3</v>
      </c>
    </row>
    <row r="12" spans="2:7">
      <c r="B12" s="53" t="s">
        <v>15</v>
      </c>
      <c r="C12" s="69">
        <v>11224.65</v>
      </c>
      <c r="D12" s="69">
        <v>2342.85</v>
      </c>
      <c r="E12" s="69">
        <v>13567.5</v>
      </c>
      <c r="F12" s="54">
        <v>0.82731896075179656</v>
      </c>
      <c r="G12" s="69">
        <v>84</v>
      </c>
    </row>
    <row r="13" spans="2:7">
      <c r="B13" s="49" t="s">
        <v>16</v>
      </c>
      <c r="C13">
        <v>180</v>
      </c>
      <c r="D13">
        <v>1998</v>
      </c>
      <c r="E13">
        <v>2178</v>
      </c>
      <c r="F13" s="16">
        <v>8.2644628099173556E-2</v>
      </c>
      <c r="G13">
        <v>13</v>
      </c>
    </row>
    <row r="14" spans="2:7">
      <c r="B14" s="49" t="s">
        <v>17</v>
      </c>
      <c r="C14">
        <v>2</v>
      </c>
      <c r="D14">
        <v>155.5</v>
      </c>
      <c r="E14">
        <v>157.5</v>
      </c>
      <c r="F14" s="16">
        <v>1.2698412698412698E-2</v>
      </c>
      <c r="G14">
        <v>1</v>
      </c>
    </row>
    <row r="15" spans="2:7">
      <c r="B15" s="49" t="s">
        <v>18</v>
      </c>
      <c r="C15">
        <v>0</v>
      </c>
      <c r="D15">
        <v>180</v>
      </c>
      <c r="E15">
        <v>180</v>
      </c>
      <c r="F15" s="16">
        <v>0</v>
      </c>
      <c r="G15">
        <v>1</v>
      </c>
    </row>
    <row r="16" spans="2:7">
      <c r="B16" s="53" t="s">
        <v>19</v>
      </c>
      <c r="C16" s="69">
        <v>26548.799999999999</v>
      </c>
      <c r="D16" s="69">
        <v>1000.2</v>
      </c>
      <c r="E16" s="69">
        <v>27549</v>
      </c>
      <c r="F16" s="54">
        <v>0.9636937819884569</v>
      </c>
      <c r="G16" s="69">
        <v>169</v>
      </c>
    </row>
    <row r="17" spans="2:7">
      <c r="B17" s="49" t="s">
        <v>20</v>
      </c>
      <c r="C17">
        <v>0</v>
      </c>
      <c r="D17">
        <v>180</v>
      </c>
      <c r="E17">
        <v>180</v>
      </c>
      <c r="F17" s="16">
        <v>0</v>
      </c>
      <c r="G17">
        <v>1</v>
      </c>
    </row>
    <row r="18" spans="2:7">
      <c r="B18" s="49" t="s">
        <v>21</v>
      </c>
      <c r="C18">
        <v>39206.230000000003</v>
      </c>
      <c r="D18">
        <v>11220.77</v>
      </c>
      <c r="E18">
        <v>50427</v>
      </c>
      <c r="F18" s="16">
        <v>0.77748487913221098</v>
      </c>
      <c r="G18">
        <v>312</v>
      </c>
    </row>
    <row r="19" spans="2:7">
      <c r="E19"/>
    </row>
    <row r="20" spans="2:7">
      <c r="E20"/>
    </row>
    <row r="21" spans="2:7">
      <c r="E21"/>
    </row>
    <row r="22" spans="2:7">
      <c r="E22"/>
    </row>
    <row r="23" spans="2:7">
      <c r="E23"/>
    </row>
    <row r="24" spans="2:7">
      <c r="E24"/>
    </row>
    <row r="25" spans="2:7">
      <c r="E25"/>
    </row>
    <row r="26" spans="2:7">
      <c r="E26"/>
    </row>
    <row r="27" spans="2:7">
      <c r="E27"/>
    </row>
    <row r="28" spans="2:7">
      <c r="E28"/>
    </row>
    <row r="29" spans="2:7">
      <c r="E29"/>
    </row>
    <row r="30" spans="2:7">
      <c r="E30"/>
    </row>
    <row r="31" spans="2:7">
      <c r="E31"/>
    </row>
    <row r="32" spans="2:7">
      <c r="E32"/>
    </row>
    <row r="33" spans="5:5">
      <c r="E33"/>
    </row>
    <row r="34" spans="5:5">
      <c r="E34"/>
    </row>
    <row r="35" spans="5:5">
      <c r="E35"/>
    </row>
    <row r="36" spans="5:5">
      <c r="E36"/>
    </row>
    <row r="37" spans="5:5">
      <c r="E37"/>
    </row>
    <row r="38" spans="5:5">
      <c r="E38"/>
    </row>
    <row r="39" spans="5:5">
      <c r="E39"/>
    </row>
    <row r="40" spans="5:5">
      <c r="E40"/>
    </row>
    <row r="41" spans="5:5">
      <c r="E41"/>
    </row>
    <row r="42" spans="5:5">
      <c r="E42"/>
    </row>
    <row r="43" spans="5:5">
      <c r="E43"/>
    </row>
    <row r="44" spans="5:5">
      <c r="E44"/>
    </row>
    <row r="45" spans="5:5">
      <c r="E45"/>
    </row>
    <row r="46" spans="5:5">
      <c r="E46"/>
    </row>
    <row r="47" spans="5:5">
      <c r="E47"/>
    </row>
    <row r="48" spans="5:5">
      <c r="E48"/>
    </row>
    <row r="49" spans="5:5">
      <c r="E49"/>
    </row>
    <row r="50" spans="5:5">
      <c r="E50"/>
    </row>
    <row r="51" spans="5:5">
      <c r="E51"/>
    </row>
    <row r="52" spans="5:5">
      <c r="E52"/>
    </row>
    <row r="53" spans="5:5">
      <c r="E53"/>
    </row>
    <row r="54" spans="5:5">
      <c r="E54"/>
    </row>
    <row r="55" spans="5:5">
      <c r="E55"/>
    </row>
    <row r="56" spans="5:5">
      <c r="E56"/>
    </row>
    <row r="57" spans="5:5">
      <c r="E57"/>
    </row>
    <row r="58" spans="5:5">
      <c r="E58"/>
    </row>
    <row r="59" spans="5:5">
      <c r="E59"/>
    </row>
    <row r="60" spans="5:5">
      <c r="E60"/>
    </row>
    <row r="61" spans="5:5">
      <c r="E61"/>
    </row>
    <row r="62" spans="5:5">
      <c r="E62"/>
    </row>
    <row r="63" spans="5:5">
      <c r="E63"/>
    </row>
    <row r="64" spans="5:5">
      <c r="E64"/>
    </row>
    <row r="65" spans="5:5">
      <c r="E65"/>
    </row>
    <row r="66" spans="5:5">
      <c r="E66"/>
    </row>
    <row r="67" spans="5:5">
      <c r="E67"/>
    </row>
    <row r="68" spans="5:5">
      <c r="E68"/>
    </row>
    <row r="69" spans="5:5">
      <c r="E69"/>
    </row>
    <row r="70" spans="5:5">
      <c r="E70"/>
    </row>
    <row r="71" spans="5:5">
      <c r="E71"/>
    </row>
    <row r="72" spans="5:5">
      <c r="E72"/>
    </row>
    <row r="73" spans="5:5">
      <c r="E73"/>
    </row>
    <row r="74" spans="5:5">
      <c r="E74"/>
    </row>
    <row r="75" spans="5:5">
      <c r="E75"/>
    </row>
    <row r="76" spans="5:5">
      <c r="E76"/>
    </row>
    <row r="77" spans="5:5">
      <c r="E7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42A2B-2E2A-4FCF-9B00-11201E77F7FD}">
  <dimension ref="A1:J28"/>
  <sheetViews>
    <sheetView topLeftCell="A11" workbookViewId="0">
      <selection activeCell="B7" sqref="B7"/>
    </sheetView>
  </sheetViews>
  <sheetFormatPr defaultRowHeight="14.45"/>
  <cols>
    <col min="1" max="1" width="59.85546875" customWidth="1"/>
    <col min="2" max="2" width="14.140625" customWidth="1"/>
    <col min="3" max="3" width="15.42578125" customWidth="1"/>
    <col min="4" max="4" width="14.42578125" customWidth="1"/>
    <col min="5" max="5" width="15.5703125" customWidth="1"/>
    <col min="6" max="6" width="14.7109375" customWidth="1"/>
    <col min="7" max="7" width="14.28515625" bestFit="1" customWidth="1"/>
    <col min="8" max="8" width="13.28515625" bestFit="1" customWidth="1"/>
    <col min="9" max="10" width="14.28515625" bestFit="1" customWidth="1"/>
  </cols>
  <sheetData>
    <row r="1" spans="1:10">
      <c r="B1" s="57" t="s">
        <v>22</v>
      </c>
      <c r="C1" s="57" t="s">
        <v>23</v>
      </c>
      <c r="D1" s="57" t="s">
        <v>24</v>
      </c>
      <c r="E1" s="57" t="s">
        <v>25</v>
      </c>
      <c r="F1" s="57" t="s">
        <v>26</v>
      </c>
      <c r="G1" s="57" t="s">
        <v>27</v>
      </c>
      <c r="H1" s="57" t="s">
        <v>28</v>
      </c>
      <c r="I1" s="57" t="s">
        <v>29</v>
      </c>
      <c r="J1" s="57" t="s">
        <v>30</v>
      </c>
    </row>
    <row r="2" spans="1:10">
      <c r="A2" s="3" t="s">
        <v>31</v>
      </c>
      <c r="B2" s="3">
        <v>8</v>
      </c>
      <c r="C2" s="3">
        <v>15</v>
      </c>
      <c r="D2" s="3">
        <v>25</v>
      </c>
      <c r="E2" s="3">
        <v>25</v>
      </c>
      <c r="F2" s="3">
        <v>34</v>
      </c>
      <c r="G2" s="3">
        <v>32</v>
      </c>
      <c r="H2" s="3">
        <v>38</v>
      </c>
      <c r="I2" s="3"/>
      <c r="J2" s="3"/>
    </row>
    <row r="3" spans="1:10">
      <c r="A3" s="3" t="s">
        <v>32</v>
      </c>
      <c r="B3" s="3">
        <v>14</v>
      </c>
      <c r="C3" s="3">
        <v>12</v>
      </c>
      <c r="D3" s="3">
        <v>11</v>
      </c>
      <c r="E3" s="3">
        <v>14</v>
      </c>
      <c r="F3" s="3">
        <v>13</v>
      </c>
      <c r="G3" s="3">
        <v>16</v>
      </c>
      <c r="H3">
        <v>20</v>
      </c>
      <c r="I3" s="3"/>
      <c r="J3" s="3"/>
    </row>
    <row r="4" spans="1:10">
      <c r="A4" s="57" t="s">
        <v>33</v>
      </c>
      <c r="B4" s="18">
        <f t="shared" ref="B4:H4" si="0">SUM(B2:B3)</f>
        <v>22</v>
      </c>
      <c r="C4" s="18">
        <f t="shared" si="0"/>
        <v>27</v>
      </c>
      <c r="D4" s="3">
        <f t="shared" si="0"/>
        <v>36</v>
      </c>
      <c r="E4" s="3">
        <f t="shared" si="0"/>
        <v>39</v>
      </c>
      <c r="F4" s="3">
        <f t="shared" si="0"/>
        <v>47</v>
      </c>
      <c r="G4" s="3">
        <f t="shared" si="0"/>
        <v>48</v>
      </c>
      <c r="H4" s="3">
        <f t="shared" si="0"/>
        <v>58</v>
      </c>
      <c r="I4" s="3"/>
      <c r="J4" s="3"/>
    </row>
    <row r="5" spans="1:10">
      <c r="A5" s="3" t="s">
        <v>34</v>
      </c>
      <c r="B5" s="3">
        <v>89</v>
      </c>
      <c r="C5" s="3">
        <v>92</v>
      </c>
      <c r="D5" s="3">
        <v>83</v>
      </c>
      <c r="E5" s="3">
        <v>84</v>
      </c>
      <c r="F5" s="3">
        <v>85</v>
      </c>
      <c r="G5" s="3">
        <v>92</v>
      </c>
      <c r="H5" s="3">
        <v>93</v>
      </c>
      <c r="I5" s="3"/>
      <c r="J5" s="3"/>
    </row>
    <row r="6" spans="1:10">
      <c r="A6" s="3" t="s">
        <v>35</v>
      </c>
      <c r="B6" s="3">
        <v>16</v>
      </c>
      <c r="C6" s="3">
        <v>20</v>
      </c>
      <c r="D6" s="3">
        <v>6</v>
      </c>
      <c r="E6" s="3">
        <v>12</v>
      </c>
      <c r="F6" s="3">
        <v>22</v>
      </c>
      <c r="G6" s="3">
        <v>20</v>
      </c>
      <c r="H6" s="3">
        <v>21</v>
      </c>
      <c r="I6" s="3"/>
      <c r="J6" s="3"/>
    </row>
    <row r="7" spans="1:10">
      <c r="A7" s="57" t="s">
        <v>36</v>
      </c>
      <c r="B7" s="52">
        <f t="shared" ref="B7:H7" si="1">SUM(B5:B6)</f>
        <v>105</v>
      </c>
      <c r="C7" s="52">
        <f t="shared" si="1"/>
        <v>112</v>
      </c>
      <c r="D7" s="52">
        <f t="shared" si="1"/>
        <v>89</v>
      </c>
      <c r="E7" s="52">
        <f t="shared" si="1"/>
        <v>96</v>
      </c>
      <c r="F7" s="52">
        <f t="shared" si="1"/>
        <v>107</v>
      </c>
      <c r="G7" s="52">
        <f t="shared" si="1"/>
        <v>112</v>
      </c>
      <c r="H7" s="52">
        <f t="shared" si="1"/>
        <v>114</v>
      </c>
      <c r="I7" s="3"/>
      <c r="J7" s="3"/>
    </row>
    <row r="8" spans="1:10">
      <c r="A8" s="3" t="s">
        <v>37</v>
      </c>
      <c r="B8" s="3">
        <v>0</v>
      </c>
      <c r="C8" s="3">
        <v>0</v>
      </c>
      <c r="D8" s="3">
        <v>0</v>
      </c>
      <c r="E8" s="3">
        <v>0</v>
      </c>
      <c r="F8" s="3">
        <v>2</v>
      </c>
      <c r="G8" s="3">
        <v>3</v>
      </c>
      <c r="H8" s="3">
        <v>3</v>
      </c>
      <c r="I8" s="3"/>
      <c r="J8" s="3"/>
    </row>
    <row r="9" spans="1:10">
      <c r="A9" s="3" t="s">
        <v>38</v>
      </c>
      <c r="B9" s="3">
        <v>5</v>
      </c>
      <c r="C9" s="3">
        <v>5</v>
      </c>
      <c r="D9" s="3">
        <v>5</v>
      </c>
      <c r="E9" s="3">
        <v>5</v>
      </c>
      <c r="F9" s="3">
        <v>5</v>
      </c>
      <c r="G9" s="3">
        <v>5</v>
      </c>
      <c r="H9" s="3">
        <v>5</v>
      </c>
      <c r="I9" s="3"/>
      <c r="J9" s="3"/>
    </row>
    <row r="10" spans="1:10">
      <c r="A10" s="3" t="s">
        <v>39</v>
      </c>
      <c r="B10" s="3">
        <v>18</v>
      </c>
      <c r="C10" s="3">
        <v>18</v>
      </c>
      <c r="D10" s="3">
        <v>17</v>
      </c>
      <c r="E10" s="3">
        <v>16</v>
      </c>
      <c r="F10" s="3">
        <v>16</v>
      </c>
      <c r="G10" s="3">
        <v>16</v>
      </c>
      <c r="H10" s="3">
        <v>15</v>
      </c>
      <c r="I10" s="3"/>
      <c r="J10" s="3"/>
    </row>
    <row r="11" spans="1:10">
      <c r="A11" s="3" t="s">
        <v>40</v>
      </c>
      <c r="B11" s="3"/>
      <c r="C11" s="3"/>
      <c r="D11" s="3"/>
      <c r="E11" s="3"/>
      <c r="F11" s="3"/>
      <c r="G11" s="3"/>
      <c r="H11" s="3"/>
      <c r="I11" s="3"/>
      <c r="J11" s="3"/>
    </row>
    <row r="12" spans="1:10">
      <c r="A12" s="57" t="s">
        <v>41</v>
      </c>
      <c r="B12" s="3"/>
      <c r="C12" s="3"/>
      <c r="D12" s="3"/>
      <c r="E12" s="3"/>
      <c r="F12" s="3"/>
      <c r="G12" s="3"/>
      <c r="H12" s="3"/>
      <c r="I12" s="3"/>
      <c r="J12" s="3"/>
    </row>
    <row r="13" spans="1:10">
      <c r="A13" s="4" t="s">
        <v>42</v>
      </c>
      <c r="B13" s="3">
        <v>351</v>
      </c>
      <c r="C13" s="3">
        <v>354</v>
      </c>
      <c r="D13" s="3">
        <v>355</v>
      </c>
      <c r="E13" s="3">
        <v>355</v>
      </c>
      <c r="F13" s="3">
        <v>360</v>
      </c>
      <c r="G13" s="3">
        <v>359</v>
      </c>
      <c r="H13" s="3">
        <v>355</v>
      </c>
      <c r="I13" s="3"/>
      <c r="J13" s="3"/>
    </row>
    <row r="14" spans="1:10">
      <c r="A14" s="4" t="s">
        <v>43</v>
      </c>
      <c r="B14" s="3">
        <v>27</v>
      </c>
      <c r="C14" s="3">
        <v>29</v>
      </c>
      <c r="D14" s="3">
        <v>30</v>
      </c>
      <c r="E14" s="3">
        <v>33</v>
      </c>
      <c r="F14" s="3">
        <v>24</v>
      </c>
      <c r="G14" s="3">
        <v>25</v>
      </c>
      <c r="H14" s="3">
        <v>25</v>
      </c>
      <c r="I14" s="3"/>
      <c r="J14" s="3"/>
    </row>
    <row r="15" spans="1:10">
      <c r="A15" s="4" t="s">
        <v>44</v>
      </c>
      <c r="B15" s="3">
        <v>18</v>
      </c>
      <c r="C15" s="3">
        <v>18</v>
      </c>
      <c r="D15" s="3">
        <v>17</v>
      </c>
      <c r="E15" s="3">
        <v>16</v>
      </c>
      <c r="F15" s="3">
        <v>15</v>
      </c>
      <c r="G15" s="3">
        <v>15</v>
      </c>
      <c r="H15" s="3">
        <v>14</v>
      </c>
      <c r="I15" s="3"/>
      <c r="J15" s="3"/>
    </row>
    <row r="16" spans="1:10">
      <c r="A16" s="57" t="s">
        <v>45</v>
      </c>
      <c r="B16" s="52">
        <f t="shared" ref="B16:H16" si="2">SUM(B13:B15)</f>
        <v>396</v>
      </c>
      <c r="C16" s="52">
        <f t="shared" si="2"/>
        <v>401</v>
      </c>
      <c r="D16" s="52">
        <f t="shared" si="2"/>
        <v>402</v>
      </c>
      <c r="E16" s="52">
        <f t="shared" si="2"/>
        <v>404</v>
      </c>
      <c r="F16" s="52">
        <f t="shared" si="2"/>
        <v>399</v>
      </c>
      <c r="G16" s="52">
        <f t="shared" si="2"/>
        <v>399</v>
      </c>
      <c r="H16" s="52">
        <f t="shared" si="2"/>
        <v>394</v>
      </c>
      <c r="I16" s="3"/>
      <c r="J16" s="3"/>
    </row>
    <row r="17" spans="1:10">
      <c r="A17" s="4" t="s">
        <v>46</v>
      </c>
      <c r="B17" s="52"/>
      <c r="C17" s="52"/>
      <c r="D17" s="52"/>
      <c r="E17" s="52"/>
      <c r="F17" s="52"/>
      <c r="G17" s="3"/>
      <c r="H17" s="3"/>
      <c r="I17" s="3"/>
      <c r="J17" s="3"/>
    </row>
    <row r="18" spans="1:10">
      <c r="A18" s="4" t="s">
        <v>47</v>
      </c>
      <c r="B18" s="52"/>
      <c r="C18" s="52"/>
      <c r="D18" s="52"/>
      <c r="E18" s="52"/>
      <c r="F18" s="52"/>
      <c r="G18" s="3"/>
      <c r="H18" s="3"/>
      <c r="I18" s="3"/>
      <c r="J18" s="3"/>
    </row>
    <row r="19" spans="1:10">
      <c r="A19" s="4" t="s">
        <v>48</v>
      </c>
      <c r="B19" s="52"/>
      <c r="C19" s="52"/>
      <c r="D19" s="52"/>
      <c r="E19" s="52"/>
      <c r="F19" s="52"/>
      <c r="G19" s="3"/>
      <c r="H19" s="3"/>
      <c r="I19" s="3"/>
      <c r="J19" s="3"/>
    </row>
    <row r="20" spans="1:10">
      <c r="A20" s="4" t="s">
        <v>49</v>
      </c>
      <c r="B20" s="52"/>
      <c r="C20" s="52"/>
      <c r="D20" s="52"/>
      <c r="E20" s="52"/>
      <c r="F20" s="52"/>
      <c r="G20" s="3"/>
      <c r="H20" s="3"/>
      <c r="I20" s="3"/>
      <c r="J20" s="3"/>
    </row>
    <row r="21" spans="1:10">
      <c r="A21" s="4" t="s">
        <v>50</v>
      </c>
      <c r="B21" s="52"/>
      <c r="C21" s="52"/>
      <c r="D21" s="52"/>
      <c r="E21" s="52"/>
      <c r="F21" s="52"/>
      <c r="G21" s="3"/>
      <c r="H21" s="3"/>
      <c r="I21" s="3"/>
      <c r="J21" s="3"/>
    </row>
    <row r="22" spans="1:10">
      <c r="A22" s="57" t="s">
        <v>51</v>
      </c>
      <c r="B22" s="52">
        <f>B16</f>
        <v>396</v>
      </c>
      <c r="C22" s="52">
        <f t="shared" ref="C22:F22" si="3">C16</f>
        <v>401</v>
      </c>
      <c r="D22" s="52">
        <f t="shared" si="3"/>
        <v>402</v>
      </c>
      <c r="E22" s="52">
        <f t="shared" si="3"/>
        <v>404</v>
      </c>
      <c r="F22" s="52">
        <f t="shared" si="3"/>
        <v>399</v>
      </c>
      <c r="G22" s="52">
        <f>G16</f>
        <v>399</v>
      </c>
      <c r="H22" s="52">
        <f>H16</f>
        <v>394</v>
      </c>
      <c r="I22" s="3"/>
      <c r="J22" s="3"/>
    </row>
    <row r="23" spans="1:10">
      <c r="A23" s="57"/>
      <c r="B23" s="52"/>
      <c r="C23" s="52"/>
      <c r="D23" s="52"/>
      <c r="E23" s="52"/>
      <c r="F23" s="19"/>
      <c r="G23" s="3"/>
      <c r="H23" s="3"/>
      <c r="I23" s="3"/>
      <c r="J23" s="3"/>
    </row>
    <row r="24" spans="1:10">
      <c r="A24" s="58" t="s">
        <v>52</v>
      </c>
      <c r="B24" s="60">
        <v>0.75093740450837976</v>
      </c>
      <c r="C24" s="60">
        <v>0.74</v>
      </c>
      <c r="D24" s="60">
        <v>0.75</v>
      </c>
      <c r="E24" s="17">
        <v>0.76259999999999994</v>
      </c>
      <c r="F24" s="17">
        <v>0.76466782643773801</v>
      </c>
      <c r="G24" s="17">
        <v>0.75209999999999999</v>
      </c>
      <c r="H24" s="17">
        <v>0.75009999999999999</v>
      </c>
      <c r="I24" s="3"/>
      <c r="J24" s="3"/>
    </row>
    <row r="25" spans="1:10">
      <c r="A25" s="52" t="s">
        <v>53</v>
      </c>
      <c r="B25" s="3">
        <v>1</v>
      </c>
      <c r="C25" s="3">
        <v>2</v>
      </c>
      <c r="D25" s="3">
        <v>4</v>
      </c>
      <c r="E25" s="3">
        <v>1</v>
      </c>
      <c r="F25" s="3">
        <v>2</v>
      </c>
      <c r="G25" s="3"/>
      <c r="H25" s="3">
        <v>0</v>
      </c>
      <c r="I25" s="3"/>
      <c r="J25" s="3"/>
    </row>
    <row r="26" spans="1:10">
      <c r="A26" s="52" t="s">
        <v>54</v>
      </c>
      <c r="B26" s="3">
        <v>2</v>
      </c>
      <c r="C26" s="3">
        <v>2</v>
      </c>
      <c r="D26" s="3">
        <v>4</v>
      </c>
      <c r="E26" s="3">
        <v>2</v>
      </c>
      <c r="F26" s="3">
        <v>1</v>
      </c>
      <c r="G26" s="3">
        <v>3</v>
      </c>
      <c r="H26" s="3">
        <v>0</v>
      </c>
      <c r="I26" s="3"/>
      <c r="J26" s="3"/>
    </row>
    <row r="27" spans="1:10">
      <c r="A27" s="64" t="s">
        <v>55</v>
      </c>
      <c r="B27" s="12">
        <v>0</v>
      </c>
      <c r="C27" s="12">
        <v>7</v>
      </c>
      <c r="D27" s="12">
        <v>3</v>
      </c>
      <c r="E27" s="12">
        <v>4</v>
      </c>
      <c r="F27" s="12"/>
      <c r="G27" s="12"/>
      <c r="H27" s="12"/>
      <c r="I27" s="12"/>
      <c r="J27" s="12"/>
    </row>
    <row r="28" spans="1:10">
      <c r="A28" s="52" t="s">
        <v>56</v>
      </c>
      <c r="B28" s="3"/>
      <c r="C28" s="3"/>
      <c r="D28" s="3"/>
      <c r="E28" s="3"/>
      <c r="F28" s="3">
        <v>3</v>
      </c>
      <c r="G28" s="3">
        <v>3</v>
      </c>
      <c r="H28" s="3">
        <v>3</v>
      </c>
      <c r="I28" s="3"/>
      <c r="J2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2A34F-0EB9-47A5-B059-F6675081E778}">
  <dimension ref="A1:U322"/>
  <sheetViews>
    <sheetView workbookViewId="0">
      <selection sqref="A1:XFD1"/>
    </sheetView>
  </sheetViews>
  <sheetFormatPr defaultRowHeight="14.45"/>
  <cols>
    <col min="2" max="2" width="30.42578125" customWidth="1"/>
    <col min="3" max="3" width="10.85546875" customWidth="1"/>
    <col min="4" max="4" width="18.140625" style="11" customWidth="1"/>
    <col min="5" max="8" width="6.7109375" customWidth="1"/>
    <col min="9" max="9" width="6.7109375" style="35" customWidth="1"/>
    <col min="10" max="10" width="6.7109375" style="23" customWidth="1"/>
    <col min="11" max="11" width="14" customWidth="1"/>
    <col min="14" max="14" width="24.28515625" customWidth="1"/>
    <col min="15" max="15" width="12.28515625" customWidth="1"/>
    <col min="16" max="16" width="9.42578125" style="8" customWidth="1"/>
    <col min="17" max="17" width="20" style="8" customWidth="1"/>
    <col min="18" max="18" width="13.28515625" customWidth="1"/>
    <col min="19" max="19" width="8.7109375" customWidth="1"/>
    <col min="20" max="20" width="9.5703125" bestFit="1" customWidth="1"/>
  </cols>
  <sheetData>
    <row r="1" spans="1:21" ht="36">
      <c r="A1" s="7" t="s">
        <v>57</v>
      </c>
      <c r="B1" s="7" t="s">
        <v>58</v>
      </c>
      <c r="C1" s="7" t="s">
        <v>59</v>
      </c>
      <c r="D1" s="10" t="s">
        <v>60</v>
      </c>
      <c r="E1" s="6" t="s">
        <v>61</v>
      </c>
      <c r="F1" s="6" t="s">
        <v>62</v>
      </c>
      <c r="G1" s="46" t="s">
        <v>63</v>
      </c>
      <c r="H1" s="6" t="s">
        <v>64</v>
      </c>
      <c r="I1" s="46" t="s">
        <v>65</v>
      </c>
      <c r="J1" s="6" t="s">
        <v>66</v>
      </c>
      <c r="K1" s="9" t="s">
        <v>67</v>
      </c>
      <c r="L1" s="6" t="s">
        <v>68</v>
      </c>
      <c r="M1" s="6" t="s">
        <v>69</v>
      </c>
      <c r="N1" s="6" t="s">
        <v>70</v>
      </c>
      <c r="O1" s="6" t="s">
        <v>71</v>
      </c>
      <c r="P1" s="21" t="s">
        <v>72</v>
      </c>
      <c r="Q1" s="21" t="s">
        <v>73</v>
      </c>
      <c r="R1" s="22" t="s">
        <v>74</v>
      </c>
      <c r="S1" s="22" t="s">
        <v>0</v>
      </c>
      <c r="T1" s="22" t="s">
        <v>75</v>
      </c>
      <c r="U1" s="6" t="s">
        <v>76</v>
      </c>
    </row>
    <row r="2" spans="1:21">
      <c r="A2" s="30">
        <v>10001</v>
      </c>
      <c r="B2" s="74" t="s">
        <v>77</v>
      </c>
      <c r="C2" s="25">
        <v>42019</v>
      </c>
      <c r="D2" s="14" t="s">
        <v>78</v>
      </c>
      <c r="E2" s="26">
        <v>81</v>
      </c>
      <c r="F2" s="26">
        <v>9</v>
      </c>
      <c r="G2" s="26">
        <v>117</v>
      </c>
      <c r="H2" s="26">
        <v>0</v>
      </c>
      <c r="I2" s="26">
        <v>207</v>
      </c>
      <c r="J2" s="26">
        <v>117</v>
      </c>
      <c r="K2" s="27">
        <v>1</v>
      </c>
      <c r="L2" s="28">
        <v>0</v>
      </c>
      <c r="M2" s="26" t="s">
        <v>79</v>
      </c>
      <c r="N2" s="3" t="s">
        <v>78</v>
      </c>
      <c r="O2" s="36" t="s">
        <v>19</v>
      </c>
      <c r="P2" s="1" t="s">
        <v>80</v>
      </c>
      <c r="Q2" s="1" t="s">
        <v>81</v>
      </c>
      <c r="R2" s="3"/>
      <c r="S2" s="26" t="s">
        <v>1</v>
      </c>
      <c r="T2" s="29" t="s">
        <v>82</v>
      </c>
      <c r="U2" s="3"/>
    </row>
    <row r="3" spans="1:21">
      <c r="A3" s="24">
        <v>10002</v>
      </c>
      <c r="B3" s="74" t="s">
        <v>83</v>
      </c>
      <c r="C3" s="25">
        <v>42310</v>
      </c>
      <c r="D3" s="14" t="s">
        <v>84</v>
      </c>
      <c r="E3" s="26">
        <v>40.5</v>
      </c>
      <c r="F3" s="26">
        <v>9</v>
      </c>
      <c r="G3" s="26">
        <v>157.5</v>
      </c>
      <c r="H3" s="26">
        <v>0</v>
      </c>
      <c r="I3" s="26">
        <v>207</v>
      </c>
      <c r="J3" s="26">
        <v>157.5</v>
      </c>
      <c r="K3" s="27">
        <v>1</v>
      </c>
      <c r="L3" s="28">
        <v>0</v>
      </c>
      <c r="M3" s="26" t="s">
        <v>79</v>
      </c>
      <c r="N3" s="3" t="s">
        <v>84</v>
      </c>
      <c r="O3" s="36" t="s">
        <v>15</v>
      </c>
      <c r="P3" s="1" t="s">
        <v>80</v>
      </c>
      <c r="Q3" s="1" t="s">
        <v>85</v>
      </c>
      <c r="R3" s="3"/>
      <c r="S3" s="26" t="s">
        <v>1</v>
      </c>
      <c r="T3" s="29" t="s">
        <v>82</v>
      </c>
      <c r="U3" s="3"/>
    </row>
    <row r="4" spans="1:21" ht="86.45">
      <c r="A4" s="24">
        <v>10003</v>
      </c>
      <c r="B4" s="74" t="s">
        <v>86</v>
      </c>
      <c r="C4" s="25">
        <v>42552</v>
      </c>
      <c r="D4" s="14" t="s">
        <v>87</v>
      </c>
      <c r="E4" s="26">
        <v>18</v>
      </c>
      <c r="F4" s="26">
        <v>9</v>
      </c>
      <c r="G4" s="26">
        <v>180</v>
      </c>
      <c r="H4" s="26">
        <v>0</v>
      </c>
      <c r="I4" s="26">
        <v>207</v>
      </c>
      <c r="J4" s="26">
        <v>180</v>
      </c>
      <c r="K4" s="27">
        <v>1</v>
      </c>
      <c r="L4" s="28">
        <v>0</v>
      </c>
      <c r="M4" s="26" t="s">
        <v>79</v>
      </c>
      <c r="N4" s="37" t="s">
        <v>88</v>
      </c>
      <c r="O4" s="36" t="s">
        <v>19</v>
      </c>
      <c r="P4" s="1" t="s">
        <v>80</v>
      </c>
      <c r="Q4" s="1" t="s">
        <v>89</v>
      </c>
      <c r="R4" s="3"/>
      <c r="S4" s="26" t="s">
        <v>1</v>
      </c>
      <c r="T4" s="29" t="s">
        <v>82</v>
      </c>
      <c r="U4" s="3"/>
    </row>
    <row r="5" spans="1:21">
      <c r="A5" s="30">
        <v>10004</v>
      </c>
      <c r="B5" s="74" t="s">
        <v>90</v>
      </c>
      <c r="C5" s="25">
        <v>42698</v>
      </c>
      <c r="D5" s="14" t="s">
        <v>91</v>
      </c>
      <c r="E5" s="26">
        <v>54</v>
      </c>
      <c r="F5" s="26">
        <v>18</v>
      </c>
      <c r="G5" s="26">
        <v>135</v>
      </c>
      <c r="H5" s="26">
        <v>0</v>
      </c>
      <c r="I5" s="26">
        <v>207</v>
      </c>
      <c r="J5" s="26">
        <v>135</v>
      </c>
      <c r="K5" s="27">
        <v>1</v>
      </c>
      <c r="L5" s="28">
        <v>0</v>
      </c>
      <c r="M5" s="26" t="s">
        <v>79</v>
      </c>
      <c r="N5" s="3" t="s">
        <v>91</v>
      </c>
      <c r="O5" s="36" t="s">
        <v>19</v>
      </c>
      <c r="P5" s="1" t="s">
        <v>80</v>
      </c>
      <c r="Q5" s="1" t="s">
        <v>92</v>
      </c>
      <c r="R5" s="3"/>
      <c r="S5" s="26" t="s">
        <v>1</v>
      </c>
      <c r="T5" s="29" t="s">
        <v>82</v>
      </c>
      <c r="U5" s="3"/>
    </row>
    <row r="6" spans="1:21" ht="57.6">
      <c r="A6" s="24">
        <v>10005</v>
      </c>
      <c r="B6" s="74" t="s">
        <v>93</v>
      </c>
      <c r="C6" s="25">
        <v>42933</v>
      </c>
      <c r="D6" s="14" t="s">
        <v>94</v>
      </c>
      <c r="E6" s="26">
        <v>18</v>
      </c>
      <c r="F6" s="26">
        <v>9</v>
      </c>
      <c r="G6" s="26">
        <v>71</v>
      </c>
      <c r="H6" s="26">
        <v>109</v>
      </c>
      <c r="I6" s="26">
        <v>207</v>
      </c>
      <c r="J6" s="26">
        <v>180</v>
      </c>
      <c r="K6" s="27">
        <v>0.39444444444444443</v>
      </c>
      <c r="L6" s="28">
        <v>0.60555555555555551</v>
      </c>
      <c r="M6" s="26" t="s">
        <v>95</v>
      </c>
      <c r="N6" s="37" t="s">
        <v>96</v>
      </c>
      <c r="O6" s="36" t="s">
        <v>19</v>
      </c>
      <c r="P6" s="1" t="s">
        <v>80</v>
      </c>
      <c r="Q6" s="1" t="s">
        <v>97</v>
      </c>
      <c r="R6" s="3"/>
      <c r="S6" s="26" t="s">
        <v>1</v>
      </c>
      <c r="T6" s="29" t="s">
        <v>82</v>
      </c>
      <c r="U6" s="3"/>
    </row>
    <row r="7" spans="1:21">
      <c r="A7" s="24">
        <v>10006</v>
      </c>
      <c r="B7" s="74" t="s">
        <v>98</v>
      </c>
      <c r="C7" s="25">
        <v>43263</v>
      </c>
      <c r="D7" s="14" t="s">
        <v>99</v>
      </c>
      <c r="E7" s="26">
        <v>0</v>
      </c>
      <c r="F7" s="26">
        <v>9</v>
      </c>
      <c r="G7" s="26">
        <v>198</v>
      </c>
      <c r="H7" s="26">
        <v>0</v>
      </c>
      <c r="I7" s="26">
        <v>207</v>
      </c>
      <c r="J7" s="26">
        <v>198</v>
      </c>
      <c r="K7" s="27">
        <v>1</v>
      </c>
      <c r="L7" s="28">
        <v>0</v>
      </c>
      <c r="M7" s="26" t="s">
        <v>79</v>
      </c>
      <c r="N7" s="3" t="s">
        <v>99</v>
      </c>
      <c r="O7" s="36" t="s">
        <v>19</v>
      </c>
      <c r="P7" s="1" t="s">
        <v>80</v>
      </c>
      <c r="Q7" s="1" t="s">
        <v>100</v>
      </c>
      <c r="R7" s="3"/>
      <c r="S7" s="26" t="s">
        <v>80</v>
      </c>
      <c r="T7" s="29">
        <v>46066</v>
      </c>
      <c r="U7" s="3"/>
    </row>
    <row r="8" spans="1:21">
      <c r="A8" s="30">
        <v>10007</v>
      </c>
      <c r="B8" s="74" t="s">
        <v>101</v>
      </c>
      <c r="C8" s="25">
        <v>43453</v>
      </c>
      <c r="D8" s="14" t="s">
        <v>99</v>
      </c>
      <c r="E8" s="26">
        <v>0</v>
      </c>
      <c r="F8" s="26">
        <v>9</v>
      </c>
      <c r="G8" s="26">
        <v>198</v>
      </c>
      <c r="H8" s="26">
        <v>0</v>
      </c>
      <c r="I8" s="26">
        <v>207</v>
      </c>
      <c r="J8" s="26">
        <v>198</v>
      </c>
      <c r="K8" s="27">
        <v>1</v>
      </c>
      <c r="L8" s="28">
        <v>0</v>
      </c>
      <c r="M8" s="26" t="s">
        <v>79</v>
      </c>
      <c r="N8" s="3" t="s">
        <v>99</v>
      </c>
      <c r="O8" s="36" t="s">
        <v>19</v>
      </c>
      <c r="P8" s="1" t="s">
        <v>80</v>
      </c>
      <c r="Q8" s="1" t="s">
        <v>100</v>
      </c>
      <c r="R8" s="3"/>
      <c r="S8" s="26" t="s">
        <v>80</v>
      </c>
      <c r="T8" s="29">
        <v>46081</v>
      </c>
      <c r="U8" s="3"/>
    </row>
    <row r="9" spans="1:21" ht="28.9">
      <c r="A9" s="24">
        <v>10008</v>
      </c>
      <c r="B9" s="74" t="s">
        <v>102</v>
      </c>
      <c r="C9" s="25">
        <v>43467</v>
      </c>
      <c r="D9" s="14" t="s">
        <v>103</v>
      </c>
      <c r="E9" s="26">
        <v>22.5</v>
      </c>
      <c r="F9" s="26">
        <v>18</v>
      </c>
      <c r="G9" s="26">
        <v>166.5</v>
      </c>
      <c r="H9" s="26">
        <v>0</v>
      </c>
      <c r="I9" s="26">
        <v>207</v>
      </c>
      <c r="J9" s="26">
        <v>166.5</v>
      </c>
      <c r="K9" s="27">
        <v>1</v>
      </c>
      <c r="L9" s="28">
        <v>0</v>
      </c>
      <c r="M9" s="26" t="s">
        <v>79</v>
      </c>
      <c r="N9" s="3" t="s">
        <v>104</v>
      </c>
      <c r="O9" s="36" t="s">
        <v>15</v>
      </c>
      <c r="P9" s="1" t="s">
        <v>80</v>
      </c>
      <c r="Q9" s="1" t="s">
        <v>104</v>
      </c>
      <c r="R9" s="3"/>
      <c r="S9" s="26" t="s">
        <v>1</v>
      </c>
      <c r="T9" s="29" t="s">
        <v>82</v>
      </c>
      <c r="U9" s="3"/>
    </row>
    <row r="10" spans="1:21">
      <c r="A10" s="24">
        <v>10009</v>
      </c>
      <c r="B10" s="74" t="s">
        <v>105</v>
      </c>
      <c r="C10" s="25">
        <v>43486</v>
      </c>
      <c r="D10" s="14" t="s">
        <v>106</v>
      </c>
      <c r="E10" s="26">
        <v>45</v>
      </c>
      <c r="F10" s="26">
        <v>9</v>
      </c>
      <c r="G10" s="26">
        <v>153</v>
      </c>
      <c r="H10" s="26">
        <v>0</v>
      </c>
      <c r="I10" s="26">
        <v>207</v>
      </c>
      <c r="J10" s="26">
        <v>153</v>
      </c>
      <c r="K10" s="27">
        <v>1</v>
      </c>
      <c r="L10" s="28">
        <v>0</v>
      </c>
      <c r="M10" s="26" t="s">
        <v>79</v>
      </c>
      <c r="N10" s="3" t="s">
        <v>106</v>
      </c>
      <c r="O10" s="36" t="s">
        <v>19</v>
      </c>
      <c r="P10" s="1" t="s">
        <v>80</v>
      </c>
      <c r="Q10" s="1" t="s">
        <v>107</v>
      </c>
      <c r="R10" s="3"/>
      <c r="S10" s="26" t="s">
        <v>1</v>
      </c>
      <c r="T10" s="29" t="s">
        <v>82</v>
      </c>
      <c r="U10" s="3"/>
    </row>
    <row r="11" spans="1:21">
      <c r="A11" s="30">
        <v>10010</v>
      </c>
      <c r="B11" s="74" t="s">
        <v>108</v>
      </c>
      <c r="C11" s="25">
        <v>43514</v>
      </c>
      <c r="D11" s="14" t="s">
        <v>99</v>
      </c>
      <c r="E11" s="26">
        <v>36</v>
      </c>
      <c r="F11" s="26">
        <v>9</v>
      </c>
      <c r="G11" s="26">
        <v>162</v>
      </c>
      <c r="H11" s="26">
        <v>0</v>
      </c>
      <c r="I11" s="26">
        <v>207</v>
      </c>
      <c r="J11" s="26">
        <v>162</v>
      </c>
      <c r="K11" s="27">
        <v>1</v>
      </c>
      <c r="L11" s="28">
        <v>0</v>
      </c>
      <c r="M11" s="26" t="s">
        <v>79</v>
      </c>
      <c r="N11" s="3" t="s">
        <v>99</v>
      </c>
      <c r="O11" s="36" t="s">
        <v>19</v>
      </c>
      <c r="P11" s="1" t="s">
        <v>80</v>
      </c>
      <c r="Q11" s="1" t="s">
        <v>100</v>
      </c>
      <c r="R11" s="3"/>
      <c r="S11" s="26" t="s">
        <v>1</v>
      </c>
      <c r="T11" s="29" t="s">
        <v>82</v>
      </c>
      <c r="U11" s="3"/>
    </row>
    <row r="12" spans="1:21">
      <c r="A12" s="24">
        <v>10011</v>
      </c>
      <c r="B12" s="74" t="s">
        <v>109</v>
      </c>
      <c r="C12" s="25">
        <v>43542</v>
      </c>
      <c r="D12" s="14" t="s">
        <v>110</v>
      </c>
      <c r="E12" s="26">
        <v>63</v>
      </c>
      <c r="F12" s="26">
        <v>9</v>
      </c>
      <c r="G12" s="26">
        <v>135</v>
      </c>
      <c r="H12" s="26">
        <v>0</v>
      </c>
      <c r="I12" s="26">
        <v>207</v>
      </c>
      <c r="J12" s="26">
        <v>135</v>
      </c>
      <c r="K12" s="27">
        <v>1</v>
      </c>
      <c r="L12" s="28">
        <v>0</v>
      </c>
      <c r="M12" s="26" t="s">
        <v>79</v>
      </c>
      <c r="N12" s="3" t="s">
        <v>111</v>
      </c>
      <c r="O12" s="36" t="s">
        <v>15</v>
      </c>
      <c r="P12" s="1" t="s">
        <v>80</v>
      </c>
      <c r="Q12" s="1" t="s">
        <v>110</v>
      </c>
      <c r="R12" s="3"/>
      <c r="S12" s="26" t="s">
        <v>1</v>
      </c>
      <c r="T12" s="29" t="s">
        <v>82</v>
      </c>
      <c r="U12" s="3"/>
    </row>
    <row r="13" spans="1:21">
      <c r="A13" s="24">
        <v>10012</v>
      </c>
      <c r="B13" s="74" t="s">
        <v>112</v>
      </c>
      <c r="C13" s="25">
        <v>43558</v>
      </c>
      <c r="D13" s="14" t="s">
        <v>84</v>
      </c>
      <c r="E13" s="26">
        <v>0</v>
      </c>
      <c r="F13" s="26">
        <v>9</v>
      </c>
      <c r="G13" s="26">
        <v>198</v>
      </c>
      <c r="H13" s="26">
        <v>0</v>
      </c>
      <c r="I13" s="26">
        <v>207</v>
      </c>
      <c r="J13" s="26">
        <v>198</v>
      </c>
      <c r="K13" s="27">
        <v>1</v>
      </c>
      <c r="L13" s="28">
        <v>0</v>
      </c>
      <c r="M13" s="26" t="s">
        <v>79</v>
      </c>
      <c r="N13" s="3" t="s">
        <v>84</v>
      </c>
      <c r="O13" s="36" t="s">
        <v>15</v>
      </c>
      <c r="P13" s="1" t="s">
        <v>80</v>
      </c>
      <c r="Q13" s="1" t="s">
        <v>85</v>
      </c>
      <c r="R13" s="3"/>
      <c r="S13" s="26" t="s">
        <v>1</v>
      </c>
      <c r="T13" s="29" t="s">
        <v>82</v>
      </c>
      <c r="U13" s="3"/>
    </row>
    <row r="14" spans="1:21" ht="57.6">
      <c r="A14" s="30">
        <v>10013</v>
      </c>
      <c r="B14" s="74" t="s">
        <v>113</v>
      </c>
      <c r="C14" s="25">
        <v>43577</v>
      </c>
      <c r="D14" s="14" t="s">
        <v>114</v>
      </c>
      <c r="E14" s="26">
        <v>54</v>
      </c>
      <c r="F14" s="26">
        <v>9</v>
      </c>
      <c r="G14" s="26">
        <v>112.5</v>
      </c>
      <c r="H14" s="26">
        <v>31.5</v>
      </c>
      <c r="I14" s="26">
        <v>207</v>
      </c>
      <c r="J14" s="26">
        <v>144</v>
      </c>
      <c r="K14" s="27">
        <v>0.78125</v>
      </c>
      <c r="L14" s="28">
        <v>0.21875</v>
      </c>
      <c r="M14" s="26" t="s">
        <v>95</v>
      </c>
      <c r="N14" s="37" t="s">
        <v>115</v>
      </c>
      <c r="O14" s="36" t="s">
        <v>15</v>
      </c>
      <c r="P14" s="1" t="s">
        <v>80</v>
      </c>
      <c r="Q14" s="1" t="s">
        <v>116</v>
      </c>
      <c r="R14" s="3"/>
      <c r="S14" s="26" t="s">
        <v>1</v>
      </c>
      <c r="T14" s="29" t="s">
        <v>82</v>
      </c>
      <c r="U14" s="3"/>
    </row>
    <row r="15" spans="1:21" ht="43.15">
      <c r="A15" s="24">
        <v>10014</v>
      </c>
      <c r="B15" s="74" t="s">
        <v>117</v>
      </c>
      <c r="C15" s="25">
        <v>43633</v>
      </c>
      <c r="D15" s="14" t="s">
        <v>118</v>
      </c>
      <c r="E15" s="26">
        <v>27</v>
      </c>
      <c r="F15" s="26">
        <v>9</v>
      </c>
      <c r="G15" s="26">
        <v>48</v>
      </c>
      <c r="H15" s="26">
        <v>123</v>
      </c>
      <c r="I15" s="26">
        <v>207</v>
      </c>
      <c r="J15" s="26">
        <v>171</v>
      </c>
      <c r="K15" s="27">
        <v>0.2807017543859649</v>
      </c>
      <c r="L15" s="28">
        <v>0.7192982456140351</v>
      </c>
      <c r="M15" s="26" t="s">
        <v>95</v>
      </c>
      <c r="N15" s="37" t="s">
        <v>119</v>
      </c>
      <c r="O15" s="36" t="s">
        <v>9</v>
      </c>
      <c r="P15" s="1" t="s">
        <v>80</v>
      </c>
      <c r="Q15" s="1" t="s">
        <v>116</v>
      </c>
      <c r="R15" s="3"/>
      <c r="S15" s="26" t="s">
        <v>1</v>
      </c>
      <c r="T15" s="29" t="s">
        <v>82</v>
      </c>
      <c r="U15" s="3"/>
    </row>
    <row r="16" spans="1:21">
      <c r="A16" s="24">
        <v>10015</v>
      </c>
      <c r="B16" s="74" t="s">
        <v>120</v>
      </c>
      <c r="C16" s="25">
        <v>43643</v>
      </c>
      <c r="D16" s="14" t="s">
        <v>121</v>
      </c>
      <c r="E16" s="26">
        <v>36</v>
      </c>
      <c r="F16" s="26">
        <v>9</v>
      </c>
      <c r="G16" s="26">
        <v>0</v>
      </c>
      <c r="H16" s="26">
        <v>162</v>
      </c>
      <c r="I16" s="26">
        <v>207</v>
      </c>
      <c r="J16" s="26">
        <v>162</v>
      </c>
      <c r="K16" s="27">
        <v>0</v>
      </c>
      <c r="L16" s="28">
        <v>1</v>
      </c>
      <c r="M16" s="26" t="s">
        <v>95</v>
      </c>
      <c r="N16" s="62" t="s">
        <v>122</v>
      </c>
      <c r="O16" s="36" t="s">
        <v>10</v>
      </c>
      <c r="P16" s="1" t="s">
        <v>1</v>
      </c>
      <c r="Q16" s="36" t="s">
        <v>10</v>
      </c>
      <c r="R16" s="3"/>
      <c r="S16" s="26" t="s">
        <v>1</v>
      </c>
      <c r="T16" s="29" t="s">
        <v>82</v>
      </c>
      <c r="U16" s="3"/>
    </row>
    <row r="17" spans="1:21">
      <c r="A17" s="30">
        <v>10016</v>
      </c>
      <c r="B17" s="74" t="s">
        <v>123</v>
      </c>
      <c r="C17" s="25">
        <v>43801</v>
      </c>
      <c r="D17" s="14" t="s">
        <v>124</v>
      </c>
      <c r="E17" s="26">
        <v>0</v>
      </c>
      <c r="F17" s="26">
        <v>9</v>
      </c>
      <c r="G17" s="26">
        <v>198</v>
      </c>
      <c r="H17" s="26">
        <v>0</v>
      </c>
      <c r="I17" s="26">
        <v>207</v>
      </c>
      <c r="J17" s="26">
        <v>198</v>
      </c>
      <c r="K17" s="27">
        <v>1</v>
      </c>
      <c r="L17" s="28">
        <v>0</v>
      </c>
      <c r="M17" s="26" t="s">
        <v>79</v>
      </c>
      <c r="N17" s="3" t="s">
        <v>124</v>
      </c>
      <c r="O17" s="36" t="s">
        <v>19</v>
      </c>
      <c r="P17" s="1" t="s">
        <v>80</v>
      </c>
      <c r="Q17" s="1" t="s">
        <v>125</v>
      </c>
      <c r="R17" s="3"/>
      <c r="S17" s="26" t="s">
        <v>1</v>
      </c>
      <c r="T17" s="29" t="s">
        <v>82</v>
      </c>
      <c r="U17" s="3"/>
    </row>
    <row r="18" spans="1:21">
      <c r="A18" s="24">
        <v>10017</v>
      </c>
      <c r="B18" s="74" t="s">
        <v>126</v>
      </c>
      <c r="C18" s="25">
        <v>43871</v>
      </c>
      <c r="D18" s="14" t="s">
        <v>124</v>
      </c>
      <c r="E18" s="26">
        <v>81</v>
      </c>
      <c r="F18" s="26">
        <v>9</v>
      </c>
      <c r="G18" s="26">
        <v>117</v>
      </c>
      <c r="H18" s="26">
        <v>0</v>
      </c>
      <c r="I18" s="26">
        <v>207</v>
      </c>
      <c r="J18" s="26">
        <v>117</v>
      </c>
      <c r="K18" s="27">
        <v>1</v>
      </c>
      <c r="L18" s="28">
        <v>0</v>
      </c>
      <c r="M18" s="26" t="s">
        <v>79</v>
      </c>
      <c r="N18" s="3" t="s">
        <v>124</v>
      </c>
      <c r="O18" s="36" t="s">
        <v>19</v>
      </c>
      <c r="P18" s="1" t="s">
        <v>80</v>
      </c>
      <c r="Q18" s="1" t="s">
        <v>125</v>
      </c>
      <c r="R18" s="3"/>
      <c r="S18" s="26" t="s">
        <v>1</v>
      </c>
      <c r="T18" s="29" t="s">
        <v>82</v>
      </c>
      <c r="U18" s="3"/>
    </row>
    <row r="19" spans="1:21">
      <c r="A19" s="24">
        <v>10018</v>
      </c>
      <c r="B19" s="74" t="s">
        <v>127</v>
      </c>
      <c r="C19" s="25">
        <v>44105</v>
      </c>
      <c r="D19" s="14" t="s">
        <v>84</v>
      </c>
      <c r="E19" s="26">
        <v>45</v>
      </c>
      <c r="F19" s="26">
        <v>9</v>
      </c>
      <c r="G19" s="26">
        <v>153</v>
      </c>
      <c r="H19" s="26">
        <v>0</v>
      </c>
      <c r="I19" s="26">
        <v>207</v>
      </c>
      <c r="J19" s="26">
        <v>153</v>
      </c>
      <c r="K19" s="27">
        <v>1</v>
      </c>
      <c r="L19" s="28">
        <v>0</v>
      </c>
      <c r="M19" s="26" t="s">
        <v>79</v>
      </c>
      <c r="N19" s="3" t="s">
        <v>84</v>
      </c>
      <c r="O19" s="36" t="s">
        <v>15</v>
      </c>
      <c r="P19" s="1" t="s">
        <v>80</v>
      </c>
      <c r="Q19" s="1" t="s">
        <v>85</v>
      </c>
      <c r="R19" s="3"/>
      <c r="S19" s="26" t="s">
        <v>1</v>
      </c>
      <c r="T19" s="29" t="s">
        <v>82</v>
      </c>
      <c r="U19" s="3"/>
    </row>
    <row r="20" spans="1:21">
      <c r="A20" s="30">
        <v>10019</v>
      </c>
      <c r="B20" s="74" t="s">
        <v>128</v>
      </c>
      <c r="C20" s="25">
        <v>44154</v>
      </c>
      <c r="D20" s="14" t="s">
        <v>129</v>
      </c>
      <c r="E20" s="26">
        <v>63</v>
      </c>
      <c r="F20" s="26">
        <v>9</v>
      </c>
      <c r="G20" s="26">
        <v>135</v>
      </c>
      <c r="H20" s="26">
        <v>0</v>
      </c>
      <c r="I20" s="26">
        <v>207</v>
      </c>
      <c r="J20" s="26">
        <v>135</v>
      </c>
      <c r="K20" s="27">
        <v>1</v>
      </c>
      <c r="L20" s="28">
        <v>0</v>
      </c>
      <c r="M20" s="26" t="s">
        <v>79</v>
      </c>
      <c r="N20" s="3" t="s">
        <v>129</v>
      </c>
      <c r="O20" s="36" t="s">
        <v>15</v>
      </c>
      <c r="P20" s="1" t="s">
        <v>80</v>
      </c>
      <c r="Q20" s="1" t="s">
        <v>130</v>
      </c>
      <c r="R20" s="3"/>
      <c r="S20" s="26" t="s">
        <v>1</v>
      </c>
      <c r="T20" s="29" t="s">
        <v>82</v>
      </c>
      <c r="U20" s="3"/>
    </row>
    <row r="21" spans="1:21" ht="86.45">
      <c r="A21" s="24">
        <v>10020</v>
      </c>
      <c r="B21" s="74" t="s">
        <v>131</v>
      </c>
      <c r="C21" s="25">
        <v>44158</v>
      </c>
      <c r="D21" s="14" t="s">
        <v>132</v>
      </c>
      <c r="E21" s="26">
        <v>18</v>
      </c>
      <c r="F21" s="26">
        <v>9</v>
      </c>
      <c r="G21" s="26">
        <v>153.30000000000001</v>
      </c>
      <c r="H21" s="26">
        <v>26.7</v>
      </c>
      <c r="I21" s="26">
        <v>207</v>
      </c>
      <c r="J21" s="26">
        <v>180</v>
      </c>
      <c r="K21" s="27">
        <v>0.85166666666666668</v>
      </c>
      <c r="L21" s="28">
        <v>0.14833333333333332</v>
      </c>
      <c r="M21" s="26" t="s">
        <v>79</v>
      </c>
      <c r="N21" s="14" t="s">
        <v>133</v>
      </c>
      <c r="O21" s="36" t="s">
        <v>15</v>
      </c>
      <c r="P21" s="1" t="s">
        <v>80</v>
      </c>
      <c r="Q21" s="1" t="s">
        <v>116</v>
      </c>
      <c r="R21" s="3"/>
      <c r="S21" s="26" t="s">
        <v>1</v>
      </c>
      <c r="T21" s="29" t="s">
        <v>82</v>
      </c>
      <c r="U21" s="3"/>
    </row>
    <row r="22" spans="1:21">
      <c r="A22" s="24">
        <v>10021</v>
      </c>
      <c r="B22" s="74" t="s">
        <v>134</v>
      </c>
      <c r="C22" s="25">
        <v>44174</v>
      </c>
      <c r="D22" s="14" t="s">
        <v>135</v>
      </c>
      <c r="E22" s="26">
        <v>9</v>
      </c>
      <c r="F22" s="26">
        <v>9</v>
      </c>
      <c r="G22" s="26">
        <v>189</v>
      </c>
      <c r="H22" s="26">
        <v>0</v>
      </c>
      <c r="I22" s="26">
        <v>207</v>
      </c>
      <c r="J22" s="26">
        <v>189</v>
      </c>
      <c r="K22" s="27">
        <v>1</v>
      </c>
      <c r="L22" s="28">
        <v>0</v>
      </c>
      <c r="M22" s="26" t="s">
        <v>79</v>
      </c>
      <c r="N22" s="3" t="s">
        <v>135</v>
      </c>
      <c r="O22" s="36" t="s">
        <v>15</v>
      </c>
      <c r="P22" s="1" t="s">
        <v>80</v>
      </c>
      <c r="Q22" s="1" t="s">
        <v>136</v>
      </c>
      <c r="R22" s="3"/>
      <c r="S22" s="26" t="s">
        <v>1</v>
      </c>
      <c r="T22" s="29" t="s">
        <v>82</v>
      </c>
      <c r="U22" s="3"/>
    </row>
    <row r="23" spans="1:21">
      <c r="A23" s="30">
        <v>10022</v>
      </c>
      <c r="B23" s="74" t="s">
        <v>137</v>
      </c>
      <c r="C23" s="25">
        <v>44174</v>
      </c>
      <c r="D23" s="14" t="s">
        <v>138</v>
      </c>
      <c r="E23" s="26">
        <v>4.5</v>
      </c>
      <c r="F23" s="26">
        <v>9</v>
      </c>
      <c r="G23" s="26">
        <v>193.5</v>
      </c>
      <c r="H23" s="26">
        <v>0</v>
      </c>
      <c r="I23" s="26">
        <v>207</v>
      </c>
      <c r="J23" s="26">
        <v>193.5</v>
      </c>
      <c r="K23" s="27">
        <v>1</v>
      </c>
      <c r="L23" s="28">
        <v>0</v>
      </c>
      <c r="M23" s="26" t="s">
        <v>79</v>
      </c>
      <c r="N23" s="3" t="s">
        <v>138</v>
      </c>
      <c r="O23" s="36" t="s">
        <v>19</v>
      </c>
      <c r="P23" s="1" t="s">
        <v>80</v>
      </c>
      <c r="Q23" s="1" t="s">
        <v>139</v>
      </c>
      <c r="R23" s="3"/>
      <c r="S23" s="26" t="s">
        <v>80</v>
      </c>
      <c r="T23" s="29">
        <v>46045</v>
      </c>
      <c r="U23" s="3"/>
    </row>
    <row r="24" spans="1:21">
      <c r="A24" s="24">
        <v>10023</v>
      </c>
      <c r="B24" s="74" t="s">
        <v>140</v>
      </c>
      <c r="C24" s="25">
        <v>44190</v>
      </c>
      <c r="D24" s="14" t="s">
        <v>138</v>
      </c>
      <c r="E24" s="26">
        <v>54</v>
      </c>
      <c r="F24" s="26">
        <v>9</v>
      </c>
      <c r="G24" s="26">
        <v>144</v>
      </c>
      <c r="H24" s="26">
        <v>0</v>
      </c>
      <c r="I24" s="26">
        <v>207</v>
      </c>
      <c r="J24" s="26">
        <v>144</v>
      </c>
      <c r="K24" s="27">
        <v>1</v>
      </c>
      <c r="L24" s="28">
        <v>0</v>
      </c>
      <c r="M24" s="26" t="s">
        <v>79</v>
      </c>
      <c r="N24" s="3" t="s">
        <v>138</v>
      </c>
      <c r="O24" s="36" t="s">
        <v>19</v>
      </c>
      <c r="P24" s="1" t="s">
        <v>80</v>
      </c>
      <c r="Q24" s="1" t="s">
        <v>139</v>
      </c>
      <c r="R24" s="3"/>
      <c r="S24" s="26" t="s">
        <v>1</v>
      </c>
      <c r="T24" s="29" t="s">
        <v>82</v>
      </c>
      <c r="U24" s="3"/>
    </row>
    <row r="25" spans="1:21">
      <c r="A25" s="24">
        <v>10024</v>
      </c>
      <c r="B25" s="74" t="s">
        <v>141</v>
      </c>
      <c r="C25" s="25">
        <v>44197</v>
      </c>
      <c r="D25" s="14" t="s">
        <v>142</v>
      </c>
      <c r="E25" s="26">
        <v>90</v>
      </c>
      <c r="F25" s="26">
        <v>9</v>
      </c>
      <c r="G25" s="26">
        <v>108</v>
      </c>
      <c r="H25" s="26">
        <v>0</v>
      </c>
      <c r="I25" s="26">
        <v>207</v>
      </c>
      <c r="J25" s="26">
        <v>108</v>
      </c>
      <c r="K25" s="27">
        <v>1</v>
      </c>
      <c r="L25" s="28">
        <v>0</v>
      </c>
      <c r="M25" s="26" t="s">
        <v>79</v>
      </c>
      <c r="N25" s="3" t="s">
        <v>143</v>
      </c>
      <c r="O25" s="36" t="s">
        <v>19</v>
      </c>
      <c r="P25" s="1" t="s">
        <v>80</v>
      </c>
      <c r="Q25" s="1" t="s">
        <v>144</v>
      </c>
      <c r="R25" s="3"/>
      <c r="S25" s="26" t="s">
        <v>1</v>
      </c>
      <c r="T25" s="29" t="s">
        <v>82</v>
      </c>
      <c r="U25" s="3"/>
    </row>
    <row r="26" spans="1:21">
      <c r="A26" s="30">
        <v>10025</v>
      </c>
      <c r="B26" s="74" t="s">
        <v>145</v>
      </c>
      <c r="C26" s="25">
        <v>44203</v>
      </c>
      <c r="D26" s="14" t="s">
        <v>110</v>
      </c>
      <c r="E26" s="26">
        <v>0</v>
      </c>
      <c r="F26" s="26">
        <v>9</v>
      </c>
      <c r="G26" s="26">
        <v>198</v>
      </c>
      <c r="H26" s="26">
        <v>0</v>
      </c>
      <c r="I26" s="26">
        <v>207</v>
      </c>
      <c r="J26" s="26">
        <v>198</v>
      </c>
      <c r="K26" s="27">
        <v>1</v>
      </c>
      <c r="L26" s="28">
        <v>0</v>
      </c>
      <c r="M26" s="26" t="s">
        <v>79</v>
      </c>
      <c r="N26" s="3" t="s">
        <v>110</v>
      </c>
      <c r="O26" s="36" t="s">
        <v>15</v>
      </c>
      <c r="P26" s="1" t="s">
        <v>80</v>
      </c>
      <c r="Q26" s="1" t="s">
        <v>110</v>
      </c>
      <c r="R26" s="3"/>
      <c r="S26" s="26" t="s">
        <v>1</v>
      </c>
      <c r="T26" s="29" t="s">
        <v>82</v>
      </c>
      <c r="U26" s="3"/>
    </row>
    <row r="27" spans="1:21" ht="28.9">
      <c r="A27" s="24">
        <v>10026</v>
      </c>
      <c r="B27" s="74" t="s">
        <v>146</v>
      </c>
      <c r="C27" s="25">
        <v>44211</v>
      </c>
      <c r="D27" s="14" t="s">
        <v>147</v>
      </c>
      <c r="E27" s="26">
        <v>9</v>
      </c>
      <c r="F27" s="26">
        <v>9</v>
      </c>
      <c r="G27" s="26">
        <v>22.5</v>
      </c>
      <c r="H27" s="26">
        <v>166.5</v>
      </c>
      <c r="I27" s="26">
        <v>207</v>
      </c>
      <c r="J27" s="26">
        <v>189</v>
      </c>
      <c r="K27" s="27">
        <v>0.11904761904761904</v>
      </c>
      <c r="L27" s="28">
        <v>0.88095238095238093</v>
      </c>
      <c r="M27" s="26" t="s">
        <v>95</v>
      </c>
      <c r="N27" s="37" t="s">
        <v>148</v>
      </c>
      <c r="O27" s="36" t="s">
        <v>9</v>
      </c>
      <c r="P27" s="1" t="s">
        <v>80</v>
      </c>
      <c r="Q27" s="1" t="s">
        <v>149</v>
      </c>
      <c r="R27" s="3"/>
      <c r="S27" s="26" t="s">
        <v>1</v>
      </c>
      <c r="T27" s="29" t="s">
        <v>82</v>
      </c>
      <c r="U27" s="3"/>
    </row>
    <row r="28" spans="1:21">
      <c r="A28" s="24">
        <v>10027</v>
      </c>
      <c r="B28" s="74" t="s">
        <v>150</v>
      </c>
      <c r="C28" s="25">
        <v>44218</v>
      </c>
      <c r="D28" s="14" t="s">
        <v>106</v>
      </c>
      <c r="E28" s="26">
        <v>54</v>
      </c>
      <c r="F28" s="26">
        <v>9</v>
      </c>
      <c r="G28" s="26">
        <v>144</v>
      </c>
      <c r="H28" s="26">
        <v>0</v>
      </c>
      <c r="I28" s="26">
        <v>207</v>
      </c>
      <c r="J28" s="26">
        <v>144</v>
      </c>
      <c r="K28" s="27">
        <v>1</v>
      </c>
      <c r="L28" s="28">
        <v>0</v>
      </c>
      <c r="M28" s="26" t="s">
        <v>79</v>
      </c>
      <c r="N28" s="3" t="s">
        <v>106</v>
      </c>
      <c r="O28" s="36" t="s">
        <v>19</v>
      </c>
      <c r="P28" s="1" t="s">
        <v>80</v>
      </c>
      <c r="Q28" s="1" t="s">
        <v>107</v>
      </c>
      <c r="R28" s="3"/>
      <c r="S28" s="26" t="s">
        <v>1</v>
      </c>
      <c r="T28" s="29" t="s">
        <v>82</v>
      </c>
      <c r="U28" s="3"/>
    </row>
    <row r="29" spans="1:21" ht="28.9">
      <c r="A29" s="30">
        <v>10028</v>
      </c>
      <c r="B29" s="74" t="s">
        <v>151</v>
      </c>
      <c r="C29" s="25">
        <v>44223</v>
      </c>
      <c r="D29" s="14" t="s">
        <v>152</v>
      </c>
      <c r="E29" s="26">
        <v>0</v>
      </c>
      <c r="F29" s="26">
        <v>18</v>
      </c>
      <c r="G29" s="26">
        <v>0</v>
      </c>
      <c r="H29" s="26">
        <v>189</v>
      </c>
      <c r="I29" s="26">
        <v>207</v>
      </c>
      <c r="J29" s="26">
        <v>189</v>
      </c>
      <c r="K29" s="27">
        <v>0</v>
      </c>
      <c r="L29" s="28">
        <v>1</v>
      </c>
      <c r="M29" s="26" t="s">
        <v>95</v>
      </c>
      <c r="N29" s="62" t="s">
        <v>122</v>
      </c>
      <c r="O29" s="36" t="s">
        <v>10</v>
      </c>
      <c r="P29" s="1" t="s">
        <v>1</v>
      </c>
      <c r="Q29" s="1" t="s">
        <v>10</v>
      </c>
      <c r="R29" s="3"/>
      <c r="S29" s="26" t="s">
        <v>1</v>
      </c>
      <c r="T29" s="29" t="s">
        <v>82</v>
      </c>
      <c r="U29" s="3"/>
    </row>
    <row r="30" spans="1:21" ht="28.9">
      <c r="A30" s="24">
        <v>10029</v>
      </c>
      <c r="B30" s="74" t="s">
        <v>153</v>
      </c>
      <c r="C30" s="25">
        <v>44243</v>
      </c>
      <c r="D30" s="14" t="s">
        <v>154</v>
      </c>
      <c r="E30" s="26">
        <v>54</v>
      </c>
      <c r="F30" s="26">
        <v>9</v>
      </c>
      <c r="G30" s="26">
        <v>1</v>
      </c>
      <c r="H30" s="26">
        <v>143</v>
      </c>
      <c r="I30" s="26">
        <v>207</v>
      </c>
      <c r="J30" s="26">
        <v>144</v>
      </c>
      <c r="K30" s="27">
        <v>6.9444444444444441E-3</v>
      </c>
      <c r="L30" s="28">
        <v>0.99305555555555558</v>
      </c>
      <c r="M30" s="26" t="s">
        <v>95</v>
      </c>
      <c r="N30" s="37" t="s">
        <v>155</v>
      </c>
      <c r="O30" s="36" t="s">
        <v>10</v>
      </c>
      <c r="P30" s="1" t="s">
        <v>1</v>
      </c>
      <c r="Q30" s="1" t="s">
        <v>10</v>
      </c>
      <c r="R30" s="3"/>
      <c r="S30" s="26" t="s">
        <v>1</v>
      </c>
      <c r="T30" s="29" t="s">
        <v>82</v>
      </c>
      <c r="U30" s="3"/>
    </row>
    <row r="31" spans="1:21">
      <c r="A31" s="24">
        <v>10030</v>
      </c>
      <c r="B31" s="74" t="s">
        <v>156</v>
      </c>
      <c r="C31" s="25">
        <v>44256</v>
      </c>
      <c r="D31" s="14" t="s">
        <v>157</v>
      </c>
      <c r="E31" s="26">
        <v>45</v>
      </c>
      <c r="F31" s="26">
        <v>9</v>
      </c>
      <c r="G31" s="26">
        <v>153</v>
      </c>
      <c r="H31" s="26">
        <v>0</v>
      </c>
      <c r="I31" s="26">
        <v>207</v>
      </c>
      <c r="J31" s="26">
        <v>153</v>
      </c>
      <c r="K31" s="27">
        <v>1</v>
      </c>
      <c r="L31" s="28">
        <v>0</v>
      </c>
      <c r="M31" s="26" t="s">
        <v>79</v>
      </c>
      <c r="N31" s="3" t="s">
        <v>157</v>
      </c>
      <c r="O31" s="36" t="s">
        <v>19</v>
      </c>
      <c r="P31" s="1" t="s">
        <v>80</v>
      </c>
      <c r="Q31" s="1" t="s">
        <v>158</v>
      </c>
      <c r="R31" s="3"/>
      <c r="S31" s="26" t="s">
        <v>1</v>
      </c>
      <c r="T31" s="29" t="s">
        <v>82</v>
      </c>
      <c r="U31" s="3"/>
    </row>
    <row r="32" spans="1:21">
      <c r="A32" s="30">
        <v>10031</v>
      </c>
      <c r="B32" s="74" t="s">
        <v>159</v>
      </c>
      <c r="C32" s="25">
        <v>44264</v>
      </c>
      <c r="D32" s="3" t="s">
        <v>160</v>
      </c>
      <c r="E32" s="26">
        <v>0</v>
      </c>
      <c r="F32" s="26">
        <v>0</v>
      </c>
      <c r="G32" s="26">
        <v>0</v>
      </c>
      <c r="H32" s="26">
        <v>0</v>
      </c>
      <c r="I32" s="26">
        <v>0</v>
      </c>
      <c r="J32" s="26">
        <v>0</v>
      </c>
      <c r="K32" s="27">
        <v>0</v>
      </c>
      <c r="L32" s="28" t="s">
        <v>82</v>
      </c>
      <c r="M32" s="26" t="s">
        <v>95</v>
      </c>
      <c r="N32" s="3" t="s">
        <v>160</v>
      </c>
      <c r="O32" s="3" t="s">
        <v>160</v>
      </c>
      <c r="P32" s="1" t="s">
        <v>1</v>
      </c>
      <c r="Q32" s="3" t="s">
        <v>160</v>
      </c>
      <c r="R32" s="3"/>
      <c r="S32" s="26" t="s">
        <v>1</v>
      </c>
      <c r="T32" s="29" t="s">
        <v>82</v>
      </c>
      <c r="U32" s="3"/>
    </row>
    <row r="33" spans="1:21">
      <c r="A33" s="24">
        <v>10032</v>
      </c>
      <c r="B33" s="74" t="s">
        <v>161</v>
      </c>
      <c r="C33" s="25">
        <v>44265</v>
      </c>
      <c r="D33" s="14" t="s">
        <v>162</v>
      </c>
      <c r="E33" s="26">
        <v>0</v>
      </c>
      <c r="F33" s="26">
        <v>9</v>
      </c>
      <c r="G33" s="26">
        <v>198</v>
      </c>
      <c r="H33" s="26">
        <v>0</v>
      </c>
      <c r="I33" s="26">
        <v>207</v>
      </c>
      <c r="J33" s="26">
        <v>198</v>
      </c>
      <c r="K33" s="27">
        <v>1</v>
      </c>
      <c r="L33" s="28">
        <v>0</v>
      </c>
      <c r="M33" s="26" t="s">
        <v>79</v>
      </c>
      <c r="N33" s="3" t="s">
        <v>162</v>
      </c>
      <c r="O33" s="36" t="s">
        <v>19</v>
      </c>
      <c r="P33" s="1" t="s">
        <v>80</v>
      </c>
      <c r="Q33" s="1" t="s">
        <v>163</v>
      </c>
      <c r="R33" s="3"/>
      <c r="S33" s="26" t="s">
        <v>1</v>
      </c>
      <c r="T33" s="29" t="s">
        <v>82</v>
      </c>
      <c r="U33" s="3"/>
    </row>
    <row r="34" spans="1:21">
      <c r="A34" s="24">
        <v>10033</v>
      </c>
      <c r="B34" s="74" t="s">
        <v>164</v>
      </c>
      <c r="C34" s="25">
        <v>44266</v>
      </c>
      <c r="D34" s="14" t="s">
        <v>165</v>
      </c>
      <c r="E34" s="26">
        <v>9</v>
      </c>
      <c r="F34" s="26">
        <v>9</v>
      </c>
      <c r="G34" s="26">
        <v>189</v>
      </c>
      <c r="H34" s="26">
        <v>0</v>
      </c>
      <c r="I34" s="26">
        <v>207</v>
      </c>
      <c r="J34" s="26">
        <v>189</v>
      </c>
      <c r="K34" s="27">
        <v>1</v>
      </c>
      <c r="L34" s="28">
        <v>0</v>
      </c>
      <c r="M34" s="26" t="s">
        <v>79</v>
      </c>
      <c r="N34" s="62" t="s">
        <v>166</v>
      </c>
      <c r="O34" s="36" t="s">
        <v>19</v>
      </c>
      <c r="P34" s="1" t="s">
        <v>80</v>
      </c>
      <c r="Q34" s="1" t="s">
        <v>167</v>
      </c>
      <c r="R34" s="3"/>
      <c r="S34" s="26" t="s">
        <v>1</v>
      </c>
      <c r="T34" s="29" t="s">
        <v>82</v>
      </c>
      <c r="U34" s="3"/>
    </row>
    <row r="35" spans="1:21">
      <c r="A35" s="30">
        <v>10034</v>
      </c>
      <c r="B35" s="74" t="s">
        <v>168</v>
      </c>
      <c r="C35" s="25">
        <v>44287</v>
      </c>
      <c r="D35" s="14" t="s">
        <v>169</v>
      </c>
      <c r="E35" s="26">
        <v>0</v>
      </c>
      <c r="F35" s="26">
        <v>9</v>
      </c>
      <c r="G35" s="26">
        <v>198</v>
      </c>
      <c r="H35" s="26">
        <v>0</v>
      </c>
      <c r="I35" s="26">
        <v>207</v>
      </c>
      <c r="J35" s="26">
        <v>198</v>
      </c>
      <c r="K35" s="27">
        <v>1</v>
      </c>
      <c r="L35" s="28">
        <v>0</v>
      </c>
      <c r="M35" s="26" t="s">
        <v>79</v>
      </c>
      <c r="N35" s="3" t="s">
        <v>169</v>
      </c>
      <c r="O35" s="36" t="s">
        <v>19</v>
      </c>
      <c r="P35" s="1" t="s">
        <v>80</v>
      </c>
      <c r="Q35" s="1" t="s">
        <v>170</v>
      </c>
      <c r="R35" s="3"/>
      <c r="S35" s="26" t="s">
        <v>1</v>
      </c>
      <c r="T35" s="29" t="s">
        <v>82</v>
      </c>
      <c r="U35" s="3"/>
    </row>
    <row r="36" spans="1:21">
      <c r="A36" s="24">
        <v>10035</v>
      </c>
      <c r="B36" s="74" t="s">
        <v>171</v>
      </c>
      <c r="C36" s="25">
        <v>44298</v>
      </c>
      <c r="D36" s="14" t="s">
        <v>172</v>
      </c>
      <c r="E36" s="26">
        <v>45</v>
      </c>
      <c r="F36" s="26">
        <v>9</v>
      </c>
      <c r="G36" s="26">
        <v>153</v>
      </c>
      <c r="H36" s="26">
        <v>0</v>
      </c>
      <c r="I36" s="26">
        <v>207</v>
      </c>
      <c r="J36" s="26">
        <v>153</v>
      </c>
      <c r="K36" s="27">
        <v>1</v>
      </c>
      <c r="L36" s="28">
        <v>0</v>
      </c>
      <c r="M36" s="26" t="s">
        <v>79</v>
      </c>
      <c r="N36" s="3" t="s">
        <v>172</v>
      </c>
      <c r="O36" s="36" t="s">
        <v>19</v>
      </c>
      <c r="P36" s="1" t="s">
        <v>80</v>
      </c>
      <c r="Q36" s="1" t="s">
        <v>173</v>
      </c>
      <c r="R36" s="3"/>
      <c r="S36" s="26" t="s">
        <v>1</v>
      </c>
      <c r="T36" s="29" t="s">
        <v>82</v>
      </c>
      <c r="U36" s="3"/>
    </row>
    <row r="37" spans="1:21">
      <c r="A37" s="24">
        <v>10036</v>
      </c>
      <c r="B37" s="74" t="s">
        <v>174</v>
      </c>
      <c r="C37" s="25">
        <v>44327</v>
      </c>
      <c r="D37" s="14" t="s">
        <v>175</v>
      </c>
      <c r="E37" s="26">
        <v>27</v>
      </c>
      <c r="F37" s="26">
        <v>9</v>
      </c>
      <c r="G37" s="26">
        <v>171</v>
      </c>
      <c r="H37" s="26">
        <v>0</v>
      </c>
      <c r="I37" s="26">
        <v>207</v>
      </c>
      <c r="J37" s="26">
        <v>171</v>
      </c>
      <c r="K37" s="27">
        <v>1</v>
      </c>
      <c r="L37" s="28">
        <v>0</v>
      </c>
      <c r="M37" s="26" t="s">
        <v>79</v>
      </c>
      <c r="N37" s="3" t="s">
        <v>175</v>
      </c>
      <c r="O37" s="36" t="s">
        <v>19</v>
      </c>
      <c r="P37" s="1" t="s">
        <v>80</v>
      </c>
      <c r="Q37" s="1" t="s">
        <v>176</v>
      </c>
      <c r="R37" s="3"/>
      <c r="S37" s="26" t="s">
        <v>1</v>
      </c>
      <c r="T37" s="29" t="s">
        <v>82</v>
      </c>
      <c r="U37" s="3"/>
    </row>
    <row r="38" spans="1:21">
      <c r="A38" s="30">
        <v>10037</v>
      </c>
      <c r="B38" s="74" t="s">
        <v>177</v>
      </c>
      <c r="C38" s="25">
        <v>44348</v>
      </c>
      <c r="D38" s="14" t="s">
        <v>78</v>
      </c>
      <c r="E38" s="26">
        <v>90</v>
      </c>
      <c r="F38" s="26">
        <v>9</v>
      </c>
      <c r="G38" s="26">
        <v>108</v>
      </c>
      <c r="H38" s="26">
        <v>0</v>
      </c>
      <c r="I38" s="26">
        <v>207</v>
      </c>
      <c r="J38" s="26">
        <v>108</v>
      </c>
      <c r="K38" s="27">
        <v>1</v>
      </c>
      <c r="L38" s="28">
        <v>0</v>
      </c>
      <c r="M38" s="26" t="s">
        <v>79</v>
      </c>
      <c r="N38" s="3" t="s">
        <v>78</v>
      </c>
      <c r="O38" s="36" t="s">
        <v>19</v>
      </c>
      <c r="P38" s="1" t="s">
        <v>80</v>
      </c>
      <c r="Q38" s="1" t="s">
        <v>81</v>
      </c>
      <c r="R38" s="3"/>
      <c r="S38" s="26" t="s">
        <v>1</v>
      </c>
      <c r="T38" s="29" t="s">
        <v>82</v>
      </c>
      <c r="U38" s="3"/>
    </row>
    <row r="39" spans="1:21" ht="57.6">
      <c r="A39" s="24">
        <v>10038</v>
      </c>
      <c r="B39" s="74" t="s">
        <v>178</v>
      </c>
      <c r="C39" s="25">
        <v>44371</v>
      </c>
      <c r="D39" s="14" t="s">
        <v>179</v>
      </c>
      <c r="E39" s="26">
        <v>27</v>
      </c>
      <c r="F39" s="26">
        <v>9</v>
      </c>
      <c r="G39" s="26">
        <v>88.8</v>
      </c>
      <c r="H39" s="26">
        <v>82.2</v>
      </c>
      <c r="I39" s="26">
        <v>207</v>
      </c>
      <c r="J39" s="26">
        <v>171</v>
      </c>
      <c r="K39" s="27">
        <v>0.51929824561403504</v>
      </c>
      <c r="L39" s="28">
        <v>0.48070175438596491</v>
      </c>
      <c r="M39" s="26" t="s">
        <v>95</v>
      </c>
      <c r="N39" s="37" t="s">
        <v>180</v>
      </c>
      <c r="O39" s="36" t="s">
        <v>9</v>
      </c>
      <c r="P39" s="1" t="s">
        <v>1</v>
      </c>
      <c r="Q39" s="1" t="s">
        <v>149</v>
      </c>
      <c r="R39" s="3"/>
      <c r="S39" s="26" t="s">
        <v>1</v>
      </c>
      <c r="T39" s="29" t="s">
        <v>82</v>
      </c>
      <c r="U39" s="3"/>
    </row>
    <row r="40" spans="1:21" ht="43.15">
      <c r="A40" s="24">
        <v>10039</v>
      </c>
      <c r="B40" s="74" t="s">
        <v>181</v>
      </c>
      <c r="C40" s="25">
        <v>44392</v>
      </c>
      <c r="D40" s="14" t="s">
        <v>182</v>
      </c>
      <c r="E40" s="26">
        <v>63</v>
      </c>
      <c r="F40" s="26">
        <v>9</v>
      </c>
      <c r="G40" s="26">
        <v>13</v>
      </c>
      <c r="H40" s="26">
        <v>122</v>
      </c>
      <c r="I40" s="26">
        <v>207</v>
      </c>
      <c r="J40" s="26">
        <v>135</v>
      </c>
      <c r="K40" s="27">
        <v>9.6296296296296297E-2</v>
      </c>
      <c r="L40" s="28">
        <v>0.90370370370370368</v>
      </c>
      <c r="M40" s="26" t="s">
        <v>95</v>
      </c>
      <c r="N40" s="37" t="s">
        <v>183</v>
      </c>
      <c r="O40" s="36" t="s">
        <v>19</v>
      </c>
      <c r="P40" s="1" t="s">
        <v>80</v>
      </c>
      <c r="Q40" s="1" t="s">
        <v>176</v>
      </c>
      <c r="R40" s="3"/>
      <c r="S40" s="26" t="s">
        <v>1</v>
      </c>
      <c r="T40" s="29" t="s">
        <v>82</v>
      </c>
      <c r="U40" s="3"/>
    </row>
    <row r="41" spans="1:21">
      <c r="A41" s="30">
        <v>10040</v>
      </c>
      <c r="B41" s="74" t="s">
        <v>184</v>
      </c>
      <c r="C41" s="25">
        <v>44410</v>
      </c>
      <c r="D41" s="14" t="s">
        <v>185</v>
      </c>
      <c r="E41" s="26">
        <v>72</v>
      </c>
      <c r="F41" s="26">
        <v>18</v>
      </c>
      <c r="G41" s="26">
        <v>117</v>
      </c>
      <c r="H41" s="26">
        <v>0</v>
      </c>
      <c r="I41" s="26">
        <v>207</v>
      </c>
      <c r="J41" s="26">
        <v>117</v>
      </c>
      <c r="K41" s="27">
        <v>1</v>
      </c>
      <c r="L41" s="28">
        <v>0</v>
      </c>
      <c r="M41" s="26" t="s">
        <v>79</v>
      </c>
      <c r="N41" s="3" t="s">
        <v>185</v>
      </c>
      <c r="O41" s="36" t="s">
        <v>15</v>
      </c>
      <c r="P41" s="1" t="s">
        <v>80</v>
      </c>
      <c r="Q41" s="1" t="s">
        <v>186</v>
      </c>
      <c r="R41" s="3"/>
      <c r="S41" s="26" t="s">
        <v>1</v>
      </c>
      <c r="T41" s="29" t="s">
        <v>82</v>
      </c>
      <c r="U41" s="3"/>
    </row>
    <row r="42" spans="1:21">
      <c r="A42" s="24">
        <v>10041</v>
      </c>
      <c r="B42" s="74" t="s">
        <v>187</v>
      </c>
      <c r="C42" s="25">
        <v>44420</v>
      </c>
      <c r="D42" s="14" t="s">
        <v>188</v>
      </c>
      <c r="E42" s="26">
        <v>63</v>
      </c>
      <c r="F42" s="26">
        <v>18</v>
      </c>
      <c r="G42" s="26">
        <v>126</v>
      </c>
      <c r="H42" s="26">
        <v>0</v>
      </c>
      <c r="I42" s="26">
        <v>207</v>
      </c>
      <c r="J42" s="26">
        <v>126</v>
      </c>
      <c r="K42" s="27">
        <v>1</v>
      </c>
      <c r="L42" s="28">
        <v>0</v>
      </c>
      <c r="M42" s="26" t="s">
        <v>79</v>
      </c>
      <c r="N42" s="3" t="s">
        <v>188</v>
      </c>
      <c r="O42" s="36" t="s">
        <v>19</v>
      </c>
      <c r="P42" s="1" t="s">
        <v>80</v>
      </c>
      <c r="Q42" s="1" t="s">
        <v>189</v>
      </c>
      <c r="R42" s="3"/>
      <c r="S42" s="26" t="s">
        <v>1</v>
      </c>
      <c r="T42" s="29" t="s">
        <v>82</v>
      </c>
      <c r="U42" s="3"/>
    </row>
    <row r="43" spans="1:21">
      <c r="A43" s="24">
        <v>10042</v>
      </c>
      <c r="B43" s="74" t="s">
        <v>190</v>
      </c>
      <c r="C43" s="25">
        <v>44453</v>
      </c>
      <c r="D43" s="14" t="s">
        <v>188</v>
      </c>
      <c r="E43" s="26">
        <v>45</v>
      </c>
      <c r="F43" s="26">
        <v>18</v>
      </c>
      <c r="G43" s="26">
        <v>144</v>
      </c>
      <c r="H43" s="26">
        <v>0</v>
      </c>
      <c r="I43" s="26">
        <v>207</v>
      </c>
      <c r="J43" s="26">
        <v>144</v>
      </c>
      <c r="K43" s="27">
        <v>1</v>
      </c>
      <c r="L43" s="28">
        <v>0</v>
      </c>
      <c r="M43" s="26" t="s">
        <v>79</v>
      </c>
      <c r="N43" s="3" t="s">
        <v>188</v>
      </c>
      <c r="O43" s="36" t="s">
        <v>19</v>
      </c>
      <c r="P43" s="1" t="s">
        <v>80</v>
      </c>
      <c r="Q43" s="1" t="s">
        <v>189</v>
      </c>
      <c r="R43" s="3"/>
      <c r="S43" s="26" t="s">
        <v>1</v>
      </c>
      <c r="T43" s="29" t="s">
        <v>82</v>
      </c>
      <c r="U43" s="3"/>
    </row>
    <row r="44" spans="1:21">
      <c r="A44" s="30">
        <v>10043</v>
      </c>
      <c r="B44" s="74" t="s">
        <v>191</v>
      </c>
      <c r="C44" s="25">
        <v>44454</v>
      </c>
      <c r="D44" s="14" t="s">
        <v>99</v>
      </c>
      <c r="E44" s="26">
        <v>18</v>
      </c>
      <c r="F44" s="26">
        <v>9</v>
      </c>
      <c r="G44" s="26">
        <v>180</v>
      </c>
      <c r="H44" s="26">
        <v>0</v>
      </c>
      <c r="I44" s="26">
        <v>207</v>
      </c>
      <c r="J44" s="26">
        <v>180</v>
      </c>
      <c r="K44" s="27">
        <v>1</v>
      </c>
      <c r="L44" s="28">
        <v>0</v>
      </c>
      <c r="M44" s="26" t="s">
        <v>79</v>
      </c>
      <c r="N44" s="3" t="s">
        <v>99</v>
      </c>
      <c r="O44" s="36" t="s">
        <v>19</v>
      </c>
      <c r="P44" s="1" t="s">
        <v>80</v>
      </c>
      <c r="Q44" s="1" t="s">
        <v>100</v>
      </c>
      <c r="R44" s="3"/>
      <c r="S44" s="26" t="s">
        <v>1</v>
      </c>
      <c r="T44" s="29" t="s">
        <v>82</v>
      </c>
      <c r="U44" s="3"/>
    </row>
    <row r="45" spans="1:21">
      <c r="A45" s="24">
        <v>10044</v>
      </c>
      <c r="B45" s="74" t="s">
        <v>192</v>
      </c>
      <c r="C45" s="25">
        <v>44466</v>
      </c>
      <c r="D45" s="14" t="s">
        <v>193</v>
      </c>
      <c r="E45" s="26">
        <v>45</v>
      </c>
      <c r="F45" s="26">
        <v>9</v>
      </c>
      <c r="G45" s="26">
        <v>153</v>
      </c>
      <c r="H45" s="26">
        <v>0</v>
      </c>
      <c r="I45" s="26">
        <v>207</v>
      </c>
      <c r="J45" s="26">
        <v>153</v>
      </c>
      <c r="K45" s="27">
        <v>1</v>
      </c>
      <c r="L45" s="28">
        <v>0</v>
      </c>
      <c r="M45" s="26" t="s">
        <v>79</v>
      </c>
      <c r="N45" s="3" t="s">
        <v>193</v>
      </c>
      <c r="O45" s="36" t="s">
        <v>19</v>
      </c>
      <c r="P45" s="1" t="s">
        <v>80</v>
      </c>
      <c r="Q45" s="1" t="s">
        <v>194</v>
      </c>
      <c r="R45" s="3"/>
      <c r="S45" s="26" t="s">
        <v>1</v>
      </c>
      <c r="T45" s="29" t="s">
        <v>82</v>
      </c>
      <c r="U45" s="3"/>
    </row>
    <row r="46" spans="1:21">
      <c r="A46" s="24">
        <v>10045</v>
      </c>
      <c r="B46" s="74" t="s">
        <v>195</v>
      </c>
      <c r="C46" s="25">
        <v>44469</v>
      </c>
      <c r="D46" s="14" t="s">
        <v>196</v>
      </c>
      <c r="E46" s="26">
        <v>36</v>
      </c>
      <c r="F46" s="26">
        <v>9</v>
      </c>
      <c r="G46" s="26">
        <v>162</v>
      </c>
      <c r="H46" s="26">
        <v>0</v>
      </c>
      <c r="I46" s="26">
        <v>207</v>
      </c>
      <c r="J46" s="26">
        <v>162</v>
      </c>
      <c r="K46" s="27">
        <v>1</v>
      </c>
      <c r="L46" s="28">
        <v>0</v>
      </c>
      <c r="M46" s="26" t="s">
        <v>79</v>
      </c>
      <c r="N46" s="3" t="s">
        <v>196</v>
      </c>
      <c r="O46" s="36" t="s">
        <v>19</v>
      </c>
      <c r="P46" s="1" t="s">
        <v>80</v>
      </c>
      <c r="Q46" s="1" t="s">
        <v>197</v>
      </c>
      <c r="R46" s="3"/>
      <c r="S46" s="26" t="s">
        <v>1</v>
      </c>
      <c r="T46" s="29" t="s">
        <v>82</v>
      </c>
      <c r="U46" s="3"/>
    </row>
    <row r="47" spans="1:21" ht="28.9">
      <c r="A47" s="30">
        <v>10046</v>
      </c>
      <c r="B47" s="74" t="s">
        <v>198</v>
      </c>
      <c r="C47" s="25">
        <v>44480</v>
      </c>
      <c r="D47" s="14" t="s">
        <v>199</v>
      </c>
      <c r="E47" s="26">
        <v>49.5</v>
      </c>
      <c r="F47" s="26">
        <v>9</v>
      </c>
      <c r="G47" s="26">
        <v>26.5</v>
      </c>
      <c r="H47" s="26">
        <v>122</v>
      </c>
      <c r="I47" s="26">
        <v>207</v>
      </c>
      <c r="J47" s="26">
        <v>148.5</v>
      </c>
      <c r="K47" s="27">
        <v>0.17845117845117844</v>
      </c>
      <c r="L47" s="28">
        <v>0.82154882154882158</v>
      </c>
      <c r="M47" s="26" t="s">
        <v>95</v>
      </c>
      <c r="N47" s="37" t="s">
        <v>200</v>
      </c>
      <c r="O47" s="36" t="s">
        <v>149</v>
      </c>
      <c r="P47" s="1" t="s">
        <v>1</v>
      </c>
      <c r="Q47" s="1" t="s">
        <v>149</v>
      </c>
      <c r="R47" s="3"/>
      <c r="S47" s="26" t="s">
        <v>1</v>
      </c>
      <c r="T47" s="29" t="s">
        <v>82</v>
      </c>
      <c r="U47" s="3"/>
    </row>
    <row r="48" spans="1:21">
      <c r="A48" s="24">
        <v>10047</v>
      </c>
      <c r="B48" s="74" t="s">
        <v>201</v>
      </c>
      <c r="C48" s="25">
        <v>44488</v>
      </c>
      <c r="D48" s="14" t="s">
        <v>196</v>
      </c>
      <c r="E48" s="26">
        <v>27</v>
      </c>
      <c r="F48" s="26">
        <v>9</v>
      </c>
      <c r="G48" s="26">
        <v>171</v>
      </c>
      <c r="H48" s="26">
        <v>0</v>
      </c>
      <c r="I48" s="26">
        <v>207</v>
      </c>
      <c r="J48" s="26">
        <v>171</v>
      </c>
      <c r="K48" s="27">
        <v>1</v>
      </c>
      <c r="L48" s="28">
        <v>0</v>
      </c>
      <c r="M48" s="26" t="s">
        <v>79</v>
      </c>
      <c r="N48" s="3" t="s">
        <v>196</v>
      </c>
      <c r="O48" s="36" t="s">
        <v>19</v>
      </c>
      <c r="P48" s="1" t="s">
        <v>80</v>
      </c>
      <c r="Q48" s="1" t="s">
        <v>197</v>
      </c>
      <c r="R48" s="3"/>
      <c r="S48" s="26" t="s">
        <v>1</v>
      </c>
      <c r="T48" s="29" t="s">
        <v>82</v>
      </c>
      <c r="U48" s="3"/>
    </row>
    <row r="49" spans="1:21">
      <c r="A49" s="24">
        <v>10048</v>
      </c>
      <c r="B49" s="74" t="s">
        <v>202</v>
      </c>
      <c r="C49" s="25">
        <v>44508</v>
      </c>
      <c r="D49" s="14" t="s">
        <v>129</v>
      </c>
      <c r="E49" s="26">
        <v>63</v>
      </c>
      <c r="F49" s="26">
        <v>9</v>
      </c>
      <c r="G49" s="26">
        <v>135</v>
      </c>
      <c r="H49" s="26">
        <v>0</v>
      </c>
      <c r="I49" s="26">
        <v>207</v>
      </c>
      <c r="J49" s="26">
        <v>135</v>
      </c>
      <c r="K49" s="27">
        <v>1</v>
      </c>
      <c r="L49" s="28">
        <v>0</v>
      </c>
      <c r="M49" s="26" t="s">
        <v>79</v>
      </c>
      <c r="N49" s="3" t="s">
        <v>129</v>
      </c>
      <c r="O49" s="36" t="s">
        <v>15</v>
      </c>
      <c r="P49" s="1" t="s">
        <v>80</v>
      </c>
      <c r="Q49" s="1" t="s">
        <v>130</v>
      </c>
      <c r="R49" s="3"/>
      <c r="S49" s="26" t="s">
        <v>1</v>
      </c>
      <c r="T49" s="29" t="s">
        <v>82</v>
      </c>
      <c r="U49" s="3"/>
    </row>
    <row r="50" spans="1:21">
      <c r="A50" s="30">
        <v>10049</v>
      </c>
      <c r="B50" s="74" t="s">
        <v>203</v>
      </c>
      <c r="C50" s="25">
        <v>44508</v>
      </c>
      <c r="D50" s="14" t="s">
        <v>99</v>
      </c>
      <c r="E50" s="26">
        <v>27</v>
      </c>
      <c r="F50" s="26">
        <v>9</v>
      </c>
      <c r="G50" s="26">
        <v>171</v>
      </c>
      <c r="H50" s="26">
        <v>0</v>
      </c>
      <c r="I50" s="26">
        <v>207</v>
      </c>
      <c r="J50" s="26">
        <v>171</v>
      </c>
      <c r="K50" s="27">
        <v>1</v>
      </c>
      <c r="L50" s="28">
        <v>0</v>
      </c>
      <c r="M50" s="26" t="s">
        <v>79</v>
      </c>
      <c r="N50" s="3" t="s">
        <v>99</v>
      </c>
      <c r="O50" s="36" t="s">
        <v>19</v>
      </c>
      <c r="P50" s="1" t="s">
        <v>80</v>
      </c>
      <c r="Q50" s="1" t="s">
        <v>100</v>
      </c>
      <c r="R50" s="3"/>
      <c r="S50" s="26" t="s">
        <v>1</v>
      </c>
      <c r="T50" s="29" t="s">
        <v>82</v>
      </c>
      <c r="U50" s="3"/>
    </row>
    <row r="51" spans="1:21">
      <c r="A51" s="24">
        <v>10050</v>
      </c>
      <c r="B51" s="74" t="s">
        <v>204</v>
      </c>
      <c r="C51" s="25">
        <v>44522</v>
      </c>
      <c r="D51" s="14" t="s">
        <v>138</v>
      </c>
      <c r="E51" s="26">
        <v>18</v>
      </c>
      <c r="F51" s="26">
        <v>9</v>
      </c>
      <c r="G51" s="26">
        <v>180</v>
      </c>
      <c r="H51" s="26">
        <v>0</v>
      </c>
      <c r="I51" s="26">
        <v>207</v>
      </c>
      <c r="J51" s="26">
        <v>180</v>
      </c>
      <c r="K51" s="27">
        <v>1</v>
      </c>
      <c r="L51" s="28">
        <v>0</v>
      </c>
      <c r="M51" s="26" t="s">
        <v>79</v>
      </c>
      <c r="N51" s="3" t="s">
        <v>138</v>
      </c>
      <c r="O51" s="36" t="s">
        <v>19</v>
      </c>
      <c r="P51" s="1" t="s">
        <v>80</v>
      </c>
      <c r="Q51" s="1" t="s">
        <v>139</v>
      </c>
      <c r="R51" s="3"/>
      <c r="S51" s="26" t="s">
        <v>1</v>
      </c>
      <c r="T51" s="29" t="s">
        <v>82</v>
      </c>
      <c r="U51" s="3"/>
    </row>
    <row r="52" spans="1:21">
      <c r="A52" s="24">
        <v>10051</v>
      </c>
      <c r="B52" s="74" t="s">
        <v>205</v>
      </c>
      <c r="C52" s="25">
        <v>44531</v>
      </c>
      <c r="D52" s="14" t="s">
        <v>196</v>
      </c>
      <c r="E52" s="26">
        <v>45</v>
      </c>
      <c r="F52" s="26">
        <v>9</v>
      </c>
      <c r="G52" s="26">
        <v>153</v>
      </c>
      <c r="H52" s="26">
        <v>0</v>
      </c>
      <c r="I52" s="26">
        <v>207</v>
      </c>
      <c r="J52" s="26">
        <v>153</v>
      </c>
      <c r="K52" s="27">
        <v>1</v>
      </c>
      <c r="L52" s="28">
        <v>0</v>
      </c>
      <c r="M52" s="26" t="s">
        <v>79</v>
      </c>
      <c r="N52" s="3" t="s">
        <v>196</v>
      </c>
      <c r="O52" s="36" t="s">
        <v>19</v>
      </c>
      <c r="P52" s="1" t="s">
        <v>80</v>
      </c>
      <c r="Q52" s="1" t="s">
        <v>197</v>
      </c>
      <c r="R52" s="3"/>
      <c r="S52" s="26" t="s">
        <v>1</v>
      </c>
      <c r="T52" s="29" t="s">
        <v>82</v>
      </c>
      <c r="U52" s="3"/>
    </row>
    <row r="53" spans="1:21">
      <c r="A53" s="30">
        <v>10052</v>
      </c>
      <c r="B53" s="74" t="s">
        <v>206</v>
      </c>
      <c r="C53" s="25">
        <v>44550</v>
      </c>
      <c r="D53" s="14" t="s">
        <v>169</v>
      </c>
      <c r="E53" s="26">
        <v>9</v>
      </c>
      <c r="F53" s="26">
        <v>9</v>
      </c>
      <c r="G53" s="26">
        <v>189</v>
      </c>
      <c r="H53" s="26">
        <v>0</v>
      </c>
      <c r="I53" s="26">
        <v>207</v>
      </c>
      <c r="J53" s="26">
        <v>189</v>
      </c>
      <c r="K53" s="27">
        <v>1</v>
      </c>
      <c r="L53" s="28">
        <v>0</v>
      </c>
      <c r="M53" s="26" t="s">
        <v>79</v>
      </c>
      <c r="N53" s="3" t="s">
        <v>169</v>
      </c>
      <c r="O53" s="36" t="s">
        <v>19</v>
      </c>
      <c r="P53" s="1" t="s">
        <v>80</v>
      </c>
      <c r="Q53" s="1" t="s">
        <v>170</v>
      </c>
      <c r="R53" s="3"/>
      <c r="S53" s="26" t="s">
        <v>1</v>
      </c>
      <c r="T53" s="29" t="s">
        <v>82</v>
      </c>
      <c r="U53" s="3"/>
    </row>
    <row r="54" spans="1:21">
      <c r="A54" s="24">
        <v>10053</v>
      </c>
      <c r="B54" s="74" t="s">
        <v>207</v>
      </c>
      <c r="C54" s="25">
        <v>44554</v>
      </c>
      <c r="D54" s="14" t="s">
        <v>208</v>
      </c>
      <c r="E54" s="26">
        <v>31.5</v>
      </c>
      <c r="F54" s="26">
        <v>18</v>
      </c>
      <c r="G54" s="26">
        <v>157.5</v>
      </c>
      <c r="H54" s="26">
        <v>0</v>
      </c>
      <c r="I54" s="26">
        <v>207</v>
      </c>
      <c r="J54" s="26">
        <v>157.5</v>
      </c>
      <c r="K54" s="27">
        <v>1</v>
      </c>
      <c r="L54" s="28">
        <v>0</v>
      </c>
      <c r="M54" s="26" t="s">
        <v>79</v>
      </c>
      <c r="N54" s="3" t="s">
        <v>208</v>
      </c>
      <c r="O54" s="36" t="s">
        <v>19</v>
      </c>
      <c r="P54" s="1" t="s">
        <v>80</v>
      </c>
      <c r="Q54" s="1" t="s">
        <v>209</v>
      </c>
      <c r="R54" s="3"/>
      <c r="S54" s="26" t="s">
        <v>1</v>
      </c>
      <c r="T54" s="29" t="s">
        <v>82</v>
      </c>
      <c r="U54" s="3"/>
    </row>
    <row r="55" spans="1:21">
      <c r="A55" s="24">
        <v>10054</v>
      </c>
      <c r="B55" s="74" t="s">
        <v>210</v>
      </c>
      <c r="C55" s="25">
        <v>44557</v>
      </c>
      <c r="D55" s="14" t="s">
        <v>99</v>
      </c>
      <c r="E55" s="26">
        <v>45</v>
      </c>
      <c r="F55" s="26">
        <v>9</v>
      </c>
      <c r="G55" s="26">
        <v>153</v>
      </c>
      <c r="H55" s="26">
        <v>0</v>
      </c>
      <c r="I55" s="26">
        <v>207</v>
      </c>
      <c r="J55" s="26">
        <v>153</v>
      </c>
      <c r="K55" s="27">
        <v>1</v>
      </c>
      <c r="L55" s="28">
        <v>0</v>
      </c>
      <c r="M55" s="26" t="s">
        <v>79</v>
      </c>
      <c r="N55" s="3" t="s">
        <v>99</v>
      </c>
      <c r="O55" s="36" t="s">
        <v>19</v>
      </c>
      <c r="P55" s="1" t="s">
        <v>80</v>
      </c>
      <c r="Q55" s="1" t="s">
        <v>100</v>
      </c>
      <c r="R55" s="3"/>
      <c r="S55" s="26" t="s">
        <v>1</v>
      </c>
      <c r="T55" s="29" t="s">
        <v>82</v>
      </c>
      <c r="U55" s="3"/>
    </row>
    <row r="56" spans="1:21">
      <c r="A56" s="30">
        <v>10055</v>
      </c>
      <c r="B56" s="74" t="s">
        <v>211</v>
      </c>
      <c r="C56" s="25">
        <v>44564</v>
      </c>
      <c r="D56" s="14" t="s">
        <v>212</v>
      </c>
      <c r="E56" s="26">
        <v>9</v>
      </c>
      <c r="F56" s="26">
        <v>9</v>
      </c>
      <c r="G56" s="26">
        <v>189</v>
      </c>
      <c r="H56" s="26">
        <v>0</v>
      </c>
      <c r="I56" s="26">
        <v>207</v>
      </c>
      <c r="J56" s="26">
        <v>189</v>
      </c>
      <c r="K56" s="27">
        <v>1</v>
      </c>
      <c r="L56" s="28">
        <v>0</v>
      </c>
      <c r="M56" s="26" t="s">
        <v>79</v>
      </c>
      <c r="N56" s="3" t="s">
        <v>212</v>
      </c>
      <c r="O56" s="36" t="s">
        <v>19</v>
      </c>
      <c r="P56" s="1" t="s">
        <v>80</v>
      </c>
      <c r="Q56" s="1" t="s">
        <v>213</v>
      </c>
      <c r="R56" s="3"/>
      <c r="S56" s="26" t="s">
        <v>1</v>
      </c>
      <c r="T56" s="29" t="s">
        <v>82</v>
      </c>
      <c r="U56" s="3"/>
    </row>
    <row r="57" spans="1:21" ht="28.9">
      <c r="A57" s="24">
        <v>10056</v>
      </c>
      <c r="B57" s="74" t="s">
        <v>214</v>
      </c>
      <c r="C57" s="25">
        <v>44571</v>
      </c>
      <c r="D57" s="14" t="s">
        <v>215</v>
      </c>
      <c r="E57" s="26">
        <v>108</v>
      </c>
      <c r="F57" s="26">
        <v>9</v>
      </c>
      <c r="G57" s="26">
        <v>90</v>
      </c>
      <c r="H57" s="26">
        <v>0</v>
      </c>
      <c r="I57" s="26">
        <v>207</v>
      </c>
      <c r="J57" s="26">
        <v>90</v>
      </c>
      <c r="K57" s="27">
        <v>1</v>
      </c>
      <c r="L57" s="28">
        <v>0</v>
      </c>
      <c r="M57" s="26" t="s">
        <v>79</v>
      </c>
      <c r="N57" s="3" t="s">
        <v>215</v>
      </c>
      <c r="O57" s="36" t="s">
        <v>13</v>
      </c>
      <c r="P57" s="1" t="s">
        <v>80</v>
      </c>
      <c r="Q57" s="1" t="s">
        <v>215</v>
      </c>
      <c r="R57" s="3"/>
      <c r="S57" s="26" t="s">
        <v>1</v>
      </c>
      <c r="T57" s="29" t="s">
        <v>82</v>
      </c>
      <c r="U57" s="3"/>
    </row>
    <row r="58" spans="1:21">
      <c r="A58" s="24">
        <v>10057</v>
      </c>
      <c r="B58" s="74" t="s">
        <v>216</v>
      </c>
      <c r="C58" s="25">
        <v>44582</v>
      </c>
      <c r="D58" s="14" t="s">
        <v>99</v>
      </c>
      <c r="E58" s="26">
        <v>0</v>
      </c>
      <c r="F58" s="26">
        <v>9</v>
      </c>
      <c r="G58" s="26">
        <v>198</v>
      </c>
      <c r="H58" s="26">
        <v>0</v>
      </c>
      <c r="I58" s="26">
        <v>207</v>
      </c>
      <c r="J58" s="26">
        <v>198</v>
      </c>
      <c r="K58" s="27">
        <v>1</v>
      </c>
      <c r="L58" s="28">
        <v>0</v>
      </c>
      <c r="M58" s="26" t="s">
        <v>79</v>
      </c>
      <c r="N58" s="3" t="s">
        <v>99</v>
      </c>
      <c r="O58" s="36" t="s">
        <v>19</v>
      </c>
      <c r="P58" s="1" t="s">
        <v>80</v>
      </c>
      <c r="Q58" s="1" t="s">
        <v>100</v>
      </c>
      <c r="R58" s="3"/>
      <c r="S58" s="26" t="s">
        <v>80</v>
      </c>
      <c r="T58" s="29" t="s">
        <v>82</v>
      </c>
      <c r="U58" s="3"/>
    </row>
    <row r="59" spans="1:21">
      <c r="A59" s="30">
        <v>10058</v>
      </c>
      <c r="B59" s="74" t="s">
        <v>217</v>
      </c>
      <c r="C59" s="25">
        <v>44599</v>
      </c>
      <c r="D59" s="14" t="s">
        <v>218</v>
      </c>
      <c r="E59" s="26">
        <v>27</v>
      </c>
      <c r="F59" s="26">
        <v>9</v>
      </c>
      <c r="G59" s="26">
        <v>171</v>
      </c>
      <c r="H59" s="26">
        <v>0</v>
      </c>
      <c r="I59" s="26">
        <v>207</v>
      </c>
      <c r="J59" s="26">
        <v>171</v>
      </c>
      <c r="K59" s="27">
        <v>1</v>
      </c>
      <c r="L59" s="28">
        <v>0</v>
      </c>
      <c r="M59" s="26" t="s">
        <v>79</v>
      </c>
      <c r="N59" s="3" t="s">
        <v>218</v>
      </c>
      <c r="O59" s="36" t="s">
        <v>19</v>
      </c>
      <c r="P59" s="1" t="s">
        <v>80</v>
      </c>
      <c r="Q59" s="1" t="s">
        <v>219</v>
      </c>
      <c r="R59" s="3"/>
      <c r="S59" s="26" t="s">
        <v>1</v>
      </c>
      <c r="T59" s="29" t="s">
        <v>82</v>
      </c>
      <c r="U59" s="3"/>
    </row>
    <row r="60" spans="1:21">
      <c r="A60" s="24">
        <v>10059</v>
      </c>
      <c r="B60" s="74" t="s">
        <v>220</v>
      </c>
      <c r="C60" s="25">
        <v>44620</v>
      </c>
      <c r="D60" s="14" t="s">
        <v>221</v>
      </c>
      <c r="E60" s="26">
        <v>9</v>
      </c>
      <c r="F60" s="26">
        <v>9</v>
      </c>
      <c r="G60" s="26">
        <v>189</v>
      </c>
      <c r="H60" s="26">
        <v>0</v>
      </c>
      <c r="I60" s="26">
        <v>207</v>
      </c>
      <c r="J60" s="26">
        <v>189</v>
      </c>
      <c r="K60" s="27">
        <v>1</v>
      </c>
      <c r="L60" s="28">
        <v>0</v>
      </c>
      <c r="M60" s="26" t="s">
        <v>79</v>
      </c>
      <c r="N60" s="3" t="s">
        <v>221</v>
      </c>
      <c r="O60" s="36" t="s">
        <v>19</v>
      </c>
      <c r="P60" s="1" t="s">
        <v>80</v>
      </c>
      <c r="Q60" s="1" t="s">
        <v>222</v>
      </c>
      <c r="R60" s="3"/>
      <c r="S60" s="26" t="s">
        <v>1</v>
      </c>
      <c r="T60" s="29" t="s">
        <v>82</v>
      </c>
      <c r="U60" s="3"/>
    </row>
    <row r="61" spans="1:21">
      <c r="A61" s="24">
        <v>10060</v>
      </c>
      <c r="B61" s="74" t="s">
        <v>223</v>
      </c>
      <c r="C61" s="25">
        <v>44652</v>
      </c>
      <c r="D61" s="14" t="s">
        <v>84</v>
      </c>
      <c r="E61" s="26">
        <v>18</v>
      </c>
      <c r="F61" s="26">
        <v>9</v>
      </c>
      <c r="G61" s="26">
        <v>180</v>
      </c>
      <c r="H61" s="26">
        <v>0</v>
      </c>
      <c r="I61" s="26">
        <v>207</v>
      </c>
      <c r="J61" s="26">
        <v>180</v>
      </c>
      <c r="K61" s="27">
        <v>1</v>
      </c>
      <c r="L61" s="28">
        <v>0</v>
      </c>
      <c r="M61" s="26" t="s">
        <v>79</v>
      </c>
      <c r="N61" s="3" t="s">
        <v>84</v>
      </c>
      <c r="O61" s="36" t="s">
        <v>15</v>
      </c>
      <c r="P61" s="1" t="s">
        <v>80</v>
      </c>
      <c r="Q61" s="1" t="s">
        <v>85</v>
      </c>
      <c r="R61" s="3"/>
      <c r="S61" s="26" t="s">
        <v>1</v>
      </c>
      <c r="T61" s="29" t="s">
        <v>82</v>
      </c>
      <c r="U61" s="3"/>
    </row>
    <row r="62" spans="1:21">
      <c r="A62" s="30">
        <v>10061</v>
      </c>
      <c r="B62" s="74" t="s">
        <v>224</v>
      </c>
      <c r="C62" s="25">
        <v>44669</v>
      </c>
      <c r="D62" s="14" t="s">
        <v>225</v>
      </c>
      <c r="E62" s="26">
        <v>9</v>
      </c>
      <c r="F62" s="26">
        <v>9</v>
      </c>
      <c r="G62" s="26">
        <v>189</v>
      </c>
      <c r="H62" s="26">
        <v>0</v>
      </c>
      <c r="I62" s="26">
        <v>207</v>
      </c>
      <c r="J62" s="26">
        <v>189</v>
      </c>
      <c r="K62" s="27">
        <v>1</v>
      </c>
      <c r="L62" s="28">
        <v>0</v>
      </c>
      <c r="M62" s="26" t="s">
        <v>79</v>
      </c>
      <c r="N62" s="3" t="s">
        <v>225</v>
      </c>
      <c r="O62" s="36" t="s">
        <v>19</v>
      </c>
      <c r="P62" s="1" t="s">
        <v>80</v>
      </c>
      <c r="Q62" s="1" t="s">
        <v>225</v>
      </c>
      <c r="R62" s="3"/>
      <c r="S62" s="26" t="s">
        <v>1</v>
      </c>
      <c r="T62" s="29" t="s">
        <v>82</v>
      </c>
      <c r="U62" s="3"/>
    </row>
    <row r="63" spans="1:21" ht="72">
      <c r="A63" s="24">
        <v>10062</v>
      </c>
      <c r="B63" s="74" t="s">
        <v>226</v>
      </c>
      <c r="C63" s="25">
        <v>44673</v>
      </c>
      <c r="D63" s="14" t="s">
        <v>227</v>
      </c>
      <c r="E63" s="26">
        <v>40.5</v>
      </c>
      <c r="F63" s="26">
        <v>9</v>
      </c>
      <c r="G63" s="26">
        <v>157.5</v>
      </c>
      <c r="H63" s="26">
        <v>0</v>
      </c>
      <c r="I63" s="26">
        <v>207</v>
      </c>
      <c r="J63" s="26">
        <v>157.5</v>
      </c>
      <c r="K63" s="27">
        <v>1</v>
      </c>
      <c r="L63" s="28">
        <v>0</v>
      </c>
      <c r="M63" s="26" t="s">
        <v>79</v>
      </c>
      <c r="N63" s="14" t="s">
        <v>228</v>
      </c>
      <c r="O63" s="36" t="s">
        <v>15</v>
      </c>
      <c r="P63" s="1" t="s">
        <v>80</v>
      </c>
      <c r="Q63" s="1" t="s">
        <v>229</v>
      </c>
      <c r="R63" s="3"/>
      <c r="S63" s="26" t="s">
        <v>1</v>
      </c>
      <c r="T63" s="29" t="s">
        <v>82</v>
      </c>
      <c r="U63" s="3"/>
    </row>
    <row r="64" spans="1:21">
      <c r="A64" s="24">
        <v>10063</v>
      </c>
      <c r="B64" s="74" t="s">
        <v>230</v>
      </c>
      <c r="C64" s="25">
        <v>44700</v>
      </c>
      <c r="D64" s="3" t="s">
        <v>160</v>
      </c>
      <c r="E64" s="26">
        <v>0</v>
      </c>
      <c r="F64" s="26">
        <v>0</v>
      </c>
      <c r="G64" s="26">
        <v>0</v>
      </c>
      <c r="H64" s="26">
        <v>0</v>
      </c>
      <c r="I64" s="26">
        <v>0</v>
      </c>
      <c r="J64" s="26">
        <v>0</v>
      </c>
      <c r="K64" s="27">
        <v>0</v>
      </c>
      <c r="L64" s="28" t="s">
        <v>82</v>
      </c>
      <c r="M64" s="26" t="s">
        <v>95</v>
      </c>
      <c r="N64" s="3" t="s">
        <v>160</v>
      </c>
      <c r="O64" s="3" t="s">
        <v>160</v>
      </c>
      <c r="P64" s="1" t="s">
        <v>1</v>
      </c>
      <c r="Q64" s="3" t="s">
        <v>160</v>
      </c>
      <c r="R64" s="3"/>
      <c r="S64" s="26" t="s">
        <v>1</v>
      </c>
      <c r="T64" s="29" t="s">
        <v>82</v>
      </c>
      <c r="U64" s="3"/>
    </row>
    <row r="65" spans="1:21">
      <c r="A65" s="30">
        <v>10064</v>
      </c>
      <c r="B65" s="74" t="s">
        <v>231</v>
      </c>
      <c r="C65" s="43">
        <v>44725</v>
      </c>
      <c r="D65" s="14" t="s">
        <v>129</v>
      </c>
      <c r="E65" s="26">
        <v>9</v>
      </c>
      <c r="F65" s="26">
        <v>9</v>
      </c>
      <c r="G65" s="26">
        <v>189</v>
      </c>
      <c r="H65" s="26">
        <v>0</v>
      </c>
      <c r="I65" s="26">
        <v>207</v>
      </c>
      <c r="J65" s="26">
        <v>189</v>
      </c>
      <c r="K65" s="27">
        <v>1</v>
      </c>
      <c r="L65" s="28">
        <v>0</v>
      </c>
      <c r="M65" s="26" t="s">
        <v>79</v>
      </c>
      <c r="N65" s="3" t="s">
        <v>129</v>
      </c>
      <c r="O65" s="36" t="s">
        <v>15</v>
      </c>
      <c r="P65" s="1" t="s">
        <v>80</v>
      </c>
      <c r="Q65" s="1" t="s">
        <v>130</v>
      </c>
      <c r="R65" s="3"/>
      <c r="S65" s="26" t="s">
        <v>1</v>
      </c>
      <c r="T65" s="29" t="s">
        <v>82</v>
      </c>
      <c r="U65" s="3"/>
    </row>
    <row r="66" spans="1:21">
      <c r="A66" s="24">
        <v>10065</v>
      </c>
      <c r="B66" s="74" t="s">
        <v>232</v>
      </c>
      <c r="C66" s="25">
        <v>44732</v>
      </c>
      <c r="D66" s="14" t="s">
        <v>78</v>
      </c>
      <c r="E66" s="26">
        <v>18</v>
      </c>
      <c r="F66" s="26">
        <v>9</v>
      </c>
      <c r="G66" s="26">
        <v>180</v>
      </c>
      <c r="H66" s="26">
        <v>0</v>
      </c>
      <c r="I66" s="26">
        <v>207</v>
      </c>
      <c r="J66" s="26">
        <v>180</v>
      </c>
      <c r="K66" s="27">
        <v>1</v>
      </c>
      <c r="L66" s="28">
        <v>0</v>
      </c>
      <c r="M66" s="26" t="s">
        <v>79</v>
      </c>
      <c r="N66" s="3" t="s">
        <v>78</v>
      </c>
      <c r="O66" s="36" t="s">
        <v>19</v>
      </c>
      <c r="P66" s="1" t="s">
        <v>80</v>
      </c>
      <c r="Q66" s="1" t="s">
        <v>81</v>
      </c>
      <c r="R66" s="3"/>
      <c r="S66" s="26" t="s">
        <v>80</v>
      </c>
      <c r="T66" s="29" t="s">
        <v>82</v>
      </c>
      <c r="U66" s="3"/>
    </row>
    <row r="67" spans="1:21">
      <c r="A67" s="24">
        <v>10066</v>
      </c>
      <c r="B67" s="74" t="s">
        <v>233</v>
      </c>
      <c r="C67" s="25">
        <v>44732</v>
      </c>
      <c r="D67" s="14" t="s">
        <v>121</v>
      </c>
      <c r="E67" s="26">
        <v>0</v>
      </c>
      <c r="F67" s="26">
        <v>0</v>
      </c>
      <c r="G67" s="26">
        <v>0</v>
      </c>
      <c r="H67" s="26">
        <v>45</v>
      </c>
      <c r="I67" s="26">
        <v>45</v>
      </c>
      <c r="J67" s="26">
        <v>45</v>
      </c>
      <c r="K67" s="27">
        <v>0</v>
      </c>
      <c r="L67" s="28">
        <v>1</v>
      </c>
      <c r="M67" s="26" t="s">
        <v>95</v>
      </c>
      <c r="N67" s="61" t="s">
        <v>122</v>
      </c>
      <c r="O67" s="4" t="s">
        <v>234</v>
      </c>
      <c r="P67" s="1" t="s">
        <v>1</v>
      </c>
      <c r="Q67" s="4" t="s">
        <v>234</v>
      </c>
      <c r="R67" s="3"/>
      <c r="S67" s="26" t="s">
        <v>80</v>
      </c>
      <c r="T67" s="29">
        <v>45996</v>
      </c>
      <c r="U67" s="3"/>
    </row>
    <row r="68" spans="1:21">
      <c r="A68" s="30">
        <v>10067</v>
      </c>
      <c r="B68" s="74" t="s">
        <v>235</v>
      </c>
      <c r="C68" s="25">
        <v>44734</v>
      </c>
      <c r="D68" s="14" t="s">
        <v>84</v>
      </c>
      <c r="E68" s="26">
        <v>36</v>
      </c>
      <c r="F68" s="26">
        <v>9</v>
      </c>
      <c r="G68" s="26">
        <v>162</v>
      </c>
      <c r="H68" s="26">
        <v>0</v>
      </c>
      <c r="I68" s="26">
        <v>207</v>
      </c>
      <c r="J68" s="26">
        <v>162</v>
      </c>
      <c r="K68" s="27">
        <v>1</v>
      </c>
      <c r="L68" s="28">
        <v>0</v>
      </c>
      <c r="M68" s="26" t="s">
        <v>79</v>
      </c>
      <c r="N68" s="3" t="s">
        <v>84</v>
      </c>
      <c r="O68" s="36" t="s">
        <v>15</v>
      </c>
      <c r="P68" s="1" t="s">
        <v>80</v>
      </c>
      <c r="Q68" s="1" t="s">
        <v>85</v>
      </c>
      <c r="R68" s="3"/>
      <c r="S68" s="26" t="s">
        <v>1</v>
      </c>
      <c r="T68" s="29" t="s">
        <v>82</v>
      </c>
      <c r="U68" s="3"/>
    </row>
    <row r="69" spans="1:21">
      <c r="A69" s="24">
        <v>10068</v>
      </c>
      <c r="B69" s="74" t="s">
        <v>236</v>
      </c>
      <c r="C69" s="25">
        <v>44746</v>
      </c>
      <c r="D69" s="14" t="s">
        <v>99</v>
      </c>
      <c r="E69" s="26">
        <v>18</v>
      </c>
      <c r="F69" s="26">
        <v>9</v>
      </c>
      <c r="G69" s="26">
        <v>180</v>
      </c>
      <c r="H69" s="26">
        <v>0</v>
      </c>
      <c r="I69" s="26">
        <v>207</v>
      </c>
      <c r="J69" s="26">
        <v>180</v>
      </c>
      <c r="K69" s="27">
        <v>1</v>
      </c>
      <c r="L69" s="28">
        <v>0</v>
      </c>
      <c r="M69" s="26" t="s">
        <v>79</v>
      </c>
      <c r="N69" s="3" t="s">
        <v>99</v>
      </c>
      <c r="O69" s="36" t="s">
        <v>19</v>
      </c>
      <c r="P69" s="1" t="s">
        <v>80</v>
      </c>
      <c r="Q69" s="1" t="s">
        <v>100</v>
      </c>
      <c r="R69" s="3"/>
      <c r="S69" s="26" t="s">
        <v>1</v>
      </c>
      <c r="T69" s="29" t="s">
        <v>82</v>
      </c>
      <c r="U69" s="3"/>
    </row>
    <row r="70" spans="1:21" ht="28.9">
      <c r="A70" s="24">
        <v>10069</v>
      </c>
      <c r="B70" s="74" t="s">
        <v>237</v>
      </c>
      <c r="C70" s="25">
        <v>44760</v>
      </c>
      <c r="D70" s="14" t="s">
        <v>238</v>
      </c>
      <c r="E70" s="26">
        <v>45</v>
      </c>
      <c r="F70" s="26">
        <v>9</v>
      </c>
      <c r="G70" s="26">
        <v>126</v>
      </c>
      <c r="H70" s="26">
        <v>27</v>
      </c>
      <c r="I70" s="26">
        <v>207</v>
      </c>
      <c r="J70" s="26">
        <v>153</v>
      </c>
      <c r="K70" s="27">
        <v>0.82352941176470584</v>
      </c>
      <c r="L70" s="28">
        <v>0.17647058823529413</v>
      </c>
      <c r="M70" s="26" t="s">
        <v>95</v>
      </c>
      <c r="N70" s="37" t="s">
        <v>239</v>
      </c>
      <c r="O70" s="36" t="s">
        <v>10</v>
      </c>
      <c r="P70" s="1" t="s">
        <v>1</v>
      </c>
      <c r="Q70" s="36" t="s">
        <v>10</v>
      </c>
      <c r="R70" s="3"/>
      <c r="S70" s="26" t="s">
        <v>1</v>
      </c>
      <c r="T70" s="29" t="s">
        <v>82</v>
      </c>
      <c r="U70" s="3"/>
    </row>
    <row r="71" spans="1:21">
      <c r="A71" s="30">
        <v>10070</v>
      </c>
      <c r="B71" s="74" t="s">
        <v>240</v>
      </c>
      <c r="C71" s="25">
        <v>44827</v>
      </c>
      <c r="D71" s="14" t="s">
        <v>196</v>
      </c>
      <c r="E71" s="26">
        <v>0</v>
      </c>
      <c r="F71" s="26">
        <v>9</v>
      </c>
      <c r="G71" s="26">
        <v>198</v>
      </c>
      <c r="H71" s="26">
        <v>0</v>
      </c>
      <c r="I71" s="26">
        <v>207</v>
      </c>
      <c r="J71" s="26">
        <v>198</v>
      </c>
      <c r="K71" s="27">
        <v>1</v>
      </c>
      <c r="L71" s="28">
        <v>0</v>
      </c>
      <c r="M71" s="26" t="s">
        <v>79</v>
      </c>
      <c r="N71" s="3" t="s">
        <v>196</v>
      </c>
      <c r="O71" s="36" t="s">
        <v>19</v>
      </c>
      <c r="P71" s="1" t="s">
        <v>80</v>
      </c>
      <c r="Q71" s="1" t="s">
        <v>197</v>
      </c>
      <c r="R71" s="3"/>
      <c r="S71" s="26" t="s">
        <v>1</v>
      </c>
      <c r="T71" s="29" t="s">
        <v>82</v>
      </c>
      <c r="U71" s="3"/>
    </row>
    <row r="72" spans="1:21">
      <c r="A72" s="24">
        <v>10071</v>
      </c>
      <c r="B72" s="74" t="s">
        <v>241</v>
      </c>
      <c r="C72" s="25">
        <v>44833</v>
      </c>
      <c r="D72" s="14" t="s">
        <v>188</v>
      </c>
      <c r="E72" s="26">
        <v>36</v>
      </c>
      <c r="F72" s="26">
        <v>18</v>
      </c>
      <c r="G72" s="26">
        <v>153</v>
      </c>
      <c r="H72" s="26">
        <v>0</v>
      </c>
      <c r="I72" s="26">
        <v>207</v>
      </c>
      <c r="J72" s="26">
        <v>153</v>
      </c>
      <c r="K72" s="27">
        <v>1</v>
      </c>
      <c r="L72" s="28">
        <v>0</v>
      </c>
      <c r="M72" s="26" t="s">
        <v>79</v>
      </c>
      <c r="N72" s="3" t="s">
        <v>188</v>
      </c>
      <c r="O72" s="36" t="s">
        <v>19</v>
      </c>
      <c r="P72" s="1" t="s">
        <v>80</v>
      </c>
      <c r="Q72" s="1" t="s">
        <v>189</v>
      </c>
      <c r="R72" s="3"/>
      <c r="S72" s="26" t="s">
        <v>1</v>
      </c>
      <c r="T72" s="29" t="s">
        <v>82</v>
      </c>
      <c r="U72" s="3"/>
    </row>
    <row r="73" spans="1:21">
      <c r="A73" s="24">
        <v>10072</v>
      </c>
      <c r="B73" s="74" t="s">
        <v>242</v>
      </c>
      <c r="C73" s="25">
        <v>44837</v>
      </c>
      <c r="D73" s="14" t="s">
        <v>196</v>
      </c>
      <c r="E73" s="26">
        <v>9</v>
      </c>
      <c r="F73" s="26">
        <v>9</v>
      </c>
      <c r="G73" s="26">
        <v>189</v>
      </c>
      <c r="H73" s="26">
        <v>0</v>
      </c>
      <c r="I73" s="26">
        <v>207</v>
      </c>
      <c r="J73" s="26">
        <v>189</v>
      </c>
      <c r="K73" s="27">
        <v>1</v>
      </c>
      <c r="L73" s="28">
        <v>0</v>
      </c>
      <c r="M73" s="26" t="s">
        <v>79</v>
      </c>
      <c r="N73" s="3" t="s">
        <v>196</v>
      </c>
      <c r="O73" s="36" t="s">
        <v>19</v>
      </c>
      <c r="P73" s="1" t="s">
        <v>80</v>
      </c>
      <c r="Q73" s="1" t="s">
        <v>197</v>
      </c>
      <c r="R73" s="3"/>
      <c r="S73" s="26" t="s">
        <v>1</v>
      </c>
      <c r="T73" s="29" t="s">
        <v>82</v>
      </c>
      <c r="U73" s="3"/>
    </row>
    <row r="74" spans="1:21">
      <c r="A74" s="30">
        <v>10073</v>
      </c>
      <c r="B74" s="74" t="s">
        <v>243</v>
      </c>
      <c r="C74" s="25">
        <v>44897</v>
      </c>
      <c r="D74" s="14" t="s">
        <v>244</v>
      </c>
      <c r="E74" s="26">
        <v>0</v>
      </c>
      <c r="F74" s="26">
        <v>9</v>
      </c>
      <c r="G74" s="26">
        <v>198</v>
      </c>
      <c r="H74" s="26">
        <v>0</v>
      </c>
      <c r="I74" s="26">
        <v>207</v>
      </c>
      <c r="J74" s="26">
        <v>198</v>
      </c>
      <c r="K74" s="27">
        <v>1</v>
      </c>
      <c r="L74" s="28">
        <v>0</v>
      </c>
      <c r="M74" s="26" t="s">
        <v>79</v>
      </c>
      <c r="N74" s="3" t="s">
        <v>244</v>
      </c>
      <c r="O74" s="36" t="s">
        <v>19</v>
      </c>
      <c r="P74" s="1" t="s">
        <v>80</v>
      </c>
      <c r="Q74" s="3" t="s">
        <v>245</v>
      </c>
      <c r="R74" s="3"/>
      <c r="S74" s="26" t="s">
        <v>1</v>
      </c>
      <c r="T74" s="29" t="s">
        <v>82</v>
      </c>
      <c r="U74" s="3"/>
    </row>
    <row r="75" spans="1:21">
      <c r="A75" s="24">
        <v>10074</v>
      </c>
      <c r="B75" s="74" t="s">
        <v>246</v>
      </c>
      <c r="C75" s="25">
        <v>44928</v>
      </c>
      <c r="D75" s="14" t="s">
        <v>106</v>
      </c>
      <c r="E75" s="26">
        <v>0</v>
      </c>
      <c r="F75" s="26">
        <v>9</v>
      </c>
      <c r="G75" s="26">
        <v>198</v>
      </c>
      <c r="H75" s="26">
        <v>0</v>
      </c>
      <c r="I75" s="26">
        <v>207</v>
      </c>
      <c r="J75" s="26">
        <v>198</v>
      </c>
      <c r="K75" s="27">
        <v>1</v>
      </c>
      <c r="L75" s="28">
        <v>0</v>
      </c>
      <c r="M75" s="26" t="s">
        <v>79</v>
      </c>
      <c r="N75" s="3" t="s">
        <v>106</v>
      </c>
      <c r="O75" s="36" t="s">
        <v>19</v>
      </c>
      <c r="P75" s="1" t="s">
        <v>80</v>
      </c>
      <c r="Q75" s="1" t="s">
        <v>107</v>
      </c>
      <c r="R75" s="3"/>
      <c r="S75" s="26" t="s">
        <v>1</v>
      </c>
      <c r="T75" s="29" t="s">
        <v>82</v>
      </c>
      <c r="U75" s="3"/>
    </row>
    <row r="76" spans="1:21">
      <c r="A76" s="24">
        <v>10075</v>
      </c>
      <c r="B76" s="74" t="s">
        <v>247</v>
      </c>
      <c r="C76" s="25">
        <v>44932</v>
      </c>
      <c r="D76" s="14" t="s">
        <v>78</v>
      </c>
      <c r="E76" s="26">
        <v>0</v>
      </c>
      <c r="F76" s="26">
        <v>9</v>
      </c>
      <c r="G76" s="26">
        <v>198</v>
      </c>
      <c r="H76" s="26">
        <v>0</v>
      </c>
      <c r="I76" s="26">
        <v>207</v>
      </c>
      <c r="J76" s="26">
        <v>198</v>
      </c>
      <c r="K76" s="27">
        <v>1</v>
      </c>
      <c r="L76" s="28">
        <v>0</v>
      </c>
      <c r="M76" s="26" t="s">
        <v>79</v>
      </c>
      <c r="N76" s="3" t="s">
        <v>78</v>
      </c>
      <c r="O76" s="36" t="s">
        <v>19</v>
      </c>
      <c r="P76" s="1" t="s">
        <v>80</v>
      </c>
      <c r="Q76" s="1" t="s">
        <v>81</v>
      </c>
      <c r="R76" s="3"/>
      <c r="S76" s="26" t="s">
        <v>1</v>
      </c>
      <c r="T76" s="29" t="s">
        <v>82</v>
      </c>
      <c r="U76" s="3"/>
    </row>
    <row r="77" spans="1:21">
      <c r="A77" s="30">
        <v>10076</v>
      </c>
      <c r="B77" s="74" t="s">
        <v>248</v>
      </c>
      <c r="C77" s="25">
        <v>44938</v>
      </c>
      <c r="D77" s="14" t="s">
        <v>121</v>
      </c>
      <c r="E77" s="26">
        <v>0</v>
      </c>
      <c r="F77" s="26">
        <v>0</v>
      </c>
      <c r="G77" s="26">
        <v>0</v>
      </c>
      <c r="H77" s="26">
        <v>9</v>
      </c>
      <c r="I77" s="26">
        <v>9</v>
      </c>
      <c r="J77" s="26">
        <v>9</v>
      </c>
      <c r="K77" s="27">
        <v>0</v>
      </c>
      <c r="L77" s="28">
        <v>1</v>
      </c>
      <c r="M77" s="26" t="s">
        <v>95</v>
      </c>
      <c r="N77" s="61" t="s">
        <v>122</v>
      </c>
      <c r="O77" s="4" t="s">
        <v>234</v>
      </c>
      <c r="P77" s="1" t="s">
        <v>1</v>
      </c>
      <c r="Q77" s="4" t="s">
        <v>234</v>
      </c>
      <c r="R77" s="3"/>
      <c r="S77" s="26" t="s">
        <v>80</v>
      </c>
      <c r="T77" s="29">
        <v>45992</v>
      </c>
      <c r="U77" s="3"/>
    </row>
    <row r="78" spans="1:21">
      <c r="A78" s="24">
        <v>10077</v>
      </c>
      <c r="B78" s="74" t="s">
        <v>249</v>
      </c>
      <c r="C78" s="25">
        <v>44977</v>
      </c>
      <c r="D78" s="14" t="s">
        <v>104</v>
      </c>
      <c r="E78" s="26">
        <v>81</v>
      </c>
      <c r="F78" s="26">
        <v>18</v>
      </c>
      <c r="G78" s="26">
        <v>108</v>
      </c>
      <c r="H78" s="26">
        <v>0</v>
      </c>
      <c r="I78" s="26">
        <v>207</v>
      </c>
      <c r="J78" s="26">
        <v>108</v>
      </c>
      <c r="K78" s="27">
        <v>1</v>
      </c>
      <c r="L78" s="28">
        <v>0</v>
      </c>
      <c r="M78" s="26" t="s">
        <v>79</v>
      </c>
      <c r="N78" s="3" t="s">
        <v>104</v>
      </c>
      <c r="O78" s="36" t="s">
        <v>15</v>
      </c>
      <c r="P78" s="1" t="s">
        <v>80</v>
      </c>
      <c r="Q78" s="1" t="s">
        <v>104</v>
      </c>
      <c r="R78" s="3"/>
      <c r="S78" s="26" t="s">
        <v>1</v>
      </c>
      <c r="T78" s="29" t="s">
        <v>82</v>
      </c>
      <c r="U78" s="3"/>
    </row>
    <row r="79" spans="1:21">
      <c r="A79" s="24">
        <v>10078</v>
      </c>
      <c r="B79" s="74" t="s">
        <v>250</v>
      </c>
      <c r="C79" s="25">
        <v>45019</v>
      </c>
      <c r="D79" s="14" t="s">
        <v>172</v>
      </c>
      <c r="E79" s="26">
        <v>72</v>
      </c>
      <c r="F79" s="26">
        <v>9</v>
      </c>
      <c r="G79" s="26">
        <v>126</v>
      </c>
      <c r="H79" s="26">
        <v>0</v>
      </c>
      <c r="I79" s="26">
        <v>207</v>
      </c>
      <c r="J79" s="26">
        <v>126</v>
      </c>
      <c r="K79" s="27">
        <v>1</v>
      </c>
      <c r="L79" s="28">
        <v>0</v>
      </c>
      <c r="M79" s="26" t="s">
        <v>79</v>
      </c>
      <c r="N79" s="3" t="s">
        <v>172</v>
      </c>
      <c r="O79" s="36" t="s">
        <v>19</v>
      </c>
      <c r="P79" s="1" t="s">
        <v>80</v>
      </c>
      <c r="Q79" s="1" t="s">
        <v>173</v>
      </c>
      <c r="R79" s="3"/>
      <c r="S79" s="26" t="s">
        <v>1</v>
      </c>
      <c r="T79" s="29" t="s">
        <v>82</v>
      </c>
      <c r="U79" s="3"/>
    </row>
    <row r="80" spans="1:21" ht="43.15">
      <c r="A80" s="30">
        <v>10079</v>
      </c>
      <c r="B80" s="74" t="s">
        <v>251</v>
      </c>
      <c r="C80" s="25">
        <v>45036</v>
      </c>
      <c r="D80" s="14" t="s">
        <v>252</v>
      </c>
      <c r="E80" s="26">
        <v>63</v>
      </c>
      <c r="F80" s="26">
        <v>18</v>
      </c>
      <c r="G80" s="26">
        <v>126</v>
      </c>
      <c r="H80" s="26">
        <v>0</v>
      </c>
      <c r="I80" s="26">
        <v>207</v>
      </c>
      <c r="J80" s="26">
        <v>126</v>
      </c>
      <c r="K80" s="27">
        <v>1</v>
      </c>
      <c r="L80" s="28">
        <v>0</v>
      </c>
      <c r="M80" s="26" t="s">
        <v>79</v>
      </c>
      <c r="N80" s="37" t="s">
        <v>253</v>
      </c>
      <c r="O80" s="36" t="s">
        <v>19</v>
      </c>
      <c r="P80" s="1" t="s">
        <v>80</v>
      </c>
      <c r="Q80" s="1" t="s">
        <v>209</v>
      </c>
      <c r="R80" s="3"/>
      <c r="S80" s="26" t="s">
        <v>1</v>
      </c>
      <c r="T80" s="29" t="s">
        <v>82</v>
      </c>
      <c r="U80" s="3"/>
    </row>
    <row r="81" spans="1:21">
      <c r="A81" s="24">
        <v>10080</v>
      </c>
      <c r="B81" s="74" t="s">
        <v>254</v>
      </c>
      <c r="C81" s="25">
        <v>45040</v>
      </c>
      <c r="D81" s="14" t="s">
        <v>255</v>
      </c>
      <c r="E81" s="26">
        <v>9</v>
      </c>
      <c r="F81" s="26">
        <v>9</v>
      </c>
      <c r="G81" s="26">
        <v>189</v>
      </c>
      <c r="H81" s="26">
        <v>0</v>
      </c>
      <c r="I81" s="26">
        <v>207</v>
      </c>
      <c r="J81" s="26">
        <v>189</v>
      </c>
      <c r="K81" s="27">
        <v>1</v>
      </c>
      <c r="L81" s="28">
        <v>0</v>
      </c>
      <c r="M81" s="26" t="s">
        <v>79</v>
      </c>
      <c r="N81" s="3" t="s">
        <v>255</v>
      </c>
      <c r="O81" s="36" t="s">
        <v>19</v>
      </c>
      <c r="P81" s="1" t="s">
        <v>80</v>
      </c>
      <c r="Q81" s="1" t="s">
        <v>85</v>
      </c>
      <c r="R81" s="3"/>
      <c r="S81" s="26" t="s">
        <v>1</v>
      </c>
      <c r="T81" s="29" t="s">
        <v>82</v>
      </c>
      <c r="U81" s="3"/>
    </row>
    <row r="82" spans="1:21" ht="57.6">
      <c r="A82" s="24">
        <v>10081</v>
      </c>
      <c r="B82" s="74" t="s">
        <v>256</v>
      </c>
      <c r="C82" s="25">
        <v>45062</v>
      </c>
      <c r="D82" s="14" t="s">
        <v>257</v>
      </c>
      <c r="E82" s="26">
        <v>63</v>
      </c>
      <c r="F82" s="26">
        <v>9</v>
      </c>
      <c r="G82" s="26">
        <v>122</v>
      </c>
      <c r="H82" s="26">
        <v>13</v>
      </c>
      <c r="I82" s="26">
        <v>207</v>
      </c>
      <c r="J82" s="26">
        <v>135</v>
      </c>
      <c r="K82" s="27">
        <v>0.90370370370370368</v>
      </c>
      <c r="L82" s="28">
        <v>9.6296296296296297E-2</v>
      </c>
      <c r="M82" s="26" t="s">
        <v>79</v>
      </c>
      <c r="N82" s="3" t="s">
        <v>258</v>
      </c>
      <c r="O82" s="36" t="s">
        <v>15</v>
      </c>
      <c r="P82" s="1" t="s">
        <v>80</v>
      </c>
      <c r="Q82" s="1" t="s">
        <v>85</v>
      </c>
      <c r="R82" s="3"/>
      <c r="S82" s="26" t="s">
        <v>1</v>
      </c>
      <c r="T82" s="29" t="s">
        <v>82</v>
      </c>
      <c r="U82" s="3"/>
    </row>
    <row r="83" spans="1:21">
      <c r="A83" s="30">
        <v>10082</v>
      </c>
      <c r="B83" s="74" t="s">
        <v>259</v>
      </c>
      <c r="C83" s="25">
        <v>45079</v>
      </c>
      <c r="D83" s="14" t="s">
        <v>185</v>
      </c>
      <c r="E83" s="26">
        <v>9</v>
      </c>
      <c r="F83" s="26">
        <v>18</v>
      </c>
      <c r="G83" s="26">
        <v>180</v>
      </c>
      <c r="H83" s="26">
        <v>0</v>
      </c>
      <c r="I83" s="26">
        <v>207</v>
      </c>
      <c r="J83" s="26">
        <v>180</v>
      </c>
      <c r="K83" s="27">
        <v>1</v>
      </c>
      <c r="L83" s="28">
        <v>0</v>
      </c>
      <c r="M83" s="26" t="s">
        <v>79</v>
      </c>
      <c r="N83" s="3" t="s">
        <v>185</v>
      </c>
      <c r="O83" s="36" t="s">
        <v>15</v>
      </c>
      <c r="P83" s="1" t="s">
        <v>80</v>
      </c>
      <c r="Q83" s="1" t="s">
        <v>186</v>
      </c>
      <c r="R83" s="3"/>
      <c r="S83" s="26" t="s">
        <v>1</v>
      </c>
      <c r="T83" s="29" t="s">
        <v>82</v>
      </c>
      <c r="U83" s="3"/>
    </row>
    <row r="84" spans="1:21">
      <c r="A84" s="24">
        <v>10083</v>
      </c>
      <c r="B84" s="74" t="s">
        <v>260</v>
      </c>
      <c r="C84" s="25">
        <v>45091</v>
      </c>
      <c r="D84" s="14" t="s">
        <v>169</v>
      </c>
      <c r="E84" s="26">
        <v>58.5</v>
      </c>
      <c r="F84" s="26">
        <v>9</v>
      </c>
      <c r="G84" s="26">
        <v>139.5</v>
      </c>
      <c r="H84" s="26">
        <v>0</v>
      </c>
      <c r="I84" s="26">
        <v>207</v>
      </c>
      <c r="J84" s="26">
        <v>139.5</v>
      </c>
      <c r="K84" s="27">
        <v>1</v>
      </c>
      <c r="L84" s="28">
        <v>0</v>
      </c>
      <c r="M84" s="26" t="s">
        <v>79</v>
      </c>
      <c r="N84" s="3" t="s">
        <v>169</v>
      </c>
      <c r="O84" s="36" t="s">
        <v>19</v>
      </c>
      <c r="P84" s="1" t="s">
        <v>80</v>
      </c>
      <c r="Q84" s="1" t="s">
        <v>170</v>
      </c>
      <c r="R84" s="3"/>
      <c r="S84" s="26" t="s">
        <v>1</v>
      </c>
      <c r="T84" s="29" t="s">
        <v>82</v>
      </c>
      <c r="U84" s="3"/>
    </row>
    <row r="85" spans="1:21">
      <c r="A85" s="24">
        <v>10084</v>
      </c>
      <c r="B85" s="74" t="s">
        <v>261</v>
      </c>
      <c r="C85" s="25">
        <v>45092</v>
      </c>
      <c r="D85" s="14" t="s">
        <v>129</v>
      </c>
      <c r="E85" s="26">
        <v>18</v>
      </c>
      <c r="F85" s="26">
        <v>9</v>
      </c>
      <c r="G85" s="26">
        <v>180</v>
      </c>
      <c r="H85" s="26">
        <v>0</v>
      </c>
      <c r="I85" s="26">
        <v>207</v>
      </c>
      <c r="J85" s="26">
        <v>180</v>
      </c>
      <c r="K85" s="27">
        <v>1</v>
      </c>
      <c r="L85" s="28">
        <v>0</v>
      </c>
      <c r="M85" s="26" t="s">
        <v>79</v>
      </c>
      <c r="N85" s="3" t="s">
        <v>129</v>
      </c>
      <c r="O85" s="36" t="s">
        <v>15</v>
      </c>
      <c r="P85" s="1" t="s">
        <v>80</v>
      </c>
      <c r="Q85" s="1" t="s">
        <v>130</v>
      </c>
      <c r="R85" s="3"/>
      <c r="S85" s="26" t="s">
        <v>1</v>
      </c>
      <c r="T85" s="29" t="s">
        <v>82</v>
      </c>
      <c r="U85" s="3"/>
    </row>
    <row r="86" spans="1:21">
      <c r="A86" s="30">
        <v>10085</v>
      </c>
      <c r="B86" s="74" t="s">
        <v>262</v>
      </c>
      <c r="C86" s="25">
        <v>45092</v>
      </c>
      <c r="D86" s="14" t="s">
        <v>263</v>
      </c>
      <c r="E86" s="26">
        <v>9</v>
      </c>
      <c r="F86" s="26">
        <v>9</v>
      </c>
      <c r="G86" s="26">
        <v>189</v>
      </c>
      <c r="H86" s="26">
        <v>0</v>
      </c>
      <c r="I86" s="26">
        <v>207</v>
      </c>
      <c r="J86" s="26">
        <v>189</v>
      </c>
      <c r="K86" s="27">
        <v>1</v>
      </c>
      <c r="L86" s="28">
        <v>0</v>
      </c>
      <c r="M86" s="26" t="s">
        <v>79</v>
      </c>
      <c r="N86" s="3" t="s">
        <v>263</v>
      </c>
      <c r="O86" s="36" t="s">
        <v>19</v>
      </c>
      <c r="P86" s="1" t="s">
        <v>80</v>
      </c>
      <c r="Q86" s="1" t="s">
        <v>264</v>
      </c>
      <c r="R86" s="3"/>
      <c r="S86" s="26" t="s">
        <v>1</v>
      </c>
      <c r="T86" s="29" t="s">
        <v>82</v>
      </c>
      <c r="U86" s="3"/>
    </row>
    <row r="87" spans="1:21">
      <c r="A87" s="24">
        <v>10086</v>
      </c>
      <c r="B87" s="74" t="s">
        <v>265</v>
      </c>
      <c r="C87" s="25">
        <v>45110</v>
      </c>
      <c r="D87" s="14" t="s">
        <v>84</v>
      </c>
      <c r="E87" s="26">
        <v>63</v>
      </c>
      <c r="F87" s="26">
        <v>9</v>
      </c>
      <c r="G87" s="26">
        <v>135</v>
      </c>
      <c r="H87" s="26">
        <v>0</v>
      </c>
      <c r="I87" s="26">
        <v>207</v>
      </c>
      <c r="J87" s="26">
        <v>135</v>
      </c>
      <c r="K87" s="27">
        <v>1</v>
      </c>
      <c r="L87" s="28">
        <v>0</v>
      </c>
      <c r="M87" s="26" t="s">
        <v>79</v>
      </c>
      <c r="N87" s="3" t="s">
        <v>84</v>
      </c>
      <c r="O87" s="36" t="s">
        <v>15</v>
      </c>
      <c r="P87" s="1" t="s">
        <v>80</v>
      </c>
      <c r="Q87" s="1" t="s">
        <v>85</v>
      </c>
      <c r="R87" s="3"/>
      <c r="S87" s="26" t="s">
        <v>1</v>
      </c>
      <c r="T87" s="29" t="s">
        <v>82</v>
      </c>
      <c r="U87" s="3"/>
    </row>
    <row r="88" spans="1:21" ht="43.15">
      <c r="A88" s="24">
        <v>10087</v>
      </c>
      <c r="B88" s="74" t="s">
        <v>266</v>
      </c>
      <c r="C88" s="25">
        <v>45110</v>
      </c>
      <c r="D88" s="14" t="s">
        <v>267</v>
      </c>
      <c r="E88" s="26">
        <v>90</v>
      </c>
      <c r="F88" s="26">
        <v>9</v>
      </c>
      <c r="G88" s="26">
        <v>12</v>
      </c>
      <c r="H88" s="26">
        <v>96</v>
      </c>
      <c r="I88" s="26">
        <v>207</v>
      </c>
      <c r="J88" s="26">
        <v>108</v>
      </c>
      <c r="K88" s="27">
        <v>0.1111111111111111</v>
      </c>
      <c r="L88" s="28">
        <v>0.88888888888888884</v>
      </c>
      <c r="M88" s="26" t="s">
        <v>95</v>
      </c>
      <c r="N88" s="37" t="s">
        <v>268</v>
      </c>
      <c r="O88" s="1" t="s">
        <v>10</v>
      </c>
      <c r="P88" s="1" t="s">
        <v>80</v>
      </c>
      <c r="Q88" s="1" t="s">
        <v>10</v>
      </c>
      <c r="R88" s="3"/>
      <c r="S88" s="26" t="s">
        <v>1</v>
      </c>
      <c r="T88" s="29" t="s">
        <v>82</v>
      </c>
      <c r="U88" s="3"/>
    </row>
    <row r="89" spans="1:21">
      <c r="A89" s="30">
        <v>10088</v>
      </c>
      <c r="B89" s="74" t="s">
        <v>269</v>
      </c>
      <c r="C89" s="25">
        <v>45110</v>
      </c>
      <c r="D89" s="14" t="s">
        <v>263</v>
      </c>
      <c r="E89" s="26">
        <v>45</v>
      </c>
      <c r="F89" s="26">
        <v>9</v>
      </c>
      <c r="G89" s="26">
        <v>153</v>
      </c>
      <c r="H89" s="26">
        <v>0</v>
      </c>
      <c r="I89" s="26">
        <v>207</v>
      </c>
      <c r="J89" s="26">
        <v>153</v>
      </c>
      <c r="K89" s="27">
        <v>1</v>
      </c>
      <c r="L89" s="28">
        <v>0</v>
      </c>
      <c r="M89" s="26" t="s">
        <v>79</v>
      </c>
      <c r="N89" s="3" t="s">
        <v>263</v>
      </c>
      <c r="O89" s="36" t="s">
        <v>19</v>
      </c>
      <c r="P89" s="1" t="s">
        <v>80</v>
      </c>
      <c r="Q89" s="1" t="s">
        <v>264</v>
      </c>
      <c r="R89" s="3"/>
      <c r="S89" s="26" t="s">
        <v>1</v>
      </c>
      <c r="T89" s="29" t="s">
        <v>82</v>
      </c>
      <c r="U89" s="3"/>
    </row>
    <row r="90" spans="1:21" ht="43.15">
      <c r="A90" s="24">
        <v>10089</v>
      </c>
      <c r="B90" s="74" t="s">
        <v>270</v>
      </c>
      <c r="C90" s="25">
        <v>45110</v>
      </c>
      <c r="D90" s="14" t="s">
        <v>271</v>
      </c>
      <c r="E90" s="26">
        <v>45</v>
      </c>
      <c r="F90" s="26">
        <v>9</v>
      </c>
      <c r="G90" s="26">
        <v>153</v>
      </c>
      <c r="H90" s="26">
        <v>0</v>
      </c>
      <c r="I90" s="26">
        <v>207</v>
      </c>
      <c r="J90" s="26">
        <v>153</v>
      </c>
      <c r="K90" s="27">
        <v>1</v>
      </c>
      <c r="L90" s="28">
        <v>0</v>
      </c>
      <c r="M90" s="26" t="s">
        <v>79</v>
      </c>
      <c r="N90" s="14" t="s">
        <v>271</v>
      </c>
      <c r="O90" s="36" t="s">
        <v>15</v>
      </c>
      <c r="P90" s="1" t="s">
        <v>80</v>
      </c>
      <c r="Q90" s="15" t="s">
        <v>272</v>
      </c>
      <c r="R90" s="3"/>
      <c r="S90" s="26" t="s">
        <v>1</v>
      </c>
      <c r="T90" s="29" t="s">
        <v>82</v>
      </c>
      <c r="U90" s="3"/>
    </row>
    <row r="91" spans="1:21">
      <c r="A91" s="24">
        <v>10090</v>
      </c>
      <c r="B91" s="74" t="s">
        <v>273</v>
      </c>
      <c r="C91" s="25">
        <v>45110</v>
      </c>
      <c r="D91" s="14" t="s">
        <v>218</v>
      </c>
      <c r="E91" s="26">
        <v>54</v>
      </c>
      <c r="F91" s="26">
        <v>9</v>
      </c>
      <c r="G91" s="26">
        <v>144</v>
      </c>
      <c r="H91" s="26">
        <v>0</v>
      </c>
      <c r="I91" s="26">
        <v>207</v>
      </c>
      <c r="J91" s="26">
        <v>144</v>
      </c>
      <c r="K91" s="27">
        <v>1</v>
      </c>
      <c r="L91" s="28">
        <v>0</v>
      </c>
      <c r="M91" s="26" t="s">
        <v>79</v>
      </c>
      <c r="N91" s="3" t="s">
        <v>218</v>
      </c>
      <c r="O91" s="36" t="s">
        <v>19</v>
      </c>
      <c r="P91" s="1" t="s">
        <v>80</v>
      </c>
      <c r="Q91" s="1" t="s">
        <v>219</v>
      </c>
      <c r="R91" s="3"/>
      <c r="S91" s="26" t="s">
        <v>1</v>
      </c>
      <c r="T91" s="29" t="s">
        <v>82</v>
      </c>
      <c r="U91" s="3"/>
    </row>
    <row r="92" spans="1:21">
      <c r="A92" s="30">
        <v>10091</v>
      </c>
      <c r="B92" s="74" t="s">
        <v>274</v>
      </c>
      <c r="C92" s="25">
        <v>45110</v>
      </c>
      <c r="D92" s="14" t="s">
        <v>188</v>
      </c>
      <c r="E92" s="26">
        <v>54</v>
      </c>
      <c r="F92" s="26">
        <v>18</v>
      </c>
      <c r="G92" s="26">
        <v>135</v>
      </c>
      <c r="H92" s="26">
        <v>0</v>
      </c>
      <c r="I92" s="26">
        <v>207</v>
      </c>
      <c r="J92" s="26">
        <v>135</v>
      </c>
      <c r="K92" s="27">
        <v>1</v>
      </c>
      <c r="L92" s="28">
        <v>0</v>
      </c>
      <c r="M92" s="26" t="s">
        <v>79</v>
      </c>
      <c r="N92" s="3" t="s">
        <v>188</v>
      </c>
      <c r="O92" s="36" t="s">
        <v>19</v>
      </c>
      <c r="P92" s="1" t="s">
        <v>80</v>
      </c>
      <c r="Q92" s="1" t="s">
        <v>189</v>
      </c>
      <c r="R92" s="3"/>
      <c r="S92" s="26" t="s">
        <v>1</v>
      </c>
      <c r="T92" s="29" t="s">
        <v>82</v>
      </c>
      <c r="U92" s="3"/>
    </row>
    <row r="93" spans="1:21">
      <c r="A93" s="24">
        <v>10092</v>
      </c>
      <c r="B93" s="74" t="s">
        <v>275</v>
      </c>
      <c r="C93" s="25">
        <v>45113</v>
      </c>
      <c r="D93" s="14" t="s">
        <v>142</v>
      </c>
      <c r="E93" s="26">
        <v>0</v>
      </c>
      <c r="F93" s="26">
        <v>9</v>
      </c>
      <c r="G93" s="26">
        <v>198</v>
      </c>
      <c r="H93" s="26">
        <v>0</v>
      </c>
      <c r="I93" s="26">
        <v>207</v>
      </c>
      <c r="J93" s="26">
        <v>198</v>
      </c>
      <c r="K93" s="27">
        <v>1</v>
      </c>
      <c r="L93" s="28">
        <v>0</v>
      </c>
      <c r="M93" s="26" t="s">
        <v>79</v>
      </c>
      <c r="N93" s="3" t="s">
        <v>142</v>
      </c>
      <c r="O93" s="36" t="s">
        <v>19</v>
      </c>
      <c r="P93" s="1" t="s">
        <v>80</v>
      </c>
      <c r="Q93" s="1" t="s">
        <v>144</v>
      </c>
      <c r="R93" s="3"/>
      <c r="S93" s="26" t="s">
        <v>1</v>
      </c>
      <c r="T93" s="29" t="s">
        <v>82</v>
      </c>
      <c r="U93" s="3"/>
    </row>
    <row r="94" spans="1:21">
      <c r="A94" s="24">
        <v>10093</v>
      </c>
      <c r="B94" s="74" t="s">
        <v>276</v>
      </c>
      <c r="C94" s="25">
        <v>45117</v>
      </c>
      <c r="D94" s="14" t="s">
        <v>169</v>
      </c>
      <c r="E94" s="26">
        <v>27</v>
      </c>
      <c r="F94" s="26">
        <v>9</v>
      </c>
      <c r="G94" s="26">
        <v>171</v>
      </c>
      <c r="H94" s="26">
        <v>0</v>
      </c>
      <c r="I94" s="26">
        <v>207</v>
      </c>
      <c r="J94" s="26">
        <v>171</v>
      </c>
      <c r="K94" s="27">
        <v>1</v>
      </c>
      <c r="L94" s="28">
        <v>0</v>
      </c>
      <c r="M94" s="26" t="s">
        <v>79</v>
      </c>
      <c r="N94" s="3" t="s">
        <v>169</v>
      </c>
      <c r="O94" s="36" t="s">
        <v>19</v>
      </c>
      <c r="P94" s="1" t="s">
        <v>80</v>
      </c>
      <c r="Q94" s="1" t="s">
        <v>170</v>
      </c>
      <c r="R94" s="3"/>
      <c r="S94" s="26" t="s">
        <v>1</v>
      </c>
      <c r="T94" s="29" t="s">
        <v>82</v>
      </c>
      <c r="U94" s="3"/>
    </row>
    <row r="95" spans="1:21">
      <c r="A95" s="30">
        <v>10094</v>
      </c>
      <c r="B95" s="74" t="s">
        <v>277</v>
      </c>
      <c r="C95" s="25">
        <v>45124</v>
      </c>
      <c r="D95" s="14" t="s">
        <v>185</v>
      </c>
      <c r="E95" s="26">
        <v>36</v>
      </c>
      <c r="F95" s="26">
        <v>18</v>
      </c>
      <c r="G95" s="26">
        <v>153</v>
      </c>
      <c r="H95" s="26">
        <v>0</v>
      </c>
      <c r="I95" s="26">
        <v>207</v>
      </c>
      <c r="J95" s="26">
        <v>153</v>
      </c>
      <c r="K95" s="27">
        <v>1</v>
      </c>
      <c r="L95" s="28">
        <v>0</v>
      </c>
      <c r="M95" s="26" t="s">
        <v>79</v>
      </c>
      <c r="N95" s="3" t="s">
        <v>185</v>
      </c>
      <c r="O95" s="36" t="s">
        <v>15</v>
      </c>
      <c r="P95" s="1" t="s">
        <v>80</v>
      </c>
      <c r="Q95" s="1" t="s">
        <v>186</v>
      </c>
      <c r="R95" s="3"/>
      <c r="S95" s="26" t="s">
        <v>1</v>
      </c>
      <c r="T95" s="29" t="s">
        <v>82</v>
      </c>
      <c r="U95" s="3"/>
    </row>
    <row r="96" spans="1:21">
      <c r="A96" s="24">
        <v>10095</v>
      </c>
      <c r="B96" s="74" t="s">
        <v>278</v>
      </c>
      <c r="C96" s="25">
        <v>45124</v>
      </c>
      <c r="D96" s="14" t="s">
        <v>208</v>
      </c>
      <c r="E96" s="26">
        <v>54</v>
      </c>
      <c r="F96" s="26">
        <v>18</v>
      </c>
      <c r="G96" s="26">
        <v>135</v>
      </c>
      <c r="H96" s="26">
        <v>0</v>
      </c>
      <c r="I96" s="26">
        <v>207</v>
      </c>
      <c r="J96" s="26">
        <v>135</v>
      </c>
      <c r="K96" s="27">
        <v>1</v>
      </c>
      <c r="L96" s="28">
        <v>0</v>
      </c>
      <c r="M96" s="26" t="s">
        <v>79</v>
      </c>
      <c r="N96" s="3" t="s">
        <v>208</v>
      </c>
      <c r="O96" s="36" t="s">
        <v>19</v>
      </c>
      <c r="P96" s="1" t="s">
        <v>80</v>
      </c>
      <c r="Q96" s="1" t="s">
        <v>209</v>
      </c>
      <c r="R96" s="3"/>
      <c r="S96" s="26" t="s">
        <v>1</v>
      </c>
      <c r="T96" s="29" t="s">
        <v>82</v>
      </c>
      <c r="U96" s="3"/>
    </row>
    <row r="97" spans="1:21">
      <c r="A97" s="24">
        <v>10096</v>
      </c>
      <c r="B97" s="74" t="s">
        <v>279</v>
      </c>
      <c r="C97" s="25">
        <v>45125</v>
      </c>
      <c r="D97" s="14" t="s">
        <v>172</v>
      </c>
      <c r="E97" s="26">
        <v>45</v>
      </c>
      <c r="F97" s="26">
        <v>9</v>
      </c>
      <c r="G97" s="26">
        <v>153</v>
      </c>
      <c r="H97" s="26">
        <v>0</v>
      </c>
      <c r="I97" s="26">
        <v>207</v>
      </c>
      <c r="J97" s="26">
        <v>153</v>
      </c>
      <c r="K97" s="27">
        <v>1</v>
      </c>
      <c r="L97" s="28">
        <v>0</v>
      </c>
      <c r="M97" s="26" t="s">
        <v>79</v>
      </c>
      <c r="N97" s="3" t="s">
        <v>172</v>
      </c>
      <c r="O97" s="36" t="s">
        <v>19</v>
      </c>
      <c r="P97" s="1" t="s">
        <v>80</v>
      </c>
      <c r="Q97" s="1" t="s">
        <v>173</v>
      </c>
      <c r="R97" s="3"/>
      <c r="S97" s="26" t="s">
        <v>1</v>
      </c>
      <c r="T97" s="29" t="s">
        <v>82</v>
      </c>
      <c r="U97" s="3"/>
    </row>
    <row r="98" spans="1:21">
      <c r="A98" s="30">
        <v>10097</v>
      </c>
      <c r="B98" s="74" t="s">
        <v>280</v>
      </c>
      <c r="C98" s="25">
        <v>45134</v>
      </c>
      <c r="D98" s="14" t="s">
        <v>281</v>
      </c>
      <c r="E98" s="26">
        <v>9</v>
      </c>
      <c r="F98" s="26">
        <v>9</v>
      </c>
      <c r="G98" s="26">
        <v>189</v>
      </c>
      <c r="H98" s="26">
        <v>0</v>
      </c>
      <c r="I98" s="26">
        <v>207</v>
      </c>
      <c r="J98" s="26">
        <v>189</v>
      </c>
      <c r="K98" s="27">
        <v>1</v>
      </c>
      <c r="L98" s="28">
        <v>0</v>
      </c>
      <c r="M98" s="26" t="s">
        <v>79</v>
      </c>
      <c r="N98" s="3" t="s">
        <v>281</v>
      </c>
      <c r="O98" s="36" t="s">
        <v>19</v>
      </c>
      <c r="P98" s="1" t="s">
        <v>80</v>
      </c>
      <c r="Q98" s="1" t="s">
        <v>282</v>
      </c>
      <c r="R98" s="3"/>
      <c r="S98" s="26" t="s">
        <v>1</v>
      </c>
      <c r="T98" s="29" t="s">
        <v>82</v>
      </c>
      <c r="U98" s="3"/>
    </row>
    <row r="99" spans="1:21">
      <c r="A99" s="24">
        <v>10098</v>
      </c>
      <c r="B99" s="74" t="s">
        <v>283</v>
      </c>
      <c r="C99" s="25">
        <v>45138</v>
      </c>
      <c r="D99" s="14" t="s">
        <v>284</v>
      </c>
      <c r="E99" s="26">
        <v>36</v>
      </c>
      <c r="F99" s="26">
        <v>9</v>
      </c>
      <c r="G99" s="26">
        <v>162</v>
      </c>
      <c r="H99" s="26">
        <v>0</v>
      </c>
      <c r="I99" s="26">
        <v>207</v>
      </c>
      <c r="J99" s="26">
        <v>162</v>
      </c>
      <c r="K99" s="27">
        <v>1</v>
      </c>
      <c r="L99" s="28">
        <v>0</v>
      </c>
      <c r="M99" s="26" t="s">
        <v>79</v>
      </c>
      <c r="N99" s="3" t="s">
        <v>284</v>
      </c>
      <c r="O99" s="36" t="s">
        <v>19</v>
      </c>
      <c r="P99" s="1" t="s">
        <v>80</v>
      </c>
      <c r="Q99" s="1" t="s">
        <v>285</v>
      </c>
      <c r="R99" s="3"/>
      <c r="S99" s="26" t="s">
        <v>1</v>
      </c>
      <c r="T99" s="29" t="s">
        <v>82</v>
      </c>
      <c r="U99" s="3"/>
    </row>
    <row r="100" spans="1:21" ht="28.9">
      <c r="A100" s="24">
        <v>10099</v>
      </c>
      <c r="B100" s="74" t="s">
        <v>286</v>
      </c>
      <c r="C100" s="25">
        <v>45139</v>
      </c>
      <c r="D100" s="14" t="s">
        <v>287</v>
      </c>
      <c r="E100" s="26">
        <v>54</v>
      </c>
      <c r="F100" s="26">
        <v>18</v>
      </c>
      <c r="G100" s="26">
        <v>126</v>
      </c>
      <c r="H100" s="26">
        <v>9</v>
      </c>
      <c r="I100" s="26">
        <v>207</v>
      </c>
      <c r="J100" s="26">
        <v>135</v>
      </c>
      <c r="K100" s="27">
        <v>0.93333333333333335</v>
      </c>
      <c r="L100" s="28">
        <v>6.6666666666666666E-2</v>
      </c>
      <c r="M100" s="26" t="s">
        <v>79</v>
      </c>
      <c r="N100" s="3" t="s">
        <v>188</v>
      </c>
      <c r="O100" s="36" t="s">
        <v>19</v>
      </c>
      <c r="P100" s="1" t="s">
        <v>80</v>
      </c>
      <c r="Q100" s="1" t="s">
        <v>189</v>
      </c>
      <c r="R100" s="3"/>
      <c r="S100" s="26" t="s">
        <v>1</v>
      </c>
      <c r="T100" s="29" t="s">
        <v>82</v>
      </c>
      <c r="U100" s="3"/>
    </row>
    <row r="101" spans="1:21">
      <c r="A101" s="30">
        <v>10100</v>
      </c>
      <c r="B101" s="74" t="s">
        <v>288</v>
      </c>
      <c r="C101" s="25">
        <v>45168</v>
      </c>
      <c r="D101" s="14" t="s">
        <v>84</v>
      </c>
      <c r="E101" s="26">
        <v>81</v>
      </c>
      <c r="F101" s="26">
        <v>9</v>
      </c>
      <c r="G101" s="26">
        <v>117</v>
      </c>
      <c r="H101" s="26">
        <v>0</v>
      </c>
      <c r="I101" s="26">
        <v>207</v>
      </c>
      <c r="J101" s="26">
        <v>117</v>
      </c>
      <c r="K101" s="27">
        <v>1</v>
      </c>
      <c r="L101" s="28">
        <v>0</v>
      </c>
      <c r="M101" s="26" t="s">
        <v>79</v>
      </c>
      <c r="N101" s="3" t="s">
        <v>84</v>
      </c>
      <c r="O101" s="36" t="s">
        <v>15</v>
      </c>
      <c r="P101" s="1" t="s">
        <v>80</v>
      </c>
      <c r="Q101" s="1" t="s">
        <v>85</v>
      </c>
      <c r="R101" s="3"/>
      <c r="S101" s="26" t="s">
        <v>1</v>
      </c>
      <c r="T101" s="29" t="s">
        <v>82</v>
      </c>
      <c r="U101" s="3"/>
    </row>
    <row r="102" spans="1:21">
      <c r="A102" s="24">
        <v>10101</v>
      </c>
      <c r="B102" s="74" t="s">
        <v>289</v>
      </c>
      <c r="C102" s="25">
        <v>45180</v>
      </c>
      <c r="D102" s="14" t="s">
        <v>290</v>
      </c>
      <c r="E102" s="26">
        <v>18</v>
      </c>
      <c r="F102" s="26">
        <v>9</v>
      </c>
      <c r="G102" s="26">
        <v>180</v>
      </c>
      <c r="H102" s="26">
        <v>0</v>
      </c>
      <c r="I102" s="26">
        <v>207</v>
      </c>
      <c r="J102" s="26">
        <v>180</v>
      </c>
      <c r="K102" s="27">
        <v>1</v>
      </c>
      <c r="L102" s="28">
        <v>0</v>
      </c>
      <c r="M102" s="26" t="s">
        <v>79</v>
      </c>
      <c r="N102" s="3" t="s">
        <v>290</v>
      </c>
      <c r="O102" s="36" t="s">
        <v>19</v>
      </c>
      <c r="P102" s="1" t="s">
        <v>80</v>
      </c>
      <c r="Q102" s="3" t="s">
        <v>291</v>
      </c>
      <c r="R102" s="3"/>
      <c r="S102" s="26" t="s">
        <v>1</v>
      </c>
      <c r="T102" s="29" t="s">
        <v>82</v>
      </c>
      <c r="U102" s="3"/>
    </row>
    <row r="103" spans="1:21">
      <c r="A103" s="24">
        <v>10102</v>
      </c>
      <c r="B103" s="74" t="s">
        <v>292</v>
      </c>
      <c r="C103" s="25">
        <v>45187</v>
      </c>
      <c r="D103" s="14" t="s">
        <v>17</v>
      </c>
      <c r="E103" s="26">
        <v>85.5</v>
      </c>
      <c r="F103" s="26">
        <v>9</v>
      </c>
      <c r="G103" s="26">
        <v>0</v>
      </c>
      <c r="H103" s="26">
        <v>112.5</v>
      </c>
      <c r="I103" s="26">
        <v>207</v>
      </c>
      <c r="J103" s="26">
        <v>112.5</v>
      </c>
      <c r="K103" s="27">
        <v>0</v>
      </c>
      <c r="L103" s="28">
        <v>1</v>
      </c>
      <c r="M103" s="26" t="s">
        <v>95</v>
      </c>
      <c r="N103" s="62" t="s">
        <v>293</v>
      </c>
      <c r="O103" s="36" t="s">
        <v>10</v>
      </c>
      <c r="P103" s="1" t="s">
        <v>1</v>
      </c>
      <c r="Q103" s="36" t="s">
        <v>10</v>
      </c>
      <c r="R103" s="3"/>
      <c r="S103" s="26" t="s">
        <v>1</v>
      </c>
      <c r="T103" s="29" t="s">
        <v>82</v>
      </c>
      <c r="U103" s="3"/>
    </row>
    <row r="104" spans="1:21">
      <c r="A104" s="30">
        <v>10103</v>
      </c>
      <c r="B104" s="74" t="s">
        <v>294</v>
      </c>
      <c r="C104" s="25">
        <v>45217</v>
      </c>
      <c r="D104" s="14" t="s">
        <v>110</v>
      </c>
      <c r="E104" s="26">
        <v>9</v>
      </c>
      <c r="F104" s="26">
        <v>9</v>
      </c>
      <c r="G104" s="26">
        <v>189</v>
      </c>
      <c r="H104" s="26">
        <v>0</v>
      </c>
      <c r="I104" s="26">
        <v>207</v>
      </c>
      <c r="J104" s="26">
        <v>189</v>
      </c>
      <c r="K104" s="27">
        <v>1</v>
      </c>
      <c r="L104" s="28">
        <v>0</v>
      </c>
      <c r="M104" s="26" t="s">
        <v>79</v>
      </c>
      <c r="N104" s="3" t="s">
        <v>110</v>
      </c>
      <c r="O104" s="36" t="s">
        <v>15</v>
      </c>
      <c r="P104" s="1" t="s">
        <v>80</v>
      </c>
      <c r="Q104" s="1" t="s">
        <v>110</v>
      </c>
      <c r="R104" s="3"/>
      <c r="S104" s="26" t="s">
        <v>1</v>
      </c>
      <c r="T104" s="29" t="s">
        <v>82</v>
      </c>
      <c r="U104" s="3"/>
    </row>
    <row r="105" spans="1:21">
      <c r="A105" s="24">
        <v>10104</v>
      </c>
      <c r="B105" s="74" t="s">
        <v>295</v>
      </c>
      <c r="C105" s="25">
        <v>45222</v>
      </c>
      <c r="D105" s="14" t="s">
        <v>290</v>
      </c>
      <c r="E105" s="26">
        <v>18</v>
      </c>
      <c r="F105" s="26">
        <v>9</v>
      </c>
      <c r="G105" s="26">
        <v>180</v>
      </c>
      <c r="H105" s="26">
        <v>0</v>
      </c>
      <c r="I105" s="26">
        <v>207</v>
      </c>
      <c r="J105" s="26">
        <v>180</v>
      </c>
      <c r="K105" s="27">
        <v>1</v>
      </c>
      <c r="L105" s="28">
        <v>0</v>
      </c>
      <c r="M105" s="26" t="s">
        <v>79</v>
      </c>
      <c r="N105" s="3" t="s">
        <v>290</v>
      </c>
      <c r="O105" s="36" t="s">
        <v>19</v>
      </c>
      <c r="P105" s="1" t="s">
        <v>80</v>
      </c>
      <c r="Q105" s="1" t="s">
        <v>291</v>
      </c>
      <c r="R105" s="3"/>
      <c r="S105" s="26" t="s">
        <v>1</v>
      </c>
      <c r="T105" s="29" t="s">
        <v>82</v>
      </c>
      <c r="U105" s="3"/>
    </row>
    <row r="106" spans="1:21">
      <c r="A106" s="24">
        <v>10105</v>
      </c>
      <c r="B106" s="74" t="s">
        <v>296</v>
      </c>
      <c r="C106" s="25">
        <v>45226</v>
      </c>
      <c r="D106" s="14" t="s">
        <v>297</v>
      </c>
      <c r="E106" s="26">
        <v>99</v>
      </c>
      <c r="F106" s="26">
        <v>9</v>
      </c>
      <c r="G106" s="26">
        <v>99</v>
      </c>
      <c r="H106" s="26">
        <v>0</v>
      </c>
      <c r="I106" s="26">
        <v>207</v>
      </c>
      <c r="J106" s="26">
        <v>99</v>
      </c>
      <c r="K106" s="27">
        <v>1</v>
      </c>
      <c r="L106" s="28">
        <v>0</v>
      </c>
      <c r="M106" s="26" t="s">
        <v>79</v>
      </c>
      <c r="N106" s="3" t="s">
        <v>297</v>
      </c>
      <c r="O106" s="36" t="s">
        <v>19</v>
      </c>
      <c r="P106" s="1" t="s">
        <v>80</v>
      </c>
      <c r="Q106" s="1" t="s">
        <v>298</v>
      </c>
      <c r="R106" s="3"/>
      <c r="S106" s="26" t="s">
        <v>1</v>
      </c>
      <c r="T106" s="29" t="s">
        <v>82</v>
      </c>
      <c r="U106" s="3"/>
    </row>
    <row r="107" spans="1:21" ht="28.9">
      <c r="A107" s="30">
        <v>10106</v>
      </c>
      <c r="B107" s="74" t="s">
        <v>299</v>
      </c>
      <c r="C107" s="25">
        <v>45229</v>
      </c>
      <c r="D107" s="14" t="s">
        <v>300</v>
      </c>
      <c r="E107" s="26">
        <v>9</v>
      </c>
      <c r="F107" s="26">
        <v>9</v>
      </c>
      <c r="G107" s="26">
        <v>9</v>
      </c>
      <c r="H107" s="26">
        <v>180</v>
      </c>
      <c r="I107" s="26">
        <v>207</v>
      </c>
      <c r="J107" s="26">
        <v>189</v>
      </c>
      <c r="K107" s="27">
        <v>4.7619047619047616E-2</v>
      </c>
      <c r="L107" s="28">
        <v>0.95238095238095233</v>
      </c>
      <c r="M107" s="26" t="s">
        <v>95</v>
      </c>
      <c r="N107" s="37" t="s">
        <v>301</v>
      </c>
      <c r="O107" s="36" t="s">
        <v>10</v>
      </c>
      <c r="P107" s="1" t="s">
        <v>1</v>
      </c>
      <c r="Q107" s="1" t="s">
        <v>10</v>
      </c>
      <c r="R107" s="3"/>
      <c r="S107" s="26" t="s">
        <v>1</v>
      </c>
      <c r="T107" s="29" t="s">
        <v>82</v>
      </c>
      <c r="U107" s="3"/>
    </row>
    <row r="108" spans="1:21" ht="28.9">
      <c r="A108" s="24">
        <v>10107</v>
      </c>
      <c r="B108" s="74" t="s">
        <v>302</v>
      </c>
      <c r="C108" s="25">
        <v>45261</v>
      </c>
      <c r="D108" s="14" t="s">
        <v>303</v>
      </c>
      <c r="E108" s="26">
        <v>36</v>
      </c>
      <c r="F108" s="26">
        <v>9</v>
      </c>
      <c r="G108" s="26">
        <v>63</v>
      </c>
      <c r="H108" s="26">
        <v>99</v>
      </c>
      <c r="I108" s="26">
        <v>207</v>
      </c>
      <c r="J108" s="26">
        <v>162</v>
      </c>
      <c r="K108" s="27">
        <v>0.3888888888888889</v>
      </c>
      <c r="L108" s="28">
        <v>0.61111111111111116</v>
      </c>
      <c r="M108" s="26" t="s">
        <v>95</v>
      </c>
      <c r="N108" s="37" t="s">
        <v>304</v>
      </c>
      <c r="O108" s="36" t="s">
        <v>15</v>
      </c>
      <c r="P108" s="1" t="s">
        <v>80</v>
      </c>
      <c r="Q108" s="15" t="s">
        <v>305</v>
      </c>
      <c r="R108" s="3"/>
      <c r="S108" s="26" t="s">
        <v>1</v>
      </c>
      <c r="T108" s="29" t="s">
        <v>82</v>
      </c>
      <c r="U108" s="3"/>
    </row>
    <row r="109" spans="1:21">
      <c r="A109" s="24">
        <v>10108</v>
      </c>
      <c r="B109" s="74" t="s">
        <v>306</v>
      </c>
      <c r="C109" s="25">
        <v>45261</v>
      </c>
      <c r="D109" s="14" t="s">
        <v>188</v>
      </c>
      <c r="E109" s="26">
        <v>36</v>
      </c>
      <c r="F109" s="26">
        <v>18</v>
      </c>
      <c r="G109" s="26">
        <v>153</v>
      </c>
      <c r="H109" s="26">
        <v>0</v>
      </c>
      <c r="I109" s="26">
        <v>207</v>
      </c>
      <c r="J109" s="26">
        <v>153</v>
      </c>
      <c r="K109" s="27">
        <v>1</v>
      </c>
      <c r="L109" s="28">
        <v>0</v>
      </c>
      <c r="M109" s="26" t="s">
        <v>79</v>
      </c>
      <c r="N109" s="3" t="s">
        <v>188</v>
      </c>
      <c r="O109" s="36" t="s">
        <v>19</v>
      </c>
      <c r="P109" s="1" t="s">
        <v>80</v>
      </c>
      <c r="Q109" s="1" t="s">
        <v>189</v>
      </c>
      <c r="R109" s="3"/>
      <c r="S109" s="26" t="s">
        <v>1</v>
      </c>
      <c r="T109" s="29" t="s">
        <v>82</v>
      </c>
      <c r="U109" s="3"/>
    </row>
    <row r="110" spans="1:21">
      <c r="A110" s="30">
        <v>10109</v>
      </c>
      <c r="B110" s="74" t="s">
        <v>307</v>
      </c>
      <c r="C110" s="25">
        <v>45267</v>
      </c>
      <c r="D110" s="14" t="s">
        <v>78</v>
      </c>
      <c r="E110" s="26">
        <v>108</v>
      </c>
      <c r="F110" s="26">
        <v>9</v>
      </c>
      <c r="G110" s="26">
        <v>90</v>
      </c>
      <c r="H110" s="26">
        <v>0</v>
      </c>
      <c r="I110" s="26">
        <v>207</v>
      </c>
      <c r="J110" s="26">
        <v>90</v>
      </c>
      <c r="K110" s="27">
        <v>1</v>
      </c>
      <c r="L110" s="28">
        <v>0</v>
      </c>
      <c r="M110" s="26" t="s">
        <v>79</v>
      </c>
      <c r="N110" s="3" t="s">
        <v>78</v>
      </c>
      <c r="O110" s="36" t="s">
        <v>19</v>
      </c>
      <c r="P110" s="1" t="s">
        <v>80</v>
      </c>
      <c r="Q110" s="1" t="s">
        <v>81</v>
      </c>
      <c r="R110" s="3"/>
      <c r="S110" s="26" t="s">
        <v>1</v>
      </c>
      <c r="T110" s="29" t="s">
        <v>82</v>
      </c>
      <c r="U110" s="3"/>
    </row>
    <row r="111" spans="1:21">
      <c r="A111" s="24">
        <v>10110</v>
      </c>
      <c r="B111" s="74" t="s">
        <v>308</v>
      </c>
      <c r="C111" s="25">
        <v>45271</v>
      </c>
      <c r="D111" s="14" t="s">
        <v>185</v>
      </c>
      <c r="E111" s="26">
        <v>9</v>
      </c>
      <c r="F111" s="26">
        <v>18</v>
      </c>
      <c r="G111" s="26">
        <v>171</v>
      </c>
      <c r="H111" s="26">
        <v>9</v>
      </c>
      <c r="I111" s="26">
        <v>207</v>
      </c>
      <c r="J111" s="26">
        <v>180</v>
      </c>
      <c r="K111" s="27">
        <v>0.95</v>
      </c>
      <c r="L111" s="28">
        <v>0.05</v>
      </c>
      <c r="M111" s="26" t="s">
        <v>79</v>
      </c>
      <c r="N111" s="3" t="s">
        <v>185</v>
      </c>
      <c r="O111" s="36" t="s">
        <v>15</v>
      </c>
      <c r="P111" s="1" t="s">
        <v>80</v>
      </c>
      <c r="Q111" s="1" t="s">
        <v>186</v>
      </c>
      <c r="R111" s="3"/>
      <c r="S111" s="26" t="s">
        <v>80</v>
      </c>
      <c r="T111" s="29" t="s">
        <v>82</v>
      </c>
      <c r="U111" s="3"/>
    </row>
    <row r="112" spans="1:21">
      <c r="A112" s="24">
        <v>10111</v>
      </c>
      <c r="B112" s="74" t="s">
        <v>309</v>
      </c>
      <c r="C112" s="25">
        <v>45287</v>
      </c>
      <c r="D112" s="14" t="s">
        <v>106</v>
      </c>
      <c r="E112" s="26">
        <v>9</v>
      </c>
      <c r="F112" s="26">
        <v>9</v>
      </c>
      <c r="G112" s="26">
        <v>189</v>
      </c>
      <c r="H112" s="26">
        <v>0</v>
      </c>
      <c r="I112" s="26">
        <v>207</v>
      </c>
      <c r="J112" s="26">
        <v>189</v>
      </c>
      <c r="K112" s="27">
        <v>1</v>
      </c>
      <c r="L112" s="28">
        <v>0</v>
      </c>
      <c r="M112" s="26" t="s">
        <v>79</v>
      </c>
      <c r="N112" s="3" t="s">
        <v>106</v>
      </c>
      <c r="O112" s="36" t="s">
        <v>19</v>
      </c>
      <c r="P112" s="1" t="s">
        <v>80</v>
      </c>
      <c r="Q112" s="1" t="s">
        <v>107</v>
      </c>
      <c r="R112" s="3"/>
      <c r="S112" s="26" t="s">
        <v>1</v>
      </c>
      <c r="T112" s="29" t="s">
        <v>82</v>
      </c>
      <c r="U112" s="3"/>
    </row>
    <row r="113" spans="1:21">
      <c r="A113" s="30">
        <v>10112</v>
      </c>
      <c r="B113" s="74" t="s">
        <v>310</v>
      </c>
      <c r="C113" s="25">
        <v>45287</v>
      </c>
      <c r="D113" s="14" t="s">
        <v>311</v>
      </c>
      <c r="E113" s="26">
        <v>0</v>
      </c>
      <c r="F113" s="26">
        <v>9</v>
      </c>
      <c r="G113" s="26">
        <v>198</v>
      </c>
      <c r="H113" s="26">
        <v>0</v>
      </c>
      <c r="I113" s="26">
        <v>207</v>
      </c>
      <c r="J113" s="26">
        <v>198</v>
      </c>
      <c r="K113" s="27">
        <v>1</v>
      </c>
      <c r="L113" s="28">
        <v>0</v>
      </c>
      <c r="M113" s="26" t="s">
        <v>79</v>
      </c>
      <c r="N113" s="3" t="s">
        <v>311</v>
      </c>
      <c r="O113" s="36" t="s">
        <v>19</v>
      </c>
      <c r="P113" s="1" t="s">
        <v>80</v>
      </c>
      <c r="Q113" s="1" t="s">
        <v>312</v>
      </c>
      <c r="R113" s="3"/>
      <c r="S113" s="26" t="s">
        <v>1</v>
      </c>
      <c r="T113" s="29" t="s">
        <v>82</v>
      </c>
      <c r="U113" s="3"/>
    </row>
    <row r="114" spans="1:21">
      <c r="A114" s="24">
        <v>10113</v>
      </c>
      <c r="B114" s="74" t="s">
        <v>313</v>
      </c>
      <c r="C114" s="25">
        <v>45288</v>
      </c>
      <c r="D114" s="14" t="s">
        <v>138</v>
      </c>
      <c r="E114" s="26">
        <v>0</v>
      </c>
      <c r="F114" s="26">
        <v>9</v>
      </c>
      <c r="G114" s="26">
        <v>198</v>
      </c>
      <c r="H114" s="26">
        <v>0</v>
      </c>
      <c r="I114" s="26">
        <v>207</v>
      </c>
      <c r="J114" s="26">
        <v>198</v>
      </c>
      <c r="K114" s="27">
        <v>1</v>
      </c>
      <c r="L114" s="28">
        <v>0</v>
      </c>
      <c r="M114" s="26" t="s">
        <v>79</v>
      </c>
      <c r="N114" s="3" t="s">
        <v>138</v>
      </c>
      <c r="O114" s="36" t="s">
        <v>19</v>
      </c>
      <c r="P114" s="1" t="s">
        <v>80</v>
      </c>
      <c r="Q114" s="1" t="s">
        <v>139</v>
      </c>
      <c r="R114" s="3"/>
      <c r="S114" s="26" t="s">
        <v>1</v>
      </c>
      <c r="T114" s="29" t="s">
        <v>82</v>
      </c>
      <c r="U114" s="3"/>
    </row>
    <row r="115" spans="1:21">
      <c r="A115" s="24">
        <v>10114</v>
      </c>
      <c r="B115" s="74" t="s">
        <v>314</v>
      </c>
      <c r="C115" s="25">
        <v>45293</v>
      </c>
      <c r="D115" s="14" t="s">
        <v>162</v>
      </c>
      <c r="E115" s="26">
        <v>45</v>
      </c>
      <c r="F115" s="26">
        <v>9</v>
      </c>
      <c r="G115" s="26">
        <v>153</v>
      </c>
      <c r="H115" s="26">
        <v>0</v>
      </c>
      <c r="I115" s="26">
        <v>207</v>
      </c>
      <c r="J115" s="26">
        <v>153</v>
      </c>
      <c r="K115" s="27">
        <v>1</v>
      </c>
      <c r="L115" s="28">
        <v>0</v>
      </c>
      <c r="M115" s="26" t="s">
        <v>79</v>
      </c>
      <c r="N115" s="3" t="s">
        <v>162</v>
      </c>
      <c r="O115" s="36" t="s">
        <v>19</v>
      </c>
      <c r="P115" s="1" t="s">
        <v>80</v>
      </c>
      <c r="Q115" s="1" t="s">
        <v>163</v>
      </c>
      <c r="R115" s="3"/>
      <c r="S115" s="26" t="s">
        <v>1</v>
      </c>
      <c r="T115" s="29" t="s">
        <v>82</v>
      </c>
      <c r="U115" s="3"/>
    </row>
    <row r="116" spans="1:21">
      <c r="A116" s="30">
        <v>10115</v>
      </c>
      <c r="B116" s="74" t="s">
        <v>315</v>
      </c>
      <c r="C116" s="25">
        <v>45293</v>
      </c>
      <c r="D116" s="14" t="s">
        <v>138</v>
      </c>
      <c r="E116" s="26">
        <v>13.5</v>
      </c>
      <c r="F116" s="26">
        <v>9</v>
      </c>
      <c r="G116" s="26">
        <v>184.5</v>
      </c>
      <c r="H116" s="26">
        <v>0</v>
      </c>
      <c r="I116" s="26">
        <v>207</v>
      </c>
      <c r="J116" s="26">
        <v>184.5</v>
      </c>
      <c r="K116" s="27">
        <v>1</v>
      </c>
      <c r="L116" s="28">
        <v>0</v>
      </c>
      <c r="M116" s="26" t="s">
        <v>79</v>
      </c>
      <c r="N116" s="3" t="s">
        <v>138</v>
      </c>
      <c r="O116" s="36" t="s">
        <v>19</v>
      </c>
      <c r="P116" s="1" t="s">
        <v>80</v>
      </c>
      <c r="Q116" s="1" t="s">
        <v>139</v>
      </c>
      <c r="R116" s="3"/>
      <c r="S116" s="26" t="s">
        <v>1</v>
      </c>
      <c r="T116" s="29" t="s">
        <v>82</v>
      </c>
      <c r="U116" s="3"/>
    </row>
    <row r="117" spans="1:21">
      <c r="A117" s="24">
        <v>10116</v>
      </c>
      <c r="B117" s="74" t="s">
        <v>316</v>
      </c>
      <c r="C117" s="25">
        <v>45299</v>
      </c>
      <c r="D117" s="14" t="s">
        <v>84</v>
      </c>
      <c r="E117" s="26">
        <v>36</v>
      </c>
      <c r="F117" s="26">
        <v>9</v>
      </c>
      <c r="G117" s="26">
        <v>162</v>
      </c>
      <c r="H117" s="26">
        <v>0</v>
      </c>
      <c r="I117" s="26">
        <v>207</v>
      </c>
      <c r="J117" s="26">
        <v>162</v>
      </c>
      <c r="K117" s="27">
        <v>1</v>
      </c>
      <c r="L117" s="28">
        <v>0</v>
      </c>
      <c r="M117" s="26" t="s">
        <v>79</v>
      </c>
      <c r="N117" s="3" t="s">
        <v>84</v>
      </c>
      <c r="O117" s="36" t="s">
        <v>15</v>
      </c>
      <c r="P117" s="1" t="s">
        <v>80</v>
      </c>
      <c r="Q117" s="1" t="s">
        <v>85</v>
      </c>
      <c r="R117" s="3"/>
      <c r="S117" s="26" t="s">
        <v>1</v>
      </c>
      <c r="T117" s="29" t="s">
        <v>82</v>
      </c>
      <c r="U117" s="3"/>
    </row>
    <row r="118" spans="1:21">
      <c r="A118" s="24">
        <v>10117</v>
      </c>
      <c r="B118" s="74" t="s">
        <v>317</v>
      </c>
      <c r="C118" s="25">
        <v>45299</v>
      </c>
      <c r="D118" s="14" t="s">
        <v>297</v>
      </c>
      <c r="E118" s="26">
        <v>94.5</v>
      </c>
      <c r="F118" s="26">
        <v>9</v>
      </c>
      <c r="G118" s="26">
        <v>103.5</v>
      </c>
      <c r="H118" s="26">
        <v>0</v>
      </c>
      <c r="I118" s="26">
        <v>207</v>
      </c>
      <c r="J118" s="26">
        <v>103.5</v>
      </c>
      <c r="K118" s="27">
        <v>1</v>
      </c>
      <c r="L118" s="28">
        <v>0</v>
      </c>
      <c r="M118" s="26" t="s">
        <v>79</v>
      </c>
      <c r="N118" s="3" t="s">
        <v>297</v>
      </c>
      <c r="O118" s="36" t="s">
        <v>19</v>
      </c>
      <c r="P118" s="1" t="s">
        <v>80</v>
      </c>
      <c r="Q118" s="1" t="s">
        <v>298</v>
      </c>
      <c r="R118" s="3"/>
      <c r="S118" s="26" t="s">
        <v>1</v>
      </c>
      <c r="T118" s="29" t="s">
        <v>82</v>
      </c>
      <c r="U118" s="3"/>
    </row>
    <row r="119" spans="1:21">
      <c r="A119" s="30">
        <v>10118</v>
      </c>
      <c r="B119" s="74" t="s">
        <v>318</v>
      </c>
      <c r="C119" s="25">
        <v>45306</v>
      </c>
      <c r="D119" s="14" t="s">
        <v>188</v>
      </c>
      <c r="E119" s="26">
        <v>0</v>
      </c>
      <c r="F119" s="26">
        <v>18</v>
      </c>
      <c r="G119" s="26">
        <v>189</v>
      </c>
      <c r="H119" s="26">
        <v>0</v>
      </c>
      <c r="I119" s="26">
        <v>207</v>
      </c>
      <c r="J119" s="26">
        <v>189</v>
      </c>
      <c r="K119" s="27">
        <v>1</v>
      </c>
      <c r="L119" s="28">
        <v>0</v>
      </c>
      <c r="M119" s="26" t="s">
        <v>79</v>
      </c>
      <c r="N119" s="3" t="s">
        <v>188</v>
      </c>
      <c r="O119" s="36" t="s">
        <v>19</v>
      </c>
      <c r="P119" s="1" t="s">
        <v>80</v>
      </c>
      <c r="Q119" s="1" t="s">
        <v>189</v>
      </c>
      <c r="R119" s="3"/>
      <c r="S119" s="26" t="s">
        <v>1</v>
      </c>
      <c r="T119" s="29" t="s">
        <v>82</v>
      </c>
      <c r="U119" s="3"/>
    </row>
    <row r="120" spans="1:21">
      <c r="A120" s="24">
        <v>10119</v>
      </c>
      <c r="B120" s="74" t="s">
        <v>319</v>
      </c>
      <c r="C120" s="25">
        <v>45310</v>
      </c>
      <c r="D120" s="14" t="s">
        <v>196</v>
      </c>
      <c r="E120" s="26">
        <v>18</v>
      </c>
      <c r="F120" s="26">
        <v>9</v>
      </c>
      <c r="G120" s="26">
        <v>180</v>
      </c>
      <c r="H120" s="26">
        <v>0</v>
      </c>
      <c r="I120" s="26">
        <v>207</v>
      </c>
      <c r="J120" s="26">
        <v>180</v>
      </c>
      <c r="K120" s="27">
        <v>1</v>
      </c>
      <c r="L120" s="28">
        <v>0</v>
      </c>
      <c r="M120" s="26" t="s">
        <v>79</v>
      </c>
      <c r="N120" s="3" t="s">
        <v>196</v>
      </c>
      <c r="O120" s="36" t="s">
        <v>19</v>
      </c>
      <c r="P120" s="1" t="s">
        <v>80</v>
      </c>
      <c r="Q120" s="1" t="s">
        <v>197</v>
      </c>
      <c r="R120" s="3"/>
      <c r="S120" s="26" t="s">
        <v>1</v>
      </c>
      <c r="T120" s="29" t="s">
        <v>82</v>
      </c>
      <c r="U120" s="3"/>
    </row>
    <row r="121" spans="1:21">
      <c r="A121" s="24">
        <v>10120</v>
      </c>
      <c r="B121" s="74" t="s">
        <v>320</v>
      </c>
      <c r="C121" s="25">
        <v>45313</v>
      </c>
      <c r="D121" s="14" t="s">
        <v>142</v>
      </c>
      <c r="E121" s="26">
        <v>36</v>
      </c>
      <c r="F121" s="26">
        <v>9</v>
      </c>
      <c r="G121" s="26">
        <v>162</v>
      </c>
      <c r="H121" s="26">
        <v>0</v>
      </c>
      <c r="I121" s="26">
        <v>207</v>
      </c>
      <c r="J121" s="26">
        <v>162</v>
      </c>
      <c r="K121" s="27">
        <v>1</v>
      </c>
      <c r="L121" s="28">
        <v>0</v>
      </c>
      <c r="M121" s="26" t="s">
        <v>79</v>
      </c>
      <c r="N121" s="3" t="s">
        <v>142</v>
      </c>
      <c r="O121" s="36" t="s">
        <v>19</v>
      </c>
      <c r="P121" s="1" t="s">
        <v>80</v>
      </c>
      <c r="Q121" s="1" t="s">
        <v>144</v>
      </c>
      <c r="R121" s="3"/>
      <c r="S121" s="26" t="s">
        <v>1</v>
      </c>
      <c r="T121" s="29" t="s">
        <v>82</v>
      </c>
      <c r="U121" s="3"/>
    </row>
    <row r="122" spans="1:21" ht="28.9">
      <c r="A122" s="30">
        <v>10121</v>
      </c>
      <c r="B122" s="74" t="s">
        <v>321</v>
      </c>
      <c r="C122" s="25">
        <v>45313</v>
      </c>
      <c r="D122" s="14" t="s">
        <v>238</v>
      </c>
      <c r="E122" s="26">
        <v>27</v>
      </c>
      <c r="F122" s="26">
        <v>9</v>
      </c>
      <c r="G122" s="26">
        <v>117</v>
      </c>
      <c r="H122" s="26">
        <v>54</v>
      </c>
      <c r="I122" s="26">
        <v>207</v>
      </c>
      <c r="J122" s="26">
        <v>171</v>
      </c>
      <c r="K122" s="27">
        <v>0.68421052631578949</v>
      </c>
      <c r="L122" s="28">
        <v>0.31578947368421051</v>
      </c>
      <c r="M122" s="26" t="s">
        <v>95</v>
      </c>
      <c r="N122" s="37" t="s">
        <v>239</v>
      </c>
      <c r="O122" s="36" t="s">
        <v>10</v>
      </c>
      <c r="P122" s="1" t="s">
        <v>1</v>
      </c>
      <c r="Q122" s="1" t="s">
        <v>10</v>
      </c>
      <c r="R122" s="3"/>
      <c r="S122" s="26" t="s">
        <v>1</v>
      </c>
      <c r="T122" s="29" t="s">
        <v>82</v>
      </c>
      <c r="U122" s="3"/>
    </row>
    <row r="123" spans="1:21" ht="28.9">
      <c r="A123" s="24">
        <v>10122</v>
      </c>
      <c r="B123" s="74" t="s">
        <v>322</v>
      </c>
      <c r="C123" s="25">
        <v>45335</v>
      </c>
      <c r="D123" s="14" t="s">
        <v>103</v>
      </c>
      <c r="E123" s="26">
        <v>49.5</v>
      </c>
      <c r="F123" s="26">
        <v>18</v>
      </c>
      <c r="G123" s="26">
        <v>139.5</v>
      </c>
      <c r="H123" s="26">
        <v>0</v>
      </c>
      <c r="I123" s="26">
        <v>207</v>
      </c>
      <c r="J123" s="26">
        <v>139.5</v>
      </c>
      <c r="K123" s="27">
        <v>1</v>
      </c>
      <c r="L123" s="28">
        <v>0</v>
      </c>
      <c r="M123" s="26" t="s">
        <v>79</v>
      </c>
      <c r="N123" s="3" t="s">
        <v>104</v>
      </c>
      <c r="O123" s="36" t="s">
        <v>15</v>
      </c>
      <c r="P123" s="1" t="s">
        <v>80</v>
      </c>
      <c r="Q123" s="1" t="s">
        <v>104</v>
      </c>
      <c r="R123" s="3"/>
      <c r="S123" s="26" t="s">
        <v>1</v>
      </c>
      <c r="T123" s="29" t="s">
        <v>82</v>
      </c>
      <c r="U123" s="3"/>
    </row>
    <row r="124" spans="1:21">
      <c r="A124" s="24">
        <v>10123</v>
      </c>
      <c r="B124" s="74" t="s">
        <v>323</v>
      </c>
      <c r="C124" s="25">
        <v>45337</v>
      </c>
      <c r="D124" s="14" t="s">
        <v>121</v>
      </c>
      <c r="E124" s="26">
        <v>9</v>
      </c>
      <c r="F124" s="26">
        <v>9</v>
      </c>
      <c r="G124" s="26">
        <v>0</v>
      </c>
      <c r="H124" s="26">
        <v>189</v>
      </c>
      <c r="I124" s="26">
        <v>207</v>
      </c>
      <c r="J124" s="26">
        <v>189</v>
      </c>
      <c r="K124" s="27">
        <v>0</v>
      </c>
      <c r="L124" s="28">
        <v>1</v>
      </c>
      <c r="M124" s="26" t="s">
        <v>95</v>
      </c>
      <c r="N124" s="62" t="s">
        <v>122</v>
      </c>
      <c r="O124" s="36" t="s">
        <v>10</v>
      </c>
      <c r="P124" s="1" t="s">
        <v>1</v>
      </c>
      <c r="Q124" s="1" t="s">
        <v>10</v>
      </c>
      <c r="R124" s="3"/>
      <c r="S124" s="26" t="s">
        <v>1</v>
      </c>
      <c r="T124" s="29" t="s">
        <v>82</v>
      </c>
      <c r="U124" s="3"/>
    </row>
    <row r="125" spans="1:21">
      <c r="A125" s="30">
        <v>10124</v>
      </c>
      <c r="B125" s="74" t="s">
        <v>324</v>
      </c>
      <c r="C125" s="25">
        <v>45338</v>
      </c>
      <c r="D125" s="14" t="s">
        <v>208</v>
      </c>
      <c r="E125" s="26">
        <v>54</v>
      </c>
      <c r="F125" s="26">
        <v>18</v>
      </c>
      <c r="G125" s="26">
        <v>135</v>
      </c>
      <c r="H125" s="26">
        <v>0</v>
      </c>
      <c r="I125" s="26">
        <v>207</v>
      </c>
      <c r="J125" s="26">
        <v>135</v>
      </c>
      <c r="K125" s="27">
        <v>1</v>
      </c>
      <c r="L125" s="28">
        <v>0</v>
      </c>
      <c r="M125" s="26" t="s">
        <v>79</v>
      </c>
      <c r="N125" s="3" t="s">
        <v>208</v>
      </c>
      <c r="O125" s="36" t="s">
        <v>19</v>
      </c>
      <c r="P125" s="1" t="s">
        <v>80</v>
      </c>
      <c r="Q125" s="1" t="s">
        <v>209</v>
      </c>
      <c r="R125" s="3"/>
      <c r="S125" s="26" t="s">
        <v>1</v>
      </c>
      <c r="T125" s="29" t="s">
        <v>82</v>
      </c>
      <c r="U125" s="3"/>
    </row>
    <row r="126" spans="1:21">
      <c r="A126" s="24">
        <v>10125</v>
      </c>
      <c r="B126" s="74" t="s">
        <v>325</v>
      </c>
      <c r="C126" s="25">
        <v>45341</v>
      </c>
      <c r="D126" s="14" t="s">
        <v>326</v>
      </c>
      <c r="E126" s="26">
        <v>36</v>
      </c>
      <c r="F126" s="26">
        <v>18</v>
      </c>
      <c r="G126" s="26">
        <v>153</v>
      </c>
      <c r="H126" s="26">
        <v>0</v>
      </c>
      <c r="I126" s="26">
        <v>207</v>
      </c>
      <c r="J126" s="26">
        <v>153</v>
      </c>
      <c r="K126" s="27">
        <v>1</v>
      </c>
      <c r="L126" s="28">
        <v>0</v>
      </c>
      <c r="M126" s="26" t="s">
        <v>79</v>
      </c>
      <c r="N126" s="3" t="s">
        <v>326</v>
      </c>
      <c r="O126" s="36" t="s">
        <v>19</v>
      </c>
      <c r="P126" s="1" t="s">
        <v>80</v>
      </c>
      <c r="Q126" s="1" t="s">
        <v>327</v>
      </c>
      <c r="R126" s="3"/>
      <c r="S126" s="26" t="s">
        <v>1</v>
      </c>
      <c r="T126" s="29" t="s">
        <v>82</v>
      </c>
      <c r="U126" s="3"/>
    </row>
    <row r="127" spans="1:21">
      <c r="A127" s="24">
        <v>10126</v>
      </c>
      <c r="B127" s="74" t="s">
        <v>328</v>
      </c>
      <c r="C127" s="25">
        <v>45348</v>
      </c>
      <c r="D127" s="14" t="s">
        <v>208</v>
      </c>
      <c r="E127" s="26">
        <v>27</v>
      </c>
      <c r="F127" s="26">
        <v>18</v>
      </c>
      <c r="G127" s="26">
        <v>162</v>
      </c>
      <c r="H127" s="26">
        <v>0</v>
      </c>
      <c r="I127" s="26">
        <v>207</v>
      </c>
      <c r="J127" s="26">
        <v>162</v>
      </c>
      <c r="K127" s="27">
        <v>1</v>
      </c>
      <c r="L127" s="28">
        <v>0</v>
      </c>
      <c r="M127" s="26" t="s">
        <v>79</v>
      </c>
      <c r="N127" s="3" t="s">
        <v>208</v>
      </c>
      <c r="O127" s="36" t="s">
        <v>19</v>
      </c>
      <c r="P127" s="1" t="s">
        <v>80</v>
      </c>
      <c r="Q127" s="1" t="s">
        <v>209</v>
      </c>
      <c r="R127" s="3"/>
      <c r="S127" s="26" t="s">
        <v>1</v>
      </c>
      <c r="T127" s="29" t="s">
        <v>82</v>
      </c>
      <c r="U127" s="3"/>
    </row>
    <row r="128" spans="1:21" ht="28.9">
      <c r="A128" s="30">
        <v>10127</v>
      </c>
      <c r="B128" s="74" t="s">
        <v>329</v>
      </c>
      <c r="C128" s="25">
        <v>45362</v>
      </c>
      <c r="D128" s="14" t="s">
        <v>330</v>
      </c>
      <c r="E128" s="26">
        <v>9</v>
      </c>
      <c r="F128" s="26">
        <v>9</v>
      </c>
      <c r="G128" s="26">
        <v>81</v>
      </c>
      <c r="H128" s="26">
        <v>108</v>
      </c>
      <c r="I128" s="26">
        <v>207</v>
      </c>
      <c r="J128" s="26">
        <v>189</v>
      </c>
      <c r="K128" s="27">
        <v>0.42857142857142855</v>
      </c>
      <c r="L128" s="28">
        <v>0.5714285714285714</v>
      </c>
      <c r="M128" s="26" t="s">
        <v>95</v>
      </c>
      <c r="N128" s="44" t="s">
        <v>331</v>
      </c>
      <c r="O128" s="4" t="s">
        <v>234</v>
      </c>
      <c r="P128" s="1" t="s">
        <v>1</v>
      </c>
      <c r="Q128" s="4" t="s">
        <v>234</v>
      </c>
      <c r="R128" s="3"/>
      <c r="S128" s="26" t="s">
        <v>80</v>
      </c>
      <c r="T128" s="29">
        <v>46071</v>
      </c>
      <c r="U128" s="3"/>
    </row>
    <row r="129" spans="1:21" ht="28.9">
      <c r="A129" s="24">
        <v>10128</v>
      </c>
      <c r="B129" s="74" t="s">
        <v>332</v>
      </c>
      <c r="C129" s="25">
        <v>45369</v>
      </c>
      <c r="D129" s="14" t="s">
        <v>333</v>
      </c>
      <c r="E129" s="26">
        <v>36</v>
      </c>
      <c r="F129" s="26">
        <v>9</v>
      </c>
      <c r="G129" s="26">
        <v>117</v>
      </c>
      <c r="H129" s="26">
        <v>45</v>
      </c>
      <c r="I129" s="26">
        <v>207</v>
      </c>
      <c r="J129" s="26">
        <v>162</v>
      </c>
      <c r="K129" s="27">
        <v>0.72222222222222221</v>
      </c>
      <c r="L129" s="28">
        <v>0.27777777777777779</v>
      </c>
      <c r="M129" s="26" t="s">
        <v>95</v>
      </c>
      <c r="N129" s="3" t="s">
        <v>334</v>
      </c>
      <c r="O129" s="36" t="s">
        <v>10</v>
      </c>
      <c r="P129" s="1" t="s">
        <v>1</v>
      </c>
      <c r="Q129" s="1" t="s">
        <v>10</v>
      </c>
      <c r="R129" s="3"/>
      <c r="S129" s="26" t="s">
        <v>1</v>
      </c>
      <c r="T129" s="29" t="s">
        <v>82</v>
      </c>
      <c r="U129" s="3"/>
    </row>
    <row r="130" spans="1:21">
      <c r="A130" s="24">
        <v>10129</v>
      </c>
      <c r="B130" s="74" t="s">
        <v>335</v>
      </c>
      <c r="C130" s="25">
        <v>45377</v>
      </c>
      <c r="D130" s="14" t="s">
        <v>336</v>
      </c>
      <c r="E130" s="26">
        <v>0</v>
      </c>
      <c r="F130" s="26">
        <v>9</v>
      </c>
      <c r="G130" s="26">
        <v>198</v>
      </c>
      <c r="H130" s="26">
        <v>0</v>
      </c>
      <c r="I130" s="26">
        <v>207</v>
      </c>
      <c r="J130" s="26">
        <v>198</v>
      </c>
      <c r="K130" s="27">
        <v>1</v>
      </c>
      <c r="L130" s="28">
        <v>0</v>
      </c>
      <c r="M130" s="26" t="s">
        <v>79</v>
      </c>
      <c r="N130" s="3" t="s">
        <v>336</v>
      </c>
      <c r="O130" s="36" t="s">
        <v>19</v>
      </c>
      <c r="P130" s="1" t="s">
        <v>80</v>
      </c>
      <c r="Q130" s="1" t="s">
        <v>337</v>
      </c>
      <c r="R130" s="3"/>
      <c r="S130" s="26" t="s">
        <v>1</v>
      </c>
      <c r="T130" s="29" t="s">
        <v>82</v>
      </c>
      <c r="U130" s="3"/>
    </row>
    <row r="131" spans="1:21">
      <c r="A131" s="30">
        <v>10130</v>
      </c>
      <c r="B131" s="74" t="s">
        <v>338</v>
      </c>
      <c r="C131" s="25">
        <v>45377</v>
      </c>
      <c r="D131" s="3" t="s">
        <v>160</v>
      </c>
      <c r="E131" s="26">
        <v>0</v>
      </c>
      <c r="F131" s="26">
        <v>0</v>
      </c>
      <c r="G131" s="26">
        <v>0</v>
      </c>
      <c r="H131" s="26">
        <v>0</v>
      </c>
      <c r="I131" s="26">
        <v>0</v>
      </c>
      <c r="J131" s="26">
        <v>0</v>
      </c>
      <c r="K131" s="27">
        <v>0</v>
      </c>
      <c r="L131" s="28" t="s">
        <v>82</v>
      </c>
      <c r="M131" s="26" t="s">
        <v>95</v>
      </c>
      <c r="N131" s="3" t="s">
        <v>160</v>
      </c>
      <c r="O131" s="3" t="s">
        <v>160</v>
      </c>
      <c r="P131" s="1" t="s">
        <v>1</v>
      </c>
      <c r="Q131" s="3" t="s">
        <v>160</v>
      </c>
      <c r="R131" s="3"/>
      <c r="S131" s="26" t="s">
        <v>1</v>
      </c>
      <c r="T131" s="29" t="s">
        <v>82</v>
      </c>
      <c r="U131" s="3"/>
    </row>
    <row r="132" spans="1:21" ht="28.9">
      <c r="A132" s="24">
        <v>10131</v>
      </c>
      <c r="B132" s="74" t="s">
        <v>339</v>
      </c>
      <c r="C132" s="25">
        <v>45383</v>
      </c>
      <c r="D132" s="14" t="s">
        <v>340</v>
      </c>
      <c r="E132" s="26">
        <v>63</v>
      </c>
      <c r="F132" s="26">
        <v>9</v>
      </c>
      <c r="G132" s="26">
        <v>103</v>
      </c>
      <c r="H132" s="26">
        <v>32</v>
      </c>
      <c r="I132" s="26">
        <v>207</v>
      </c>
      <c r="J132" s="26">
        <v>135</v>
      </c>
      <c r="K132" s="27">
        <v>0.76296296296296295</v>
      </c>
      <c r="L132" s="28">
        <v>0.23703703703703705</v>
      </c>
      <c r="M132" s="26" t="s">
        <v>95</v>
      </c>
      <c r="N132" s="5" t="s">
        <v>341</v>
      </c>
      <c r="O132" s="36" t="s">
        <v>19</v>
      </c>
      <c r="P132" s="1" t="s">
        <v>80</v>
      </c>
      <c r="Q132" s="1" t="s">
        <v>144</v>
      </c>
      <c r="R132" s="3"/>
      <c r="S132" s="26" t="s">
        <v>1</v>
      </c>
      <c r="T132" s="29" t="s">
        <v>82</v>
      </c>
      <c r="U132" s="3"/>
    </row>
    <row r="133" spans="1:21">
      <c r="A133" s="24">
        <v>10132</v>
      </c>
      <c r="B133" s="74" t="s">
        <v>342</v>
      </c>
      <c r="C133" s="25">
        <v>45383</v>
      </c>
      <c r="D133" s="14" t="s">
        <v>185</v>
      </c>
      <c r="E133" s="26">
        <v>63</v>
      </c>
      <c r="F133" s="26">
        <v>18</v>
      </c>
      <c r="G133" s="26">
        <v>117</v>
      </c>
      <c r="H133" s="26">
        <v>9</v>
      </c>
      <c r="I133" s="26">
        <v>207</v>
      </c>
      <c r="J133" s="26">
        <v>126</v>
      </c>
      <c r="K133" s="27">
        <v>0.9285714285714286</v>
      </c>
      <c r="L133" s="28">
        <v>7.1428571428571425E-2</v>
      </c>
      <c r="M133" s="26" t="s">
        <v>79</v>
      </c>
      <c r="N133" s="3" t="s">
        <v>185</v>
      </c>
      <c r="O133" s="36" t="s">
        <v>15</v>
      </c>
      <c r="P133" s="1" t="s">
        <v>80</v>
      </c>
      <c r="Q133" s="1" t="s">
        <v>186</v>
      </c>
      <c r="R133" s="3"/>
      <c r="S133" s="26" t="s">
        <v>1</v>
      </c>
      <c r="T133" s="29" t="s">
        <v>82</v>
      </c>
      <c r="U133" s="3"/>
    </row>
    <row r="134" spans="1:21">
      <c r="A134" s="30">
        <v>10133</v>
      </c>
      <c r="B134" s="74" t="s">
        <v>343</v>
      </c>
      <c r="C134" s="25">
        <v>45390</v>
      </c>
      <c r="D134" s="14" t="s">
        <v>344</v>
      </c>
      <c r="E134" s="26">
        <v>189</v>
      </c>
      <c r="F134" s="26">
        <v>9</v>
      </c>
      <c r="G134" s="26">
        <v>0</v>
      </c>
      <c r="H134" s="26">
        <v>9</v>
      </c>
      <c r="I134" s="26">
        <v>207</v>
      </c>
      <c r="J134" s="26">
        <v>9</v>
      </c>
      <c r="K134" s="27">
        <v>0</v>
      </c>
      <c r="L134" s="28">
        <v>1</v>
      </c>
      <c r="M134" s="26" t="s">
        <v>95</v>
      </c>
      <c r="N134" s="62" t="s">
        <v>345</v>
      </c>
      <c r="O134" s="3" t="s">
        <v>14</v>
      </c>
      <c r="P134" s="1" t="s">
        <v>1</v>
      </c>
      <c r="Q134" s="1" t="s">
        <v>149</v>
      </c>
      <c r="R134" s="3"/>
      <c r="S134" s="26" t="s">
        <v>1</v>
      </c>
      <c r="T134" s="29" t="s">
        <v>82</v>
      </c>
      <c r="U134" s="3"/>
    </row>
    <row r="135" spans="1:21" ht="43.15">
      <c r="A135" s="24">
        <v>10134</v>
      </c>
      <c r="B135" s="74" t="s">
        <v>346</v>
      </c>
      <c r="C135" s="25">
        <v>45392</v>
      </c>
      <c r="D135" s="14" t="s">
        <v>347</v>
      </c>
      <c r="E135" s="26">
        <v>27</v>
      </c>
      <c r="F135" s="26">
        <v>18</v>
      </c>
      <c r="G135" s="26">
        <v>162</v>
      </c>
      <c r="H135" s="26">
        <v>0</v>
      </c>
      <c r="I135" s="26">
        <v>207</v>
      </c>
      <c r="J135" s="26">
        <v>162</v>
      </c>
      <c r="K135" s="27">
        <v>1</v>
      </c>
      <c r="L135" s="28">
        <v>0</v>
      </c>
      <c r="M135" s="26" t="s">
        <v>79</v>
      </c>
      <c r="N135" s="5" t="s">
        <v>348</v>
      </c>
      <c r="O135" s="36" t="s">
        <v>15</v>
      </c>
      <c r="P135" s="1" t="s">
        <v>80</v>
      </c>
      <c r="Q135" s="1" t="s">
        <v>186</v>
      </c>
      <c r="R135" s="3"/>
      <c r="S135" s="26" t="s">
        <v>1</v>
      </c>
      <c r="T135" s="29" t="s">
        <v>82</v>
      </c>
      <c r="U135" s="3"/>
    </row>
    <row r="136" spans="1:21">
      <c r="A136" s="24">
        <v>10135</v>
      </c>
      <c r="B136" s="74" t="s">
        <v>349</v>
      </c>
      <c r="C136" s="25">
        <v>45392</v>
      </c>
      <c r="D136" s="14" t="s">
        <v>350</v>
      </c>
      <c r="E136" s="26">
        <v>54</v>
      </c>
      <c r="F136" s="26">
        <v>9</v>
      </c>
      <c r="G136" s="26">
        <v>144</v>
      </c>
      <c r="H136" s="26">
        <v>0</v>
      </c>
      <c r="I136" s="26">
        <v>207</v>
      </c>
      <c r="J136" s="26">
        <v>144</v>
      </c>
      <c r="K136" s="27">
        <v>1</v>
      </c>
      <c r="L136" s="28">
        <v>0</v>
      </c>
      <c r="M136" s="26" t="s">
        <v>79</v>
      </c>
      <c r="N136" s="3" t="s">
        <v>350</v>
      </c>
      <c r="O136" s="36" t="s">
        <v>19</v>
      </c>
      <c r="P136" s="1" t="s">
        <v>80</v>
      </c>
      <c r="Q136" s="1" t="s">
        <v>351</v>
      </c>
      <c r="R136" s="3"/>
      <c r="S136" s="26" t="s">
        <v>1</v>
      </c>
      <c r="T136" s="29" t="s">
        <v>82</v>
      </c>
      <c r="U136" s="3"/>
    </row>
    <row r="137" spans="1:21">
      <c r="A137" s="30">
        <v>10136</v>
      </c>
      <c r="B137" s="74" t="s">
        <v>352</v>
      </c>
      <c r="C137" s="25">
        <v>45404</v>
      </c>
      <c r="D137" s="14" t="s">
        <v>196</v>
      </c>
      <c r="E137" s="26">
        <v>9</v>
      </c>
      <c r="F137" s="26">
        <v>9</v>
      </c>
      <c r="G137" s="26">
        <v>189</v>
      </c>
      <c r="H137" s="26">
        <v>0</v>
      </c>
      <c r="I137" s="26">
        <v>207</v>
      </c>
      <c r="J137" s="26">
        <v>189</v>
      </c>
      <c r="K137" s="27">
        <v>1</v>
      </c>
      <c r="L137" s="28">
        <v>0</v>
      </c>
      <c r="M137" s="26" t="s">
        <v>79</v>
      </c>
      <c r="N137" s="3" t="s">
        <v>196</v>
      </c>
      <c r="O137" s="36" t="s">
        <v>19</v>
      </c>
      <c r="P137" s="1" t="s">
        <v>80</v>
      </c>
      <c r="Q137" s="1" t="s">
        <v>197</v>
      </c>
      <c r="R137" s="3"/>
      <c r="S137" s="26" t="s">
        <v>1</v>
      </c>
      <c r="T137" s="29" t="s">
        <v>82</v>
      </c>
      <c r="U137" s="3"/>
    </row>
    <row r="138" spans="1:21">
      <c r="A138" s="24">
        <v>10137</v>
      </c>
      <c r="B138" s="74" t="s">
        <v>353</v>
      </c>
      <c r="C138" s="25">
        <v>45405</v>
      </c>
      <c r="D138" s="14" t="s">
        <v>99</v>
      </c>
      <c r="E138" s="26">
        <v>0</v>
      </c>
      <c r="F138" s="26">
        <v>9</v>
      </c>
      <c r="G138" s="26">
        <v>198</v>
      </c>
      <c r="H138" s="26">
        <v>0</v>
      </c>
      <c r="I138" s="26">
        <v>207</v>
      </c>
      <c r="J138" s="26">
        <v>198</v>
      </c>
      <c r="K138" s="27">
        <v>1</v>
      </c>
      <c r="L138" s="28">
        <v>0</v>
      </c>
      <c r="M138" s="26" t="s">
        <v>79</v>
      </c>
      <c r="N138" s="3" t="s">
        <v>99</v>
      </c>
      <c r="O138" s="36" t="s">
        <v>19</v>
      </c>
      <c r="P138" s="1" t="s">
        <v>80</v>
      </c>
      <c r="Q138" s="1" t="s">
        <v>100</v>
      </c>
      <c r="R138" s="3"/>
      <c r="S138" s="26" t="s">
        <v>1</v>
      </c>
      <c r="T138" s="29" t="s">
        <v>82</v>
      </c>
      <c r="U138" s="3"/>
    </row>
    <row r="139" spans="1:21" ht="28.9">
      <c r="A139" s="24">
        <v>10138</v>
      </c>
      <c r="B139" s="74" t="s">
        <v>354</v>
      </c>
      <c r="C139" s="25">
        <v>45407</v>
      </c>
      <c r="D139" s="14" t="s">
        <v>355</v>
      </c>
      <c r="E139" s="26">
        <v>9</v>
      </c>
      <c r="F139" s="26">
        <v>9</v>
      </c>
      <c r="G139" s="26">
        <v>162</v>
      </c>
      <c r="H139" s="26">
        <v>27</v>
      </c>
      <c r="I139" s="26">
        <v>207</v>
      </c>
      <c r="J139" s="26">
        <v>189</v>
      </c>
      <c r="K139" s="27">
        <v>0.8571428571428571</v>
      </c>
      <c r="L139" s="28">
        <v>0.14285714285714285</v>
      </c>
      <c r="M139" s="26" t="s">
        <v>79</v>
      </c>
      <c r="N139" s="3" t="s">
        <v>356</v>
      </c>
      <c r="O139" s="36" t="s">
        <v>19</v>
      </c>
      <c r="P139" s="1" t="s">
        <v>80</v>
      </c>
      <c r="Q139" s="3" t="s">
        <v>356</v>
      </c>
      <c r="R139" s="3"/>
      <c r="S139" s="26" t="s">
        <v>1</v>
      </c>
      <c r="T139" s="29" t="s">
        <v>82</v>
      </c>
      <c r="U139" s="3"/>
    </row>
    <row r="140" spans="1:21">
      <c r="A140" s="30">
        <v>10139</v>
      </c>
      <c r="B140" s="74" t="s">
        <v>357</v>
      </c>
      <c r="C140" s="25">
        <v>45411</v>
      </c>
      <c r="D140" s="14" t="s">
        <v>121</v>
      </c>
      <c r="E140" s="26">
        <v>0</v>
      </c>
      <c r="F140" s="26">
        <v>9</v>
      </c>
      <c r="G140" s="26">
        <v>0</v>
      </c>
      <c r="H140" s="26">
        <v>198</v>
      </c>
      <c r="I140" s="26">
        <v>207</v>
      </c>
      <c r="J140" s="26">
        <v>198</v>
      </c>
      <c r="K140" s="27">
        <v>0</v>
      </c>
      <c r="L140" s="28">
        <v>1</v>
      </c>
      <c r="M140" s="26" t="s">
        <v>95</v>
      </c>
      <c r="N140" s="62" t="s">
        <v>122</v>
      </c>
      <c r="O140" s="4" t="s">
        <v>234</v>
      </c>
      <c r="P140" s="1" t="s">
        <v>1</v>
      </c>
      <c r="Q140" s="4" t="s">
        <v>234</v>
      </c>
      <c r="R140" s="3"/>
      <c r="S140" s="26" t="s">
        <v>80</v>
      </c>
      <c r="T140" s="29">
        <v>46114</v>
      </c>
      <c r="U140" s="3"/>
    </row>
    <row r="141" spans="1:21">
      <c r="A141" s="24">
        <v>10140</v>
      </c>
      <c r="B141" s="74" t="s">
        <v>358</v>
      </c>
      <c r="C141" s="25">
        <v>45421</v>
      </c>
      <c r="D141" s="14" t="s">
        <v>196</v>
      </c>
      <c r="E141" s="26">
        <v>9</v>
      </c>
      <c r="F141" s="26">
        <v>9</v>
      </c>
      <c r="G141" s="26">
        <v>189</v>
      </c>
      <c r="H141" s="26">
        <v>0</v>
      </c>
      <c r="I141" s="26">
        <v>207</v>
      </c>
      <c r="J141" s="26">
        <v>189</v>
      </c>
      <c r="K141" s="27">
        <v>1</v>
      </c>
      <c r="L141" s="28">
        <v>0</v>
      </c>
      <c r="M141" s="26" t="s">
        <v>79</v>
      </c>
      <c r="N141" s="3" t="s">
        <v>196</v>
      </c>
      <c r="O141" s="36" t="s">
        <v>19</v>
      </c>
      <c r="P141" s="1" t="s">
        <v>80</v>
      </c>
      <c r="Q141" s="1" t="s">
        <v>197</v>
      </c>
      <c r="R141" s="3"/>
      <c r="S141" s="26" t="s">
        <v>1</v>
      </c>
      <c r="T141" s="29" t="s">
        <v>82</v>
      </c>
      <c r="U141" s="3"/>
    </row>
    <row r="142" spans="1:21">
      <c r="A142" s="24">
        <v>10141</v>
      </c>
      <c r="B142" s="74" t="s">
        <v>359</v>
      </c>
      <c r="C142" s="25">
        <v>45427</v>
      </c>
      <c r="D142" s="14" t="s">
        <v>99</v>
      </c>
      <c r="E142" s="26">
        <v>18</v>
      </c>
      <c r="F142" s="26">
        <v>9</v>
      </c>
      <c r="G142" s="26">
        <v>180</v>
      </c>
      <c r="H142" s="26">
        <v>0</v>
      </c>
      <c r="I142" s="26">
        <v>207</v>
      </c>
      <c r="J142" s="26">
        <v>180</v>
      </c>
      <c r="K142" s="27">
        <v>1</v>
      </c>
      <c r="L142" s="28">
        <v>0</v>
      </c>
      <c r="M142" s="26" t="s">
        <v>79</v>
      </c>
      <c r="N142" s="3" t="s">
        <v>99</v>
      </c>
      <c r="O142" s="36" t="s">
        <v>19</v>
      </c>
      <c r="P142" s="1" t="s">
        <v>80</v>
      </c>
      <c r="Q142" s="1" t="s">
        <v>100</v>
      </c>
      <c r="R142" s="3"/>
      <c r="S142" s="26" t="s">
        <v>1</v>
      </c>
      <c r="T142" s="29" t="s">
        <v>82</v>
      </c>
      <c r="U142" s="3"/>
    </row>
    <row r="143" spans="1:21">
      <c r="A143" s="30">
        <v>10142</v>
      </c>
      <c r="B143" s="74" t="s">
        <v>360</v>
      </c>
      <c r="C143" s="25">
        <v>45433</v>
      </c>
      <c r="D143" s="14" t="s">
        <v>106</v>
      </c>
      <c r="E143" s="26">
        <v>18</v>
      </c>
      <c r="F143" s="26">
        <v>9</v>
      </c>
      <c r="G143" s="26">
        <v>180</v>
      </c>
      <c r="H143" s="26">
        <v>0</v>
      </c>
      <c r="I143" s="26">
        <v>207</v>
      </c>
      <c r="J143" s="26">
        <v>180</v>
      </c>
      <c r="K143" s="27">
        <v>1</v>
      </c>
      <c r="L143" s="28">
        <v>0</v>
      </c>
      <c r="M143" s="26" t="s">
        <v>79</v>
      </c>
      <c r="N143" s="3" t="s">
        <v>106</v>
      </c>
      <c r="O143" s="36" t="s">
        <v>19</v>
      </c>
      <c r="P143" s="1" t="s">
        <v>80</v>
      </c>
      <c r="Q143" s="1" t="s">
        <v>107</v>
      </c>
      <c r="R143" s="3"/>
      <c r="S143" s="26" t="s">
        <v>1</v>
      </c>
      <c r="T143" s="29" t="s">
        <v>82</v>
      </c>
      <c r="U143" s="3"/>
    </row>
    <row r="144" spans="1:21">
      <c r="A144" s="24">
        <v>10143</v>
      </c>
      <c r="B144" s="74" t="s">
        <v>361</v>
      </c>
      <c r="C144" s="25">
        <v>45433</v>
      </c>
      <c r="D144" s="14" t="s">
        <v>196</v>
      </c>
      <c r="E144" s="26">
        <v>18</v>
      </c>
      <c r="F144" s="26">
        <v>9</v>
      </c>
      <c r="G144" s="26">
        <v>180</v>
      </c>
      <c r="H144" s="26">
        <v>0</v>
      </c>
      <c r="I144" s="26">
        <v>207</v>
      </c>
      <c r="J144" s="26">
        <v>180</v>
      </c>
      <c r="K144" s="27">
        <v>1</v>
      </c>
      <c r="L144" s="28">
        <v>0</v>
      </c>
      <c r="M144" s="26" t="s">
        <v>79</v>
      </c>
      <c r="N144" s="3" t="s">
        <v>196</v>
      </c>
      <c r="O144" s="36" t="s">
        <v>19</v>
      </c>
      <c r="P144" s="1" t="s">
        <v>80</v>
      </c>
      <c r="Q144" s="1" t="s">
        <v>197</v>
      </c>
      <c r="R144" s="3"/>
      <c r="S144" s="26" t="s">
        <v>1</v>
      </c>
      <c r="T144" s="29" t="s">
        <v>82</v>
      </c>
      <c r="U144" s="3"/>
    </row>
    <row r="145" spans="1:21">
      <c r="A145" s="24">
        <v>10144</v>
      </c>
      <c r="B145" s="74" t="s">
        <v>362</v>
      </c>
      <c r="C145" s="25">
        <v>45439</v>
      </c>
      <c r="D145" s="14" t="s">
        <v>78</v>
      </c>
      <c r="E145" s="26">
        <v>27</v>
      </c>
      <c r="F145" s="26">
        <v>9</v>
      </c>
      <c r="G145" s="26">
        <v>171</v>
      </c>
      <c r="H145" s="26">
        <v>0</v>
      </c>
      <c r="I145" s="26">
        <v>207</v>
      </c>
      <c r="J145" s="26">
        <v>171</v>
      </c>
      <c r="K145" s="27">
        <v>1</v>
      </c>
      <c r="L145" s="28">
        <v>0</v>
      </c>
      <c r="M145" s="26" t="s">
        <v>79</v>
      </c>
      <c r="N145" s="3" t="s">
        <v>78</v>
      </c>
      <c r="O145" s="36" t="s">
        <v>19</v>
      </c>
      <c r="P145" s="1" t="s">
        <v>80</v>
      </c>
      <c r="Q145" s="1" t="s">
        <v>81</v>
      </c>
      <c r="R145" s="3"/>
      <c r="S145" s="26" t="s">
        <v>80</v>
      </c>
      <c r="T145" s="29">
        <v>46024</v>
      </c>
      <c r="U145" s="3"/>
    </row>
    <row r="146" spans="1:21">
      <c r="A146" s="30">
        <v>10145</v>
      </c>
      <c r="B146" s="74" t="s">
        <v>363</v>
      </c>
      <c r="C146" s="25">
        <v>45442</v>
      </c>
      <c r="D146" s="14" t="s">
        <v>129</v>
      </c>
      <c r="E146" s="26">
        <v>49.5</v>
      </c>
      <c r="F146" s="26">
        <v>9</v>
      </c>
      <c r="G146" s="26">
        <v>148.5</v>
      </c>
      <c r="H146" s="26">
        <v>0</v>
      </c>
      <c r="I146" s="26">
        <v>207</v>
      </c>
      <c r="J146" s="26">
        <v>148.5</v>
      </c>
      <c r="K146" s="27">
        <v>1</v>
      </c>
      <c r="L146" s="28">
        <v>0</v>
      </c>
      <c r="M146" s="26" t="s">
        <v>79</v>
      </c>
      <c r="N146" s="62" t="s">
        <v>364</v>
      </c>
      <c r="O146" s="36" t="s">
        <v>15</v>
      </c>
      <c r="P146" s="1" t="s">
        <v>80</v>
      </c>
      <c r="Q146" s="1" t="s">
        <v>130</v>
      </c>
      <c r="R146" s="3"/>
      <c r="S146" s="26" t="s">
        <v>1</v>
      </c>
      <c r="T146" s="29" t="s">
        <v>82</v>
      </c>
      <c r="U146" s="3"/>
    </row>
    <row r="147" spans="1:21">
      <c r="A147" s="24">
        <v>10146</v>
      </c>
      <c r="B147" s="74" t="s">
        <v>365</v>
      </c>
      <c r="C147" s="25">
        <v>45442</v>
      </c>
      <c r="D147" s="14" t="s">
        <v>138</v>
      </c>
      <c r="E147" s="26">
        <v>9</v>
      </c>
      <c r="F147" s="26">
        <v>9</v>
      </c>
      <c r="G147" s="26">
        <v>189</v>
      </c>
      <c r="H147" s="26">
        <v>0</v>
      </c>
      <c r="I147" s="26">
        <v>207</v>
      </c>
      <c r="J147" s="26">
        <v>189</v>
      </c>
      <c r="K147" s="27">
        <v>1</v>
      </c>
      <c r="L147" s="28">
        <v>0</v>
      </c>
      <c r="M147" s="26" t="s">
        <v>79</v>
      </c>
      <c r="N147" s="3" t="s">
        <v>138</v>
      </c>
      <c r="O147" s="36" t="s">
        <v>19</v>
      </c>
      <c r="P147" s="1" t="s">
        <v>80</v>
      </c>
      <c r="Q147" s="1" t="s">
        <v>139</v>
      </c>
      <c r="R147" s="3"/>
      <c r="S147" s="26" t="s">
        <v>1</v>
      </c>
      <c r="T147" s="29" t="s">
        <v>82</v>
      </c>
      <c r="U147" s="3"/>
    </row>
    <row r="148" spans="1:21" ht="43.15">
      <c r="A148" s="24">
        <v>10147</v>
      </c>
      <c r="B148" s="74" t="s">
        <v>366</v>
      </c>
      <c r="C148" s="25">
        <v>45442</v>
      </c>
      <c r="D148" s="14" t="s">
        <v>367</v>
      </c>
      <c r="E148" s="26">
        <v>0</v>
      </c>
      <c r="F148" s="26">
        <v>9</v>
      </c>
      <c r="G148" s="26">
        <v>198</v>
      </c>
      <c r="H148" s="26">
        <v>0</v>
      </c>
      <c r="I148" s="26">
        <v>207</v>
      </c>
      <c r="J148" s="26">
        <v>198</v>
      </c>
      <c r="K148" s="27">
        <v>1</v>
      </c>
      <c r="L148" s="28">
        <v>0</v>
      </c>
      <c r="M148" s="26" t="s">
        <v>79</v>
      </c>
      <c r="N148" s="3" t="s">
        <v>212</v>
      </c>
      <c r="O148" s="36" t="s">
        <v>19</v>
      </c>
      <c r="P148" s="1" t="s">
        <v>80</v>
      </c>
      <c r="Q148" s="1" t="s">
        <v>213</v>
      </c>
      <c r="R148" s="3"/>
      <c r="S148" s="26" t="s">
        <v>1</v>
      </c>
      <c r="T148" s="29" t="s">
        <v>82</v>
      </c>
      <c r="U148" s="3"/>
    </row>
    <row r="149" spans="1:21" ht="43.15">
      <c r="A149" s="30">
        <v>10148</v>
      </c>
      <c r="B149" s="74" t="s">
        <v>368</v>
      </c>
      <c r="C149" s="25">
        <v>45446</v>
      </c>
      <c r="D149" s="14" t="s">
        <v>369</v>
      </c>
      <c r="E149" s="26">
        <v>18</v>
      </c>
      <c r="F149" s="26">
        <v>9</v>
      </c>
      <c r="G149" s="26">
        <v>54</v>
      </c>
      <c r="H149" s="26">
        <v>126</v>
      </c>
      <c r="I149" s="26">
        <v>207</v>
      </c>
      <c r="J149" s="26">
        <v>180</v>
      </c>
      <c r="K149" s="27">
        <v>0.3</v>
      </c>
      <c r="L149" s="28">
        <v>0.7</v>
      </c>
      <c r="M149" s="26" t="s">
        <v>95</v>
      </c>
      <c r="N149" s="37" t="s">
        <v>370</v>
      </c>
      <c r="O149" s="36" t="s">
        <v>19</v>
      </c>
      <c r="P149" s="1" t="s">
        <v>80</v>
      </c>
      <c r="Q149" s="1" t="s">
        <v>100</v>
      </c>
      <c r="R149" s="3"/>
      <c r="S149" s="26" t="s">
        <v>1</v>
      </c>
      <c r="T149" s="29" t="s">
        <v>82</v>
      </c>
      <c r="U149" s="3"/>
    </row>
    <row r="150" spans="1:21" ht="28.9">
      <c r="A150" s="24">
        <v>10149</v>
      </c>
      <c r="B150" s="74" t="s">
        <v>371</v>
      </c>
      <c r="C150" s="25">
        <v>45446</v>
      </c>
      <c r="D150" s="14" t="s">
        <v>372</v>
      </c>
      <c r="E150" s="26">
        <v>27</v>
      </c>
      <c r="F150" s="26">
        <v>9</v>
      </c>
      <c r="G150" s="26">
        <v>171</v>
      </c>
      <c r="H150" s="26">
        <v>0</v>
      </c>
      <c r="I150" s="26">
        <v>207</v>
      </c>
      <c r="J150" s="26">
        <v>171</v>
      </c>
      <c r="K150" s="27">
        <v>1</v>
      </c>
      <c r="L150" s="28">
        <v>0</v>
      </c>
      <c r="M150" s="26" t="s">
        <v>79</v>
      </c>
      <c r="N150" s="37" t="s">
        <v>373</v>
      </c>
      <c r="O150" s="36" t="s">
        <v>19</v>
      </c>
      <c r="P150" s="1" t="s">
        <v>80</v>
      </c>
      <c r="Q150" s="15" t="s">
        <v>374</v>
      </c>
      <c r="R150" s="3"/>
      <c r="S150" s="26" t="s">
        <v>1</v>
      </c>
      <c r="T150" s="29" t="s">
        <v>82</v>
      </c>
      <c r="U150" s="3"/>
    </row>
    <row r="151" spans="1:21">
      <c r="A151" s="24">
        <v>10150</v>
      </c>
      <c r="B151" s="74" t="s">
        <v>375</v>
      </c>
      <c r="C151" s="25">
        <v>45446</v>
      </c>
      <c r="D151" s="14" t="s">
        <v>196</v>
      </c>
      <c r="E151" s="26">
        <v>9</v>
      </c>
      <c r="F151" s="26">
        <v>9</v>
      </c>
      <c r="G151" s="26">
        <v>189</v>
      </c>
      <c r="H151" s="26">
        <v>0</v>
      </c>
      <c r="I151" s="26">
        <v>207</v>
      </c>
      <c r="J151" s="26">
        <v>189</v>
      </c>
      <c r="K151" s="27">
        <v>1</v>
      </c>
      <c r="L151" s="28">
        <v>0</v>
      </c>
      <c r="M151" s="26" t="s">
        <v>79</v>
      </c>
      <c r="N151" s="3" t="s">
        <v>196</v>
      </c>
      <c r="O151" s="36" t="s">
        <v>19</v>
      </c>
      <c r="P151" s="1" t="s">
        <v>80</v>
      </c>
      <c r="Q151" s="1" t="s">
        <v>197</v>
      </c>
      <c r="R151" s="3"/>
      <c r="S151" s="26" t="s">
        <v>1</v>
      </c>
      <c r="T151" s="29" t="s">
        <v>82</v>
      </c>
      <c r="U151" s="3"/>
    </row>
    <row r="152" spans="1:21">
      <c r="A152" s="30">
        <v>10151</v>
      </c>
      <c r="B152" s="74" t="s">
        <v>376</v>
      </c>
      <c r="C152" s="25">
        <v>45447</v>
      </c>
      <c r="D152" s="14" t="s">
        <v>121</v>
      </c>
      <c r="E152" s="26">
        <v>0</v>
      </c>
      <c r="F152" s="26">
        <v>0</v>
      </c>
      <c r="G152" s="26">
        <v>0</v>
      </c>
      <c r="H152" s="26">
        <v>9</v>
      </c>
      <c r="I152" s="26">
        <v>9</v>
      </c>
      <c r="J152" s="26">
        <v>9</v>
      </c>
      <c r="K152" s="27">
        <v>0</v>
      </c>
      <c r="L152" s="28">
        <v>1</v>
      </c>
      <c r="M152" s="26" t="s">
        <v>95</v>
      </c>
      <c r="N152" s="61" t="s">
        <v>122</v>
      </c>
      <c r="O152" s="4" t="s">
        <v>234</v>
      </c>
      <c r="P152" s="1" t="s">
        <v>1</v>
      </c>
      <c r="Q152" s="4" t="s">
        <v>234</v>
      </c>
      <c r="R152" s="3"/>
      <c r="S152" s="26" t="s">
        <v>80</v>
      </c>
      <c r="T152" s="29">
        <v>45992</v>
      </c>
      <c r="U152" s="3"/>
    </row>
    <row r="153" spans="1:21">
      <c r="A153" s="24">
        <v>10152</v>
      </c>
      <c r="B153" s="74" t="s">
        <v>377</v>
      </c>
      <c r="C153" s="25">
        <v>45454</v>
      </c>
      <c r="D153" s="14" t="s">
        <v>290</v>
      </c>
      <c r="E153" s="26">
        <v>9</v>
      </c>
      <c r="F153" s="26">
        <v>9</v>
      </c>
      <c r="G153" s="26">
        <v>189</v>
      </c>
      <c r="H153" s="26">
        <v>0</v>
      </c>
      <c r="I153" s="26">
        <v>207</v>
      </c>
      <c r="J153" s="26">
        <v>189</v>
      </c>
      <c r="K153" s="27">
        <v>1</v>
      </c>
      <c r="L153" s="28">
        <v>0</v>
      </c>
      <c r="M153" s="26" t="s">
        <v>79</v>
      </c>
      <c r="N153" s="3" t="s">
        <v>290</v>
      </c>
      <c r="O153" s="36" t="s">
        <v>19</v>
      </c>
      <c r="P153" s="1" t="s">
        <v>80</v>
      </c>
      <c r="Q153" s="1" t="s">
        <v>291</v>
      </c>
      <c r="R153" s="3"/>
      <c r="S153" s="26" t="s">
        <v>1</v>
      </c>
      <c r="T153" s="29" t="s">
        <v>82</v>
      </c>
      <c r="U153" s="3"/>
    </row>
    <row r="154" spans="1:21">
      <c r="A154" s="24">
        <v>10153</v>
      </c>
      <c r="B154" s="74" t="s">
        <v>378</v>
      </c>
      <c r="C154" s="25">
        <v>45456</v>
      </c>
      <c r="D154" s="14" t="s">
        <v>78</v>
      </c>
      <c r="E154" s="26">
        <v>54</v>
      </c>
      <c r="F154" s="26">
        <v>9</v>
      </c>
      <c r="G154" s="26">
        <v>144</v>
      </c>
      <c r="H154" s="26">
        <v>0</v>
      </c>
      <c r="I154" s="26">
        <v>207</v>
      </c>
      <c r="J154" s="26">
        <v>144</v>
      </c>
      <c r="K154" s="27">
        <v>1</v>
      </c>
      <c r="L154" s="28">
        <v>0</v>
      </c>
      <c r="M154" s="26" t="s">
        <v>79</v>
      </c>
      <c r="N154" s="3" t="s">
        <v>78</v>
      </c>
      <c r="O154" s="36" t="s">
        <v>19</v>
      </c>
      <c r="P154" s="1" t="s">
        <v>80</v>
      </c>
      <c r="Q154" s="1" t="s">
        <v>81</v>
      </c>
      <c r="R154" s="3"/>
      <c r="S154" s="26" t="s">
        <v>1</v>
      </c>
      <c r="T154" s="29" t="s">
        <v>82</v>
      </c>
      <c r="U154" s="3"/>
    </row>
    <row r="155" spans="1:21">
      <c r="A155" s="30">
        <v>10154</v>
      </c>
      <c r="B155" s="74" t="s">
        <v>379</v>
      </c>
      <c r="C155" s="25">
        <v>45460</v>
      </c>
      <c r="D155" s="14" t="s">
        <v>169</v>
      </c>
      <c r="E155" s="26">
        <v>90</v>
      </c>
      <c r="F155" s="26">
        <v>9</v>
      </c>
      <c r="G155" s="26">
        <v>108</v>
      </c>
      <c r="H155" s="26">
        <v>0</v>
      </c>
      <c r="I155" s="26">
        <v>207</v>
      </c>
      <c r="J155" s="26">
        <v>108</v>
      </c>
      <c r="K155" s="27">
        <v>1</v>
      </c>
      <c r="L155" s="28">
        <v>0</v>
      </c>
      <c r="M155" s="26" t="s">
        <v>79</v>
      </c>
      <c r="N155" s="3" t="s">
        <v>169</v>
      </c>
      <c r="O155" s="36" t="s">
        <v>19</v>
      </c>
      <c r="P155" s="1" t="s">
        <v>80</v>
      </c>
      <c r="Q155" s="1" t="s">
        <v>170</v>
      </c>
      <c r="R155" s="3"/>
      <c r="S155" s="26" t="s">
        <v>1</v>
      </c>
      <c r="T155" s="29" t="s">
        <v>82</v>
      </c>
      <c r="U155" s="3"/>
    </row>
    <row r="156" spans="1:21">
      <c r="A156" s="24">
        <v>10155</v>
      </c>
      <c r="B156" s="74" t="s">
        <v>380</v>
      </c>
      <c r="C156" s="25">
        <v>45468</v>
      </c>
      <c r="D156" s="14" t="s">
        <v>135</v>
      </c>
      <c r="E156" s="26">
        <v>31.5</v>
      </c>
      <c r="F156" s="26">
        <v>9</v>
      </c>
      <c r="G156" s="26">
        <v>166.3</v>
      </c>
      <c r="H156" s="26">
        <v>0</v>
      </c>
      <c r="I156" s="26">
        <v>207</v>
      </c>
      <c r="J156" s="26">
        <v>166.5</v>
      </c>
      <c r="K156" s="27">
        <v>0.99879879879879885</v>
      </c>
      <c r="L156" s="28">
        <v>0</v>
      </c>
      <c r="M156" s="26" t="s">
        <v>79</v>
      </c>
      <c r="N156" s="3" t="s">
        <v>135</v>
      </c>
      <c r="O156" s="36" t="s">
        <v>15</v>
      </c>
      <c r="P156" s="1" t="s">
        <v>80</v>
      </c>
      <c r="Q156" s="1" t="s">
        <v>136</v>
      </c>
      <c r="R156" s="3"/>
      <c r="S156" s="26" t="s">
        <v>1</v>
      </c>
      <c r="T156" s="29" t="s">
        <v>82</v>
      </c>
      <c r="U156" s="3"/>
    </row>
    <row r="157" spans="1:21">
      <c r="A157" s="24">
        <v>10156</v>
      </c>
      <c r="B157" s="74" t="s">
        <v>381</v>
      </c>
      <c r="C157" s="25">
        <v>45476</v>
      </c>
      <c r="D157" s="14" t="s">
        <v>99</v>
      </c>
      <c r="E157" s="26">
        <v>18</v>
      </c>
      <c r="F157" s="26">
        <v>9</v>
      </c>
      <c r="G157" s="26">
        <v>180</v>
      </c>
      <c r="H157" s="26">
        <v>0</v>
      </c>
      <c r="I157" s="26">
        <v>207</v>
      </c>
      <c r="J157" s="26">
        <v>180</v>
      </c>
      <c r="K157" s="27">
        <v>1</v>
      </c>
      <c r="L157" s="28">
        <v>0</v>
      </c>
      <c r="M157" s="26" t="s">
        <v>79</v>
      </c>
      <c r="N157" s="3" t="s">
        <v>99</v>
      </c>
      <c r="O157" s="36" t="s">
        <v>19</v>
      </c>
      <c r="P157" s="1" t="s">
        <v>80</v>
      </c>
      <c r="Q157" s="1" t="s">
        <v>100</v>
      </c>
      <c r="R157" s="3"/>
      <c r="S157" s="26" t="s">
        <v>1</v>
      </c>
      <c r="T157" s="29" t="s">
        <v>82</v>
      </c>
      <c r="U157" s="3"/>
    </row>
    <row r="158" spans="1:21" ht="28.9">
      <c r="A158" s="30">
        <v>10157</v>
      </c>
      <c r="B158" s="74" t="s">
        <v>382</v>
      </c>
      <c r="C158" s="25">
        <v>45477</v>
      </c>
      <c r="D158" s="14" t="s">
        <v>383</v>
      </c>
      <c r="E158" s="26">
        <v>31.5</v>
      </c>
      <c r="F158" s="26">
        <v>9</v>
      </c>
      <c r="G158" s="26">
        <v>166.5</v>
      </c>
      <c r="H158" s="26">
        <v>0</v>
      </c>
      <c r="I158" s="26">
        <v>207</v>
      </c>
      <c r="J158" s="26">
        <v>166.5</v>
      </c>
      <c r="K158" s="27">
        <v>1</v>
      </c>
      <c r="L158" s="28">
        <v>0</v>
      </c>
      <c r="M158" s="26" t="s">
        <v>79</v>
      </c>
      <c r="N158" s="14" t="s">
        <v>383</v>
      </c>
      <c r="O158" s="36" t="s">
        <v>19</v>
      </c>
      <c r="P158" s="1" t="s">
        <v>80</v>
      </c>
      <c r="Q158" s="1" t="s">
        <v>384</v>
      </c>
      <c r="R158" s="3"/>
      <c r="S158" s="26" t="s">
        <v>1</v>
      </c>
      <c r="T158" s="29" t="s">
        <v>82</v>
      </c>
      <c r="U158" s="3"/>
    </row>
    <row r="159" spans="1:21">
      <c r="A159" s="24">
        <v>10158</v>
      </c>
      <c r="B159" s="74" t="s">
        <v>385</v>
      </c>
      <c r="C159" s="25">
        <v>45477</v>
      </c>
      <c r="D159" s="14" t="s">
        <v>281</v>
      </c>
      <c r="E159" s="26">
        <v>13.5</v>
      </c>
      <c r="F159" s="26">
        <v>9</v>
      </c>
      <c r="G159" s="26">
        <v>184.5</v>
      </c>
      <c r="H159" s="26">
        <v>0</v>
      </c>
      <c r="I159" s="26">
        <v>207</v>
      </c>
      <c r="J159" s="26">
        <v>184.5</v>
      </c>
      <c r="K159" s="27">
        <v>1</v>
      </c>
      <c r="L159" s="28">
        <v>0</v>
      </c>
      <c r="M159" s="26" t="s">
        <v>79</v>
      </c>
      <c r="N159" s="3" t="s">
        <v>281</v>
      </c>
      <c r="O159" s="36" t="s">
        <v>19</v>
      </c>
      <c r="P159" s="1" t="s">
        <v>1</v>
      </c>
      <c r="Q159" s="1" t="s">
        <v>282</v>
      </c>
      <c r="R159" s="3"/>
      <c r="S159" s="26" t="s">
        <v>1</v>
      </c>
      <c r="T159" s="29" t="s">
        <v>82</v>
      </c>
      <c r="U159" s="3"/>
    </row>
    <row r="160" spans="1:21">
      <c r="A160" s="24">
        <v>10159</v>
      </c>
      <c r="B160" s="74" t="s">
        <v>386</v>
      </c>
      <c r="C160" s="25">
        <v>45478</v>
      </c>
      <c r="D160" s="14" t="s">
        <v>138</v>
      </c>
      <c r="E160" s="26">
        <v>45</v>
      </c>
      <c r="F160" s="26">
        <v>9</v>
      </c>
      <c r="G160" s="26">
        <v>153</v>
      </c>
      <c r="H160" s="26">
        <v>0</v>
      </c>
      <c r="I160" s="26">
        <v>207</v>
      </c>
      <c r="J160" s="26">
        <v>153</v>
      </c>
      <c r="K160" s="27">
        <v>1</v>
      </c>
      <c r="L160" s="28">
        <v>0</v>
      </c>
      <c r="M160" s="26" t="s">
        <v>79</v>
      </c>
      <c r="N160" s="3" t="s">
        <v>138</v>
      </c>
      <c r="O160" s="36" t="s">
        <v>19</v>
      </c>
      <c r="P160" s="1" t="s">
        <v>80</v>
      </c>
      <c r="Q160" s="1" t="s">
        <v>387</v>
      </c>
      <c r="R160" s="3"/>
      <c r="S160" s="26" t="s">
        <v>1</v>
      </c>
      <c r="T160" s="29" t="s">
        <v>82</v>
      </c>
      <c r="U160" s="3"/>
    </row>
    <row r="161" spans="1:21">
      <c r="A161" s="30">
        <v>10160</v>
      </c>
      <c r="B161" s="74" t="s">
        <v>388</v>
      </c>
      <c r="C161" s="25">
        <v>45490</v>
      </c>
      <c r="D161" s="14" t="s">
        <v>281</v>
      </c>
      <c r="E161" s="26">
        <v>0</v>
      </c>
      <c r="F161" s="26">
        <v>0</v>
      </c>
      <c r="G161" s="26">
        <v>90</v>
      </c>
      <c r="H161" s="26">
        <v>0</v>
      </c>
      <c r="I161" s="26">
        <v>90</v>
      </c>
      <c r="J161" s="26">
        <v>90</v>
      </c>
      <c r="K161" s="27">
        <v>1</v>
      </c>
      <c r="L161" s="28">
        <v>0</v>
      </c>
      <c r="M161" s="26" t="s">
        <v>79</v>
      </c>
      <c r="N161" s="3" t="s">
        <v>281</v>
      </c>
      <c r="O161" s="36" t="s">
        <v>19</v>
      </c>
      <c r="P161" s="1" t="s">
        <v>80</v>
      </c>
      <c r="Q161" s="1" t="s">
        <v>282</v>
      </c>
      <c r="R161" s="3"/>
      <c r="S161" s="26" t="s">
        <v>80</v>
      </c>
      <c r="T161" s="29">
        <v>46009</v>
      </c>
      <c r="U161" s="3"/>
    </row>
    <row r="162" spans="1:21" ht="28.9">
      <c r="A162" s="24">
        <v>10161</v>
      </c>
      <c r="B162" s="74" t="s">
        <v>389</v>
      </c>
      <c r="C162" s="25">
        <v>45492</v>
      </c>
      <c r="D162" s="14" t="s">
        <v>344</v>
      </c>
      <c r="E162" s="26">
        <v>49.5</v>
      </c>
      <c r="F162" s="26">
        <v>9</v>
      </c>
      <c r="G162" s="26">
        <v>0</v>
      </c>
      <c r="H162" s="26">
        <v>148.5</v>
      </c>
      <c r="I162" s="26">
        <v>207</v>
      </c>
      <c r="J162" s="26">
        <v>148.5</v>
      </c>
      <c r="K162" s="27">
        <v>0</v>
      </c>
      <c r="L162" s="28">
        <v>1</v>
      </c>
      <c r="M162" s="26" t="s">
        <v>95</v>
      </c>
      <c r="N162" s="62" t="s">
        <v>345</v>
      </c>
      <c r="O162" s="36" t="s">
        <v>9</v>
      </c>
      <c r="P162" s="1" t="s">
        <v>1</v>
      </c>
      <c r="Q162" s="1" t="s">
        <v>149</v>
      </c>
      <c r="R162" s="3"/>
      <c r="S162" s="26" t="s">
        <v>1</v>
      </c>
      <c r="T162" s="29" t="s">
        <v>82</v>
      </c>
      <c r="U162" s="3"/>
    </row>
    <row r="163" spans="1:21" ht="28.9">
      <c r="A163" s="24">
        <v>10162</v>
      </c>
      <c r="B163" s="74" t="s">
        <v>390</v>
      </c>
      <c r="C163" s="25">
        <v>45496</v>
      </c>
      <c r="D163" s="14" t="s">
        <v>330</v>
      </c>
      <c r="E163" s="26">
        <v>27</v>
      </c>
      <c r="F163" s="26">
        <v>9</v>
      </c>
      <c r="G163" s="26">
        <v>90</v>
      </c>
      <c r="H163" s="26">
        <v>81</v>
      </c>
      <c r="I163" s="26">
        <v>207</v>
      </c>
      <c r="J163" s="26">
        <v>171</v>
      </c>
      <c r="K163" s="27">
        <v>0.52631578947368418</v>
      </c>
      <c r="L163" s="28">
        <v>0.47368421052631576</v>
      </c>
      <c r="M163" s="26" t="s">
        <v>95</v>
      </c>
      <c r="N163" s="37" t="s">
        <v>331</v>
      </c>
      <c r="O163" s="36" t="s">
        <v>18</v>
      </c>
      <c r="P163" s="1" t="s">
        <v>1</v>
      </c>
      <c r="Q163" s="1" t="s">
        <v>18</v>
      </c>
      <c r="R163" s="3"/>
      <c r="S163" s="26" t="s">
        <v>1</v>
      </c>
      <c r="T163" s="29" t="s">
        <v>82</v>
      </c>
      <c r="U163" s="3"/>
    </row>
    <row r="164" spans="1:21">
      <c r="A164" s="30">
        <v>10163</v>
      </c>
      <c r="B164" s="74" t="s">
        <v>391</v>
      </c>
      <c r="C164" s="25">
        <v>45498</v>
      </c>
      <c r="D164" s="14" t="s">
        <v>350</v>
      </c>
      <c r="E164" s="26">
        <v>45</v>
      </c>
      <c r="F164" s="26">
        <v>9</v>
      </c>
      <c r="G164" s="26">
        <v>153</v>
      </c>
      <c r="H164" s="26">
        <v>0</v>
      </c>
      <c r="I164" s="26">
        <v>207</v>
      </c>
      <c r="J164" s="26">
        <v>153</v>
      </c>
      <c r="K164" s="27">
        <v>1</v>
      </c>
      <c r="L164" s="28">
        <v>0</v>
      </c>
      <c r="M164" s="26" t="s">
        <v>79</v>
      </c>
      <c r="N164" s="3" t="s">
        <v>350</v>
      </c>
      <c r="O164" s="36" t="s">
        <v>19</v>
      </c>
      <c r="P164" s="1" t="s">
        <v>80</v>
      </c>
      <c r="Q164" s="1" t="s">
        <v>351</v>
      </c>
      <c r="R164" s="3"/>
      <c r="S164" s="26" t="s">
        <v>1</v>
      </c>
      <c r="T164" s="29" t="s">
        <v>82</v>
      </c>
      <c r="U164" s="3"/>
    </row>
    <row r="165" spans="1:21">
      <c r="A165" s="24">
        <v>10164</v>
      </c>
      <c r="B165" s="74" t="s">
        <v>392</v>
      </c>
      <c r="C165" s="25">
        <v>45509</v>
      </c>
      <c r="D165" s="14" t="s">
        <v>196</v>
      </c>
      <c r="E165" s="26">
        <v>0</v>
      </c>
      <c r="F165" s="26">
        <v>9</v>
      </c>
      <c r="G165" s="26">
        <v>198</v>
      </c>
      <c r="H165" s="26">
        <v>0</v>
      </c>
      <c r="I165" s="26">
        <v>207</v>
      </c>
      <c r="J165" s="26">
        <v>198</v>
      </c>
      <c r="K165" s="27">
        <v>1</v>
      </c>
      <c r="L165" s="28">
        <v>0</v>
      </c>
      <c r="M165" s="26" t="s">
        <v>79</v>
      </c>
      <c r="N165" s="3" t="s">
        <v>196</v>
      </c>
      <c r="O165" s="36" t="s">
        <v>19</v>
      </c>
      <c r="P165" s="1" t="s">
        <v>80</v>
      </c>
      <c r="Q165" s="1" t="s">
        <v>197</v>
      </c>
      <c r="R165" s="3"/>
      <c r="S165" s="26" t="s">
        <v>1</v>
      </c>
      <c r="T165" s="29" t="s">
        <v>82</v>
      </c>
      <c r="U165" s="3"/>
    </row>
    <row r="166" spans="1:21">
      <c r="A166" s="24">
        <v>10165</v>
      </c>
      <c r="B166" s="74" t="s">
        <v>393</v>
      </c>
      <c r="C166" s="25">
        <v>45510</v>
      </c>
      <c r="D166" s="14" t="s">
        <v>110</v>
      </c>
      <c r="E166" s="26">
        <v>27</v>
      </c>
      <c r="F166" s="26">
        <v>9</v>
      </c>
      <c r="G166" s="26">
        <v>171</v>
      </c>
      <c r="H166" s="26">
        <v>0</v>
      </c>
      <c r="I166" s="26">
        <v>207</v>
      </c>
      <c r="J166" s="26">
        <v>171</v>
      </c>
      <c r="K166" s="27">
        <v>1</v>
      </c>
      <c r="L166" s="28">
        <v>0</v>
      </c>
      <c r="M166" s="26" t="s">
        <v>79</v>
      </c>
      <c r="N166" s="3" t="s">
        <v>110</v>
      </c>
      <c r="O166" s="36" t="s">
        <v>15</v>
      </c>
      <c r="P166" s="1" t="s">
        <v>80</v>
      </c>
      <c r="Q166" s="1" t="s">
        <v>110</v>
      </c>
      <c r="R166" s="3"/>
      <c r="S166" s="26" t="s">
        <v>1</v>
      </c>
      <c r="T166" s="29" t="s">
        <v>82</v>
      </c>
      <c r="U166" s="3"/>
    </row>
    <row r="167" spans="1:21" ht="43.15">
      <c r="A167" s="30">
        <v>10166</v>
      </c>
      <c r="B167" s="74" t="s">
        <v>394</v>
      </c>
      <c r="C167" s="25">
        <v>45511</v>
      </c>
      <c r="D167" s="14" t="s">
        <v>395</v>
      </c>
      <c r="E167" s="26">
        <v>18</v>
      </c>
      <c r="F167" s="26">
        <v>9</v>
      </c>
      <c r="G167" s="26">
        <v>166.5</v>
      </c>
      <c r="H167" s="26">
        <v>13.5</v>
      </c>
      <c r="I167" s="26">
        <v>207</v>
      </c>
      <c r="J167" s="26">
        <v>180</v>
      </c>
      <c r="K167" s="27">
        <v>0.92500000000000004</v>
      </c>
      <c r="L167" s="28">
        <v>7.4999999999999997E-2</v>
      </c>
      <c r="M167" s="26" t="s">
        <v>79</v>
      </c>
      <c r="N167" s="37" t="s">
        <v>396</v>
      </c>
      <c r="O167" s="36" t="s">
        <v>19</v>
      </c>
      <c r="P167" s="1" t="s">
        <v>80</v>
      </c>
      <c r="Q167" s="15" t="s">
        <v>282</v>
      </c>
      <c r="R167" s="45">
        <v>46000</v>
      </c>
      <c r="S167" s="26" t="s">
        <v>1</v>
      </c>
      <c r="T167" s="29" t="s">
        <v>82</v>
      </c>
      <c r="U167" s="3"/>
    </row>
    <row r="168" spans="1:21">
      <c r="A168" s="24">
        <v>10167</v>
      </c>
      <c r="B168" s="74" t="s">
        <v>397</v>
      </c>
      <c r="C168" s="25">
        <v>45512</v>
      </c>
      <c r="D168" s="14" t="s">
        <v>334</v>
      </c>
      <c r="E168" s="26">
        <v>18</v>
      </c>
      <c r="F168" s="26">
        <v>9</v>
      </c>
      <c r="G168" s="26">
        <v>180</v>
      </c>
      <c r="H168" s="26">
        <v>0</v>
      </c>
      <c r="I168" s="26">
        <v>207</v>
      </c>
      <c r="J168" s="26">
        <v>180</v>
      </c>
      <c r="K168" s="27">
        <v>1</v>
      </c>
      <c r="L168" s="28">
        <v>0</v>
      </c>
      <c r="M168" s="26" t="s">
        <v>79</v>
      </c>
      <c r="N168" s="3" t="s">
        <v>334</v>
      </c>
      <c r="O168" s="36" t="s">
        <v>15</v>
      </c>
      <c r="P168" s="1" t="s">
        <v>80</v>
      </c>
      <c r="Q168" s="1" t="s">
        <v>398</v>
      </c>
      <c r="R168" s="3"/>
      <c r="S168" s="26" t="s">
        <v>80</v>
      </c>
      <c r="T168" s="29">
        <v>46031</v>
      </c>
      <c r="U168" s="3"/>
    </row>
    <row r="169" spans="1:21">
      <c r="A169" s="24">
        <v>10168</v>
      </c>
      <c r="B169" s="74" t="s">
        <v>399</v>
      </c>
      <c r="C169" s="25">
        <v>45518</v>
      </c>
      <c r="D169" s="14" t="s">
        <v>78</v>
      </c>
      <c r="E169" s="26">
        <v>27</v>
      </c>
      <c r="F169" s="26">
        <v>9</v>
      </c>
      <c r="G169" s="26">
        <v>171</v>
      </c>
      <c r="H169" s="26">
        <v>0</v>
      </c>
      <c r="I169" s="26">
        <v>207</v>
      </c>
      <c r="J169" s="26">
        <v>171</v>
      </c>
      <c r="K169" s="27">
        <v>1</v>
      </c>
      <c r="L169" s="28">
        <v>0</v>
      </c>
      <c r="M169" s="26" t="s">
        <v>79</v>
      </c>
      <c r="N169" s="3" t="s">
        <v>78</v>
      </c>
      <c r="O169" s="36" t="s">
        <v>19</v>
      </c>
      <c r="P169" s="1" t="s">
        <v>80</v>
      </c>
      <c r="Q169" s="1" t="s">
        <v>81</v>
      </c>
      <c r="R169" s="3"/>
      <c r="S169" s="26" t="s">
        <v>1</v>
      </c>
      <c r="T169" s="29" t="s">
        <v>82</v>
      </c>
      <c r="U169" s="3"/>
    </row>
    <row r="170" spans="1:21">
      <c r="A170" s="30">
        <v>10169</v>
      </c>
      <c r="B170" s="74" t="s">
        <v>400</v>
      </c>
      <c r="C170" s="25">
        <v>45523</v>
      </c>
      <c r="D170" s="14" t="s">
        <v>84</v>
      </c>
      <c r="E170" s="26">
        <v>18</v>
      </c>
      <c r="F170" s="26">
        <v>9</v>
      </c>
      <c r="G170" s="26">
        <v>180</v>
      </c>
      <c r="H170" s="26">
        <v>0</v>
      </c>
      <c r="I170" s="26">
        <v>207</v>
      </c>
      <c r="J170" s="26">
        <v>180</v>
      </c>
      <c r="K170" s="27">
        <v>1</v>
      </c>
      <c r="L170" s="28">
        <v>0</v>
      </c>
      <c r="M170" s="26" t="s">
        <v>79</v>
      </c>
      <c r="N170" s="3" t="s">
        <v>84</v>
      </c>
      <c r="O170" s="36" t="s">
        <v>15</v>
      </c>
      <c r="P170" s="1" t="s">
        <v>80</v>
      </c>
      <c r="Q170" s="1" t="s">
        <v>85</v>
      </c>
      <c r="R170" s="3"/>
      <c r="S170" s="26" t="s">
        <v>1</v>
      </c>
      <c r="T170" s="29" t="s">
        <v>82</v>
      </c>
      <c r="U170" s="3"/>
    </row>
    <row r="171" spans="1:21">
      <c r="A171" s="24">
        <v>10170</v>
      </c>
      <c r="B171" s="74" t="s">
        <v>401</v>
      </c>
      <c r="C171" s="25">
        <v>45523</v>
      </c>
      <c r="D171" s="14" t="s">
        <v>99</v>
      </c>
      <c r="E171" s="26">
        <v>9</v>
      </c>
      <c r="F171" s="26">
        <v>9</v>
      </c>
      <c r="G171" s="26">
        <v>189</v>
      </c>
      <c r="H171" s="26">
        <v>0</v>
      </c>
      <c r="I171" s="26">
        <v>207</v>
      </c>
      <c r="J171" s="26">
        <v>189</v>
      </c>
      <c r="K171" s="27">
        <v>1</v>
      </c>
      <c r="L171" s="28">
        <v>0</v>
      </c>
      <c r="M171" s="26" t="s">
        <v>79</v>
      </c>
      <c r="N171" s="3" t="s">
        <v>99</v>
      </c>
      <c r="O171" s="36" t="s">
        <v>19</v>
      </c>
      <c r="P171" s="1" t="s">
        <v>80</v>
      </c>
      <c r="Q171" s="1" t="s">
        <v>100</v>
      </c>
      <c r="R171" s="3"/>
      <c r="S171" s="26" t="s">
        <v>1</v>
      </c>
      <c r="T171" s="29" t="s">
        <v>82</v>
      </c>
      <c r="U171" s="3"/>
    </row>
    <row r="172" spans="1:21" ht="28.9">
      <c r="A172" s="24">
        <v>10171</v>
      </c>
      <c r="B172" s="74" t="s">
        <v>402</v>
      </c>
      <c r="C172" s="25">
        <v>45530</v>
      </c>
      <c r="D172" s="14" t="s">
        <v>403</v>
      </c>
      <c r="E172" s="26">
        <v>27</v>
      </c>
      <c r="F172" s="26">
        <v>18</v>
      </c>
      <c r="G172" s="26">
        <v>162</v>
      </c>
      <c r="H172" s="26">
        <v>0</v>
      </c>
      <c r="I172" s="26">
        <v>207</v>
      </c>
      <c r="J172" s="26">
        <v>162</v>
      </c>
      <c r="K172" s="27">
        <v>1</v>
      </c>
      <c r="L172" s="28">
        <v>0</v>
      </c>
      <c r="M172" s="26" t="s">
        <v>79</v>
      </c>
      <c r="N172" s="14" t="s">
        <v>403</v>
      </c>
      <c r="O172" s="36" t="s">
        <v>15</v>
      </c>
      <c r="P172" s="1" t="s">
        <v>80</v>
      </c>
      <c r="Q172" s="1" t="s">
        <v>404</v>
      </c>
      <c r="R172" s="3"/>
      <c r="S172" s="26" t="s">
        <v>1</v>
      </c>
      <c r="T172" s="29" t="s">
        <v>82</v>
      </c>
      <c r="U172" s="3"/>
    </row>
    <row r="173" spans="1:21">
      <c r="A173" s="30">
        <v>10172</v>
      </c>
      <c r="B173" s="74" t="s">
        <v>405</v>
      </c>
      <c r="C173" s="25">
        <v>45531</v>
      </c>
      <c r="D173" s="14" t="s">
        <v>406</v>
      </c>
      <c r="E173" s="26">
        <v>81</v>
      </c>
      <c r="F173" s="26">
        <v>18</v>
      </c>
      <c r="G173" s="26">
        <v>108</v>
      </c>
      <c r="H173" s="26">
        <v>0</v>
      </c>
      <c r="I173" s="26">
        <v>207</v>
      </c>
      <c r="J173" s="26">
        <v>108</v>
      </c>
      <c r="K173" s="27">
        <v>1</v>
      </c>
      <c r="L173" s="28">
        <v>0</v>
      </c>
      <c r="M173" s="26" t="s">
        <v>79</v>
      </c>
      <c r="N173" s="3" t="s">
        <v>406</v>
      </c>
      <c r="O173" s="36" t="s">
        <v>19</v>
      </c>
      <c r="P173" s="1" t="s">
        <v>80</v>
      </c>
      <c r="Q173" s="1" t="s">
        <v>407</v>
      </c>
      <c r="R173" s="3"/>
      <c r="S173" s="26" t="s">
        <v>1</v>
      </c>
      <c r="T173" s="29" t="s">
        <v>82</v>
      </c>
      <c r="U173" s="3"/>
    </row>
    <row r="174" spans="1:21">
      <c r="A174" s="24">
        <v>10173</v>
      </c>
      <c r="B174" s="74" t="s">
        <v>408</v>
      </c>
      <c r="C174" s="25">
        <v>45533</v>
      </c>
      <c r="D174" s="14" t="s">
        <v>121</v>
      </c>
      <c r="E174" s="26">
        <v>0</v>
      </c>
      <c r="F174" s="26">
        <v>9</v>
      </c>
      <c r="G174" s="26">
        <v>0</v>
      </c>
      <c r="H174" s="26">
        <v>198</v>
      </c>
      <c r="I174" s="26">
        <v>207</v>
      </c>
      <c r="J174" s="26">
        <v>198</v>
      </c>
      <c r="K174" s="27">
        <v>0</v>
      </c>
      <c r="L174" s="28">
        <v>1</v>
      </c>
      <c r="M174" s="26" t="s">
        <v>95</v>
      </c>
      <c r="N174" s="62" t="s">
        <v>122</v>
      </c>
      <c r="O174" s="4" t="s">
        <v>234</v>
      </c>
      <c r="P174" s="1" t="s">
        <v>1</v>
      </c>
      <c r="Q174" s="4" t="s">
        <v>234</v>
      </c>
      <c r="R174" s="3"/>
      <c r="S174" s="26" t="s">
        <v>80</v>
      </c>
      <c r="T174" s="29">
        <v>46113</v>
      </c>
      <c r="U174" s="3"/>
    </row>
    <row r="175" spans="1:21" ht="28.9">
      <c r="A175" s="24">
        <v>10174</v>
      </c>
      <c r="B175" s="74" t="s">
        <v>409</v>
      </c>
      <c r="C175" s="25">
        <v>45533</v>
      </c>
      <c r="D175" s="14" t="s">
        <v>410</v>
      </c>
      <c r="E175" s="26">
        <v>36</v>
      </c>
      <c r="F175" s="26">
        <v>18</v>
      </c>
      <c r="G175" s="26">
        <v>90</v>
      </c>
      <c r="H175" s="26">
        <v>63</v>
      </c>
      <c r="I175" s="26">
        <v>207</v>
      </c>
      <c r="J175" s="26">
        <v>153</v>
      </c>
      <c r="K175" s="27">
        <v>0.58823529411764708</v>
      </c>
      <c r="L175" s="28">
        <v>0.41176470588235292</v>
      </c>
      <c r="M175" s="26" t="s">
        <v>95</v>
      </c>
      <c r="N175" s="37" t="s">
        <v>411</v>
      </c>
      <c r="O175" s="36" t="s">
        <v>10</v>
      </c>
      <c r="P175" s="1" t="s">
        <v>1</v>
      </c>
      <c r="Q175" s="1" t="s">
        <v>10</v>
      </c>
      <c r="R175" s="3"/>
      <c r="S175" s="26" t="s">
        <v>1</v>
      </c>
      <c r="T175" s="29" t="s">
        <v>82</v>
      </c>
      <c r="U175" s="3"/>
    </row>
    <row r="176" spans="1:21">
      <c r="A176" s="30">
        <v>10175</v>
      </c>
      <c r="B176" s="74" t="s">
        <v>412</v>
      </c>
      <c r="C176" s="25">
        <v>45534</v>
      </c>
      <c r="D176" s="14" t="s">
        <v>138</v>
      </c>
      <c r="E176" s="26">
        <v>27</v>
      </c>
      <c r="F176" s="26">
        <v>9</v>
      </c>
      <c r="G176" s="26">
        <v>171</v>
      </c>
      <c r="H176" s="26">
        <v>0</v>
      </c>
      <c r="I176" s="26">
        <v>207</v>
      </c>
      <c r="J176" s="26">
        <v>171</v>
      </c>
      <c r="K176" s="27">
        <v>1</v>
      </c>
      <c r="L176" s="28">
        <v>0</v>
      </c>
      <c r="M176" s="26" t="s">
        <v>79</v>
      </c>
      <c r="N176" s="3" t="s">
        <v>138</v>
      </c>
      <c r="O176" s="36" t="s">
        <v>19</v>
      </c>
      <c r="P176" s="1" t="s">
        <v>80</v>
      </c>
      <c r="Q176" s="1" t="s">
        <v>387</v>
      </c>
      <c r="R176" s="3"/>
      <c r="S176" s="26" t="s">
        <v>80</v>
      </c>
      <c r="T176" s="29">
        <v>46089</v>
      </c>
      <c r="U176" s="3"/>
    </row>
    <row r="177" spans="1:21">
      <c r="A177" s="24">
        <v>10176</v>
      </c>
      <c r="B177" s="74" t="s">
        <v>413</v>
      </c>
      <c r="C177" s="25">
        <v>45534</v>
      </c>
      <c r="D177" s="14" t="s">
        <v>188</v>
      </c>
      <c r="E177" s="26">
        <v>0</v>
      </c>
      <c r="F177" s="26">
        <v>0</v>
      </c>
      <c r="G177" s="26">
        <v>72</v>
      </c>
      <c r="H177" s="26">
        <v>0</v>
      </c>
      <c r="I177" s="26">
        <v>72</v>
      </c>
      <c r="J177" s="26">
        <v>72</v>
      </c>
      <c r="K177" s="27">
        <v>1</v>
      </c>
      <c r="L177" s="28">
        <v>0</v>
      </c>
      <c r="M177" s="26" t="s">
        <v>79</v>
      </c>
      <c r="N177" s="3" t="s">
        <v>188</v>
      </c>
      <c r="O177" s="36" t="s">
        <v>19</v>
      </c>
      <c r="P177" s="1" t="s">
        <v>80</v>
      </c>
      <c r="Q177" s="1" t="s">
        <v>189</v>
      </c>
      <c r="R177" s="3"/>
      <c r="S177" s="26" t="s">
        <v>80</v>
      </c>
      <c r="T177" s="29">
        <v>46001</v>
      </c>
      <c r="U177" s="3"/>
    </row>
    <row r="178" spans="1:21">
      <c r="A178" s="24">
        <v>10177</v>
      </c>
      <c r="B178" s="74" t="s">
        <v>414</v>
      </c>
      <c r="C178" s="25">
        <v>45537</v>
      </c>
      <c r="D178" s="14" t="s">
        <v>121</v>
      </c>
      <c r="E178" s="26">
        <v>0</v>
      </c>
      <c r="F178" s="26">
        <v>0</v>
      </c>
      <c r="G178" s="26">
        <v>0</v>
      </c>
      <c r="H178" s="26">
        <v>45</v>
      </c>
      <c r="I178" s="26">
        <v>45</v>
      </c>
      <c r="J178" s="26">
        <v>45</v>
      </c>
      <c r="K178" s="27">
        <v>0</v>
      </c>
      <c r="L178" s="28">
        <v>1</v>
      </c>
      <c r="M178" s="26" t="s">
        <v>95</v>
      </c>
      <c r="N178" s="62" t="s">
        <v>122</v>
      </c>
      <c r="O178" s="4" t="s">
        <v>234</v>
      </c>
      <c r="P178" s="1" t="s">
        <v>1</v>
      </c>
      <c r="Q178" s="4" t="s">
        <v>234</v>
      </c>
      <c r="R178" s="3"/>
      <c r="S178" s="26" t="s">
        <v>80</v>
      </c>
      <c r="T178" s="29">
        <v>45999</v>
      </c>
      <c r="U178" s="3"/>
    </row>
    <row r="179" spans="1:21">
      <c r="A179" s="30">
        <v>10178</v>
      </c>
      <c r="B179" s="74" t="s">
        <v>415</v>
      </c>
      <c r="C179" s="25">
        <v>45538</v>
      </c>
      <c r="D179" s="14" t="s">
        <v>129</v>
      </c>
      <c r="E179" s="26">
        <v>54</v>
      </c>
      <c r="F179" s="26">
        <v>9</v>
      </c>
      <c r="G179" s="26">
        <v>144</v>
      </c>
      <c r="H179" s="26">
        <v>0</v>
      </c>
      <c r="I179" s="26">
        <v>207</v>
      </c>
      <c r="J179" s="26">
        <v>144</v>
      </c>
      <c r="K179" s="27">
        <v>1</v>
      </c>
      <c r="L179" s="28">
        <v>0</v>
      </c>
      <c r="M179" s="26" t="s">
        <v>79</v>
      </c>
      <c r="N179" s="3" t="s">
        <v>129</v>
      </c>
      <c r="O179" s="36" t="s">
        <v>15</v>
      </c>
      <c r="P179" s="1" t="s">
        <v>80</v>
      </c>
      <c r="Q179" s="1" t="s">
        <v>130</v>
      </c>
      <c r="R179" s="3"/>
      <c r="S179" s="26" t="s">
        <v>1</v>
      </c>
      <c r="T179" s="29" t="s">
        <v>82</v>
      </c>
      <c r="U179" s="3"/>
    </row>
    <row r="180" spans="1:21" ht="28.9">
      <c r="A180" s="24">
        <v>10179</v>
      </c>
      <c r="B180" s="74" t="s">
        <v>416</v>
      </c>
      <c r="C180" s="25">
        <v>45551</v>
      </c>
      <c r="D180" s="14" t="s">
        <v>383</v>
      </c>
      <c r="E180" s="26">
        <v>9</v>
      </c>
      <c r="F180" s="26">
        <v>9</v>
      </c>
      <c r="G180" s="26">
        <v>189</v>
      </c>
      <c r="H180" s="26">
        <v>0</v>
      </c>
      <c r="I180" s="26">
        <v>207</v>
      </c>
      <c r="J180" s="26">
        <v>189</v>
      </c>
      <c r="K180" s="27">
        <v>1</v>
      </c>
      <c r="L180" s="28">
        <v>0</v>
      </c>
      <c r="M180" s="26" t="s">
        <v>79</v>
      </c>
      <c r="N180" s="3" t="s">
        <v>383</v>
      </c>
      <c r="O180" s="36" t="s">
        <v>19</v>
      </c>
      <c r="P180" s="1" t="s">
        <v>80</v>
      </c>
      <c r="Q180" s="1" t="s">
        <v>384</v>
      </c>
      <c r="R180" s="3"/>
      <c r="S180" s="26" t="s">
        <v>1</v>
      </c>
      <c r="T180" s="29" t="s">
        <v>82</v>
      </c>
      <c r="U180" s="3"/>
    </row>
    <row r="181" spans="1:21" ht="28.9">
      <c r="A181" s="24">
        <v>10180</v>
      </c>
      <c r="B181" s="74" t="s">
        <v>417</v>
      </c>
      <c r="C181" s="25">
        <v>45551</v>
      </c>
      <c r="D181" s="14" t="s">
        <v>418</v>
      </c>
      <c r="E181" s="26">
        <v>27</v>
      </c>
      <c r="F181" s="26">
        <v>18</v>
      </c>
      <c r="G181" s="26">
        <v>90</v>
      </c>
      <c r="H181" s="26">
        <v>72</v>
      </c>
      <c r="I181" s="26">
        <v>207</v>
      </c>
      <c r="J181" s="26">
        <v>162</v>
      </c>
      <c r="K181" s="27">
        <v>0.55555555555555558</v>
      </c>
      <c r="L181" s="28">
        <v>0.44444444444444442</v>
      </c>
      <c r="M181" s="26" t="s">
        <v>95</v>
      </c>
      <c r="N181" s="37" t="s">
        <v>419</v>
      </c>
      <c r="O181" s="36" t="s">
        <v>19</v>
      </c>
      <c r="P181" s="1" t="s">
        <v>80</v>
      </c>
      <c r="Q181" s="1" t="s">
        <v>209</v>
      </c>
      <c r="R181" s="3"/>
      <c r="S181" s="26" t="s">
        <v>1</v>
      </c>
      <c r="T181" s="29" t="s">
        <v>82</v>
      </c>
      <c r="U181" s="3"/>
    </row>
    <row r="182" spans="1:21">
      <c r="A182" s="30">
        <v>10181</v>
      </c>
      <c r="B182" s="74" t="s">
        <v>420</v>
      </c>
      <c r="C182" s="25">
        <v>45552</v>
      </c>
      <c r="D182" s="14" t="s">
        <v>121</v>
      </c>
      <c r="E182" s="26">
        <v>0</v>
      </c>
      <c r="F182" s="26">
        <v>0</v>
      </c>
      <c r="G182" s="26">
        <v>0</v>
      </c>
      <c r="H182" s="26">
        <v>54</v>
      </c>
      <c r="I182" s="26">
        <v>54</v>
      </c>
      <c r="J182" s="26">
        <v>54</v>
      </c>
      <c r="K182" s="27">
        <v>0</v>
      </c>
      <c r="L182" s="28">
        <v>1</v>
      </c>
      <c r="M182" s="26" t="s">
        <v>95</v>
      </c>
      <c r="N182" s="62" t="s">
        <v>122</v>
      </c>
      <c r="O182" s="4" t="s">
        <v>234</v>
      </c>
      <c r="P182" s="1" t="s">
        <v>1</v>
      </c>
      <c r="Q182" s="4" t="s">
        <v>234</v>
      </c>
      <c r="R182" s="3"/>
      <c r="S182" s="26" t="s">
        <v>80</v>
      </c>
      <c r="T182" s="29">
        <v>45999</v>
      </c>
      <c r="U182" s="3"/>
    </row>
    <row r="183" spans="1:21">
      <c r="A183" s="24">
        <v>10182</v>
      </c>
      <c r="B183" s="74" t="s">
        <v>421</v>
      </c>
      <c r="C183" s="25">
        <v>45558</v>
      </c>
      <c r="D183" s="14" t="s">
        <v>188</v>
      </c>
      <c r="E183" s="26">
        <v>36</v>
      </c>
      <c r="F183" s="26">
        <v>18</v>
      </c>
      <c r="G183" s="26">
        <v>153</v>
      </c>
      <c r="H183" s="26">
        <v>0</v>
      </c>
      <c r="I183" s="26">
        <v>207</v>
      </c>
      <c r="J183" s="26">
        <v>153</v>
      </c>
      <c r="K183" s="27">
        <v>1</v>
      </c>
      <c r="L183" s="28">
        <v>0</v>
      </c>
      <c r="M183" s="26" t="s">
        <v>79</v>
      </c>
      <c r="N183" s="3" t="s">
        <v>188</v>
      </c>
      <c r="O183" s="36" t="s">
        <v>19</v>
      </c>
      <c r="P183" s="1" t="s">
        <v>80</v>
      </c>
      <c r="Q183" s="1" t="s">
        <v>189</v>
      </c>
      <c r="R183" s="3"/>
      <c r="S183" s="26" t="s">
        <v>1</v>
      </c>
      <c r="T183" s="29" t="s">
        <v>82</v>
      </c>
      <c r="U183" s="3"/>
    </row>
    <row r="184" spans="1:21" ht="57.6">
      <c r="A184" s="24">
        <v>10183</v>
      </c>
      <c r="B184" s="74" t="s">
        <v>422</v>
      </c>
      <c r="C184" s="25">
        <v>45561</v>
      </c>
      <c r="D184" s="14" t="s">
        <v>423</v>
      </c>
      <c r="E184" s="26">
        <v>9</v>
      </c>
      <c r="F184" s="26">
        <v>9</v>
      </c>
      <c r="G184" s="26">
        <v>157.5</v>
      </c>
      <c r="H184" s="26">
        <v>31.5</v>
      </c>
      <c r="I184" s="26">
        <v>207</v>
      </c>
      <c r="J184" s="26">
        <v>189</v>
      </c>
      <c r="K184" s="27">
        <v>0.83333333333333337</v>
      </c>
      <c r="L184" s="28">
        <v>0.16666666666666666</v>
      </c>
      <c r="M184" s="26" t="s">
        <v>95</v>
      </c>
      <c r="N184" s="37" t="s">
        <v>424</v>
      </c>
      <c r="O184" s="36" t="s">
        <v>15</v>
      </c>
      <c r="P184" s="1" t="s">
        <v>80</v>
      </c>
      <c r="Q184" s="1" t="s">
        <v>116</v>
      </c>
      <c r="R184" s="3"/>
      <c r="S184" s="26" t="s">
        <v>1</v>
      </c>
      <c r="T184" s="29" t="s">
        <v>82</v>
      </c>
      <c r="U184" s="3"/>
    </row>
    <row r="185" spans="1:21">
      <c r="A185" s="30">
        <v>10184</v>
      </c>
      <c r="B185" s="74" t="s">
        <v>425</v>
      </c>
      <c r="C185" s="25">
        <v>45562</v>
      </c>
      <c r="D185" s="14" t="s">
        <v>196</v>
      </c>
      <c r="E185" s="26">
        <v>9</v>
      </c>
      <c r="F185" s="26">
        <v>9</v>
      </c>
      <c r="G185" s="26">
        <v>189</v>
      </c>
      <c r="H185" s="26">
        <v>0</v>
      </c>
      <c r="I185" s="26">
        <v>207</v>
      </c>
      <c r="J185" s="26">
        <v>189</v>
      </c>
      <c r="K185" s="27">
        <v>1</v>
      </c>
      <c r="L185" s="28">
        <v>0</v>
      </c>
      <c r="M185" s="26" t="s">
        <v>79</v>
      </c>
      <c r="N185" s="3" t="s">
        <v>196</v>
      </c>
      <c r="O185" s="36" t="s">
        <v>19</v>
      </c>
      <c r="P185" s="1" t="s">
        <v>80</v>
      </c>
      <c r="Q185" s="1" t="s">
        <v>197</v>
      </c>
      <c r="R185" s="3"/>
      <c r="S185" s="26" t="s">
        <v>1</v>
      </c>
      <c r="T185" s="29" t="s">
        <v>82</v>
      </c>
      <c r="U185" s="3"/>
    </row>
    <row r="186" spans="1:21">
      <c r="A186" s="24">
        <v>10185</v>
      </c>
      <c r="B186" s="74" t="s">
        <v>426</v>
      </c>
      <c r="C186" s="25">
        <v>45565</v>
      </c>
      <c r="D186" s="14" t="s">
        <v>99</v>
      </c>
      <c r="E186" s="26">
        <v>27</v>
      </c>
      <c r="F186" s="26">
        <v>9</v>
      </c>
      <c r="G186" s="26">
        <v>171</v>
      </c>
      <c r="H186" s="26">
        <v>0</v>
      </c>
      <c r="I186" s="26">
        <v>207</v>
      </c>
      <c r="J186" s="26">
        <v>171</v>
      </c>
      <c r="K186" s="27">
        <v>1</v>
      </c>
      <c r="L186" s="28">
        <v>0</v>
      </c>
      <c r="M186" s="26" t="s">
        <v>79</v>
      </c>
      <c r="N186" s="3" t="s">
        <v>99</v>
      </c>
      <c r="O186" s="36" t="s">
        <v>19</v>
      </c>
      <c r="P186" s="1" t="s">
        <v>80</v>
      </c>
      <c r="Q186" s="1" t="s">
        <v>100</v>
      </c>
      <c r="R186" s="3"/>
      <c r="S186" s="26" t="s">
        <v>1</v>
      </c>
      <c r="T186" s="29" t="s">
        <v>82</v>
      </c>
      <c r="U186" s="3"/>
    </row>
    <row r="187" spans="1:21">
      <c r="A187" s="24">
        <v>10186</v>
      </c>
      <c r="B187" s="74" t="s">
        <v>427</v>
      </c>
      <c r="C187" s="25">
        <v>45572</v>
      </c>
      <c r="D187" s="14" t="s">
        <v>428</v>
      </c>
      <c r="E187" s="26">
        <v>22.5</v>
      </c>
      <c r="F187" s="26">
        <v>9</v>
      </c>
      <c r="G187" s="26">
        <v>175.5</v>
      </c>
      <c r="H187" s="26">
        <v>0</v>
      </c>
      <c r="I187" s="26">
        <v>207</v>
      </c>
      <c r="J187" s="26">
        <v>175.5</v>
      </c>
      <c r="K187" s="27">
        <v>1</v>
      </c>
      <c r="L187" s="28">
        <v>0</v>
      </c>
      <c r="M187" s="26" t="s">
        <v>79</v>
      </c>
      <c r="N187" s="3" t="s">
        <v>428</v>
      </c>
      <c r="O187" s="36" t="s">
        <v>19</v>
      </c>
      <c r="P187" s="1" t="s">
        <v>80</v>
      </c>
      <c r="Q187" s="1" t="s">
        <v>429</v>
      </c>
      <c r="R187" s="3"/>
      <c r="S187" s="26" t="s">
        <v>1</v>
      </c>
      <c r="T187" s="29" t="s">
        <v>82</v>
      </c>
      <c r="U187" s="3"/>
    </row>
    <row r="188" spans="1:21">
      <c r="A188" s="30">
        <v>10187</v>
      </c>
      <c r="B188" s="74" t="s">
        <v>430</v>
      </c>
      <c r="C188" s="25">
        <v>45579</v>
      </c>
      <c r="D188" s="14" t="s">
        <v>78</v>
      </c>
      <c r="E188" s="26">
        <v>0</v>
      </c>
      <c r="F188" s="26">
        <v>0</v>
      </c>
      <c r="G188" s="26">
        <v>90</v>
      </c>
      <c r="H188" s="26">
        <v>0</v>
      </c>
      <c r="I188" s="26">
        <v>90</v>
      </c>
      <c r="J188" s="26">
        <v>90</v>
      </c>
      <c r="K188" s="27">
        <v>1</v>
      </c>
      <c r="L188" s="28">
        <v>0</v>
      </c>
      <c r="M188" s="26" t="s">
        <v>79</v>
      </c>
      <c r="N188" s="3" t="s">
        <v>78</v>
      </c>
      <c r="O188" s="36" t="s">
        <v>19</v>
      </c>
      <c r="P188" s="1" t="s">
        <v>80</v>
      </c>
      <c r="Q188" s="1" t="s">
        <v>81</v>
      </c>
      <c r="R188" s="3"/>
      <c r="S188" s="26" t="s">
        <v>80</v>
      </c>
      <c r="T188" s="29">
        <v>46006</v>
      </c>
      <c r="U188" s="3"/>
    </row>
    <row r="189" spans="1:21">
      <c r="A189" s="24">
        <v>10188</v>
      </c>
      <c r="B189" s="74" t="s">
        <v>431</v>
      </c>
      <c r="C189" s="25">
        <v>45580</v>
      </c>
      <c r="D189" s="14" t="s">
        <v>196</v>
      </c>
      <c r="E189" s="26">
        <v>0</v>
      </c>
      <c r="F189" s="26">
        <v>9</v>
      </c>
      <c r="G189" s="26">
        <v>198</v>
      </c>
      <c r="H189" s="26">
        <v>0</v>
      </c>
      <c r="I189" s="26">
        <v>207</v>
      </c>
      <c r="J189" s="26">
        <v>198</v>
      </c>
      <c r="K189" s="27">
        <v>1</v>
      </c>
      <c r="L189" s="28">
        <v>0</v>
      </c>
      <c r="M189" s="26" t="s">
        <v>79</v>
      </c>
      <c r="N189" s="3" t="s">
        <v>196</v>
      </c>
      <c r="O189" s="36" t="s">
        <v>19</v>
      </c>
      <c r="P189" s="1" t="s">
        <v>80</v>
      </c>
      <c r="Q189" s="1" t="s">
        <v>197</v>
      </c>
      <c r="R189" s="3"/>
      <c r="S189" s="26" t="s">
        <v>1</v>
      </c>
      <c r="T189" s="29" t="s">
        <v>82</v>
      </c>
      <c r="U189" s="3"/>
    </row>
    <row r="190" spans="1:21">
      <c r="A190" s="24">
        <v>10189</v>
      </c>
      <c r="B190" s="74" t="s">
        <v>432</v>
      </c>
      <c r="C190" s="25">
        <v>45583</v>
      </c>
      <c r="D190" s="14" t="s">
        <v>433</v>
      </c>
      <c r="E190" s="26">
        <v>45</v>
      </c>
      <c r="F190" s="26">
        <v>9</v>
      </c>
      <c r="G190" s="26">
        <v>153</v>
      </c>
      <c r="H190" s="26">
        <v>0</v>
      </c>
      <c r="I190" s="26">
        <v>207</v>
      </c>
      <c r="J190" s="26">
        <v>153</v>
      </c>
      <c r="K190" s="27">
        <v>1</v>
      </c>
      <c r="L190" s="28">
        <v>0</v>
      </c>
      <c r="M190" s="26" t="s">
        <v>79</v>
      </c>
      <c r="N190" s="3" t="s">
        <v>433</v>
      </c>
      <c r="O190" s="36" t="s">
        <v>19</v>
      </c>
      <c r="P190" s="1" t="s">
        <v>80</v>
      </c>
      <c r="Q190" s="1" t="s">
        <v>434</v>
      </c>
      <c r="R190" s="3"/>
      <c r="S190" s="26" t="s">
        <v>1</v>
      </c>
      <c r="T190" s="29" t="s">
        <v>82</v>
      </c>
      <c r="U190" s="3"/>
    </row>
    <row r="191" spans="1:21">
      <c r="A191" s="30">
        <v>10190</v>
      </c>
      <c r="B191" s="74" t="s">
        <v>435</v>
      </c>
      <c r="C191" s="25">
        <v>45586</v>
      </c>
      <c r="D191" s="14" t="s">
        <v>196</v>
      </c>
      <c r="E191" s="26">
        <v>0</v>
      </c>
      <c r="F191" s="26">
        <v>9</v>
      </c>
      <c r="G191" s="26">
        <v>198</v>
      </c>
      <c r="H191" s="26">
        <v>0</v>
      </c>
      <c r="I191" s="26">
        <v>207</v>
      </c>
      <c r="J191" s="26">
        <v>198</v>
      </c>
      <c r="K191" s="27">
        <v>1</v>
      </c>
      <c r="L191" s="28">
        <v>0</v>
      </c>
      <c r="M191" s="26" t="s">
        <v>79</v>
      </c>
      <c r="N191" s="3" t="s">
        <v>196</v>
      </c>
      <c r="O191" s="36" t="s">
        <v>19</v>
      </c>
      <c r="P191" s="1" t="s">
        <v>80</v>
      </c>
      <c r="Q191" s="1" t="s">
        <v>197</v>
      </c>
      <c r="R191" s="3"/>
      <c r="S191" s="26" t="s">
        <v>1</v>
      </c>
      <c r="T191" s="29" t="s">
        <v>82</v>
      </c>
      <c r="U191" s="3"/>
    </row>
    <row r="192" spans="1:21">
      <c r="A192" s="24">
        <v>10191</v>
      </c>
      <c r="B192" s="74" t="s">
        <v>436</v>
      </c>
      <c r="C192" s="25">
        <v>45588</v>
      </c>
      <c r="D192" s="14" t="s">
        <v>196</v>
      </c>
      <c r="E192" s="26">
        <v>0</v>
      </c>
      <c r="F192" s="26">
        <v>9</v>
      </c>
      <c r="G192" s="26">
        <v>198</v>
      </c>
      <c r="H192" s="26">
        <v>0</v>
      </c>
      <c r="I192" s="26">
        <v>207</v>
      </c>
      <c r="J192" s="26">
        <v>198</v>
      </c>
      <c r="K192" s="27">
        <v>1</v>
      </c>
      <c r="L192" s="28">
        <v>0</v>
      </c>
      <c r="M192" s="26" t="s">
        <v>79</v>
      </c>
      <c r="N192" s="3" t="s">
        <v>196</v>
      </c>
      <c r="O192" s="36" t="s">
        <v>19</v>
      </c>
      <c r="P192" s="1" t="s">
        <v>80</v>
      </c>
      <c r="Q192" s="1" t="s">
        <v>197</v>
      </c>
      <c r="R192" s="3"/>
      <c r="S192" s="26" t="s">
        <v>1</v>
      </c>
      <c r="T192" s="29" t="s">
        <v>82</v>
      </c>
      <c r="U192" s="3"/>
    </row>
    <row r="193" spans="1:21">
      <c r="A193" s="24">
        <v>10192</v>
      </c>
      <c r="B193" s="74" t="s">
        <v>437</v>
      </c>
      <c r="C193" s="25">
        <v>45600</v>
      </c>
      <c r="D193" s="14" t="s">
        <v>138</v>
      </c>
      <c r="E193" s="26">
        <v>63</v>
      </c>
      <c r="F193" s="26">
        <v>9</v>
      </c>
      <c r="G193" s="26">
        <v>135</v>
      </c>
      <c r="H193" s="26">
        <v>0</v>
      </c>
      <c r="I193" s="26">
        <v>207</v>
      </c>
      <c r="J193" s="26">
        <v>135</v>
      </c>
      <c r="K193" s="27">
        <v>1</v>
      </c>
      <c r="L193" s="28">
        <v>0</v>
      </c>
      <c r="M193" s="26" t="s">
        <v>79</v>
      </c>
      <c r="N193" s="3" t="s">
        <v>438</v>
      </c>
      <c r="O193" s="36" t="s">
        <v>19</v>
      </c>
      <c r="P193" s="1" t="s">
        <v>80</v>
      </c>
      <c r="Q193" s="1" t="s">
        <v>387</v>
      </c>
      <c r="R193" s="3"/>
      <c r="S193" s="26" t="s">
        <v>1</v>
      </c>
      <c r="T193" s="29" t="s">
        <v>82</v>
      </c>
      <c r="U193" s="3"/>
    </row>
    <row r="194" spans="1:21">
      <c r="A194" s="30">
        <v>10193</v>
      </c>
      <c r="B194" s="74" t="s">
        <v>439</v>
      </c>
      <c r="C194" s="25">
        <v>45600</v>
      </c>
      <c r="D194" s="14" t="s">
        <v>121</v>
      </c>
      <c r="E194" s="26">
        <v>0</v>
      </c>
      <c r="F194" s="26">
        <v>9</v>
      </c>
      <c r="G194" s="26">
        <v>0</v>
      </c>
      <c r="H194" s="26">
        <v>198</v>
      </c>
      <c r="I194" s="26">
        <v>207</v>
      </c>
      <c r="J194" s="26">
        <v>198</v>
      </c>
      <c r="K194" s="27">
        <v>0</v>
      </c>
      <c r="L194" s="28">
        <v>1</v>
      </c>
      <c r="M194" s="26" t="s">
        <v>95</v>
      </c>
      <c r="N194" s="62" t="s">
        <v>122</v>
      </c>
      <c r="O194" s="36" t="s">
        <v>10</v>
      </c>
      <c r="P194" s="1" t="s">
        <v>1</v>
      </c>
      <c r="Q194" s="1" t="s">
        <v>10</v>
      </c>
      <c r="R194" s="3"/>
      <c r="S194" s="26" t="s">
        <v>1</v>
      </c>
      <c r="T194" s="29" t="s">
        <v>82</v>
      </c>
      <c r="U194" s="3"/>
    </row>
    <row r="195" spans="1:21">
      <c r="A195" s="24">
        <v>10194</v>
      </c>
      <c r="B195" s="74" t="s">
        <v>440</v>
      </c>
      <c r="C195" s="25">
        <v>45601</v>
      </c>
      <c r="D195" s="14" t="s">
        <v>196</v>
      </c>
      <c r="E195" s="26">
        <v>27</v>
      </c>
      <c r="F195" s="26">
        <v>9</v>
      </c>
      <c r="G195" s="26">
        <v>171</v>
      </c>
      <c r="H195" s="26">
        <v>0</v>
      </c>
      <c r="I195" s="26">
        <v>207</v>
      </c>
      <c r="J195" s="26">
        <v>171</v>
      </c>
      <c r="K195" s="27">
        <v>1</v>
      </c>
      <c r="L195" s="28">
        <v>0</v>
      </c>
      <c r="M195" s="26" t="s">
        <v>79</v>
      </c>
      <c r="N195" s="3" t="s">
        <v>196</v>
      </c>
      <c r="O195" s="36" t="s">
        <v>19</v>
      </c>
      <c r="P195" s="1" t="s">
        <v>80</v>
      </c>
      <c r="Q195" s="1" t="s">
        <v>197</v>
      </c>
      <c r="R195" s="3"/>
      <c r="S195" s="26" t="s">
        <v>1</v>
      </c>
      <c r="T195" s="29" t="s">
        <v>82</v>
      </c>
      <c r="U195" s="3"/>
    </row>
    <row r="196" spans="1:21">
      <c r="A196" s="24">
        <v>10195</v>
      </c>
      <c r="B196" s="74" t="s">
        <v>441</v>
      </c>
      <c r="C196" s="25">
        <v>45601</v>
      </c>
      <c r="D196" s="14" t="s">
        <v>196</v>
      </c>
      <c r="E196" s="26">
        <v>45</v>
      </c>
      <c r="F196" s="26">
        <v>9</v>
      </c>
      <c r="G196" s="26">
        <v>153</v>
      </c>
      <c r="H196" s="26">
        <v>0</v>
      </c>
      <c r="I196" s="26">
        <v>207</v>
      </c>
      <c r="J196" s="26">
        <v>153</v>
      </c>
      <c r="K196" s="27">
        <v>1</v>
      </c>
      <c r="L196" s="28">
        <v>0</v>
      </c>
      <c r="M196" s="26" t="s">
        <v>79</v>
      </c>
      <c r="N196" s="3" t="s">
        <v>196</v>
      </c>
      <c r="O196" s="36" t="s">
        <v>19</v>
      </c>
      <c r="P196" s="1" t="s">
        <v>80</v>
      </c>
      <c r="Q196" s="1" t="s">
        <v>197</v>
      </c>
      <c r="R196" s="3"/>
      <c r="S196" s="26" t="s">
        <v>1</v>
      </c>
      <c r="T196" s="29" t="s">
        <v>82</v>
      </c>
      <c r="U196" s="3"/>
    </row>
    <row r="197" spans="1:21">
      <c r="A197" s="30">
        <v>10196</v>
      </c>
      <c r="B197" s="74" t="s">
        <v>442</v>
      </c>
      <c r="C197" s="25">
        <v>45602</v>
      </c>
      <c r="D197" s="14" t="s">
        <v>443</v>
      </c>
      <c r="E197" s="26">
        <v>45</v>
      </c>
      <c r="F197" s="26">
        <v>9</v>
      </c>
      <c r="G197" s="26">
        <v>153</v>
      </c>
      <c r="H197" s="26">
        <v>0</v>
      </c>
      <c r="I197" s="26">
        <v>207</v>
      </c>
      <c r="J197" s="26">
        <v>153</v>
      </c>
      <c r="K197" s="27">
        <v>1</v>
      </c>
      <c r="L197" s="28">
        <v>0</v>
      </c>
      <c r="M197" s="26" t="s">
        <v>79</v>
      </c>
      <c r="N197" s="3" t="s">
        <v>443</v>
      </c>
      <c r="O197" s="36" t="s">
        <v>19</v>
      </c>
      <c r="P197" s="1" t="s">
        <v>80</v>
      </c>
      <c r="Q197" s="1" t="s">
        <v>444</v>
      </c>
      <c r="R197" s="3"/>
      <c r="S197" s="26" t="s">
        <v>1</v>
      </c>
      <c r="T197" s="29" t="s">
        <v>82</v>
      </c>
      <c r="U197" s="3"/>
    </row>
    <row r="198" spans="1:21">
      <c r="A198" s="24">
        <v>10197</v>
      </c>
      <c r="B198" s="74" t="s">
        <v>445</v>
      </c>
      <c r="C198" s="25">
        <v>45607</v>
      </c>
      <c r="D198" s="14" t="s">
        <v>433</v>
      </c>
      <c r="E198" s="26">
        <v>36</v>
      </c>
      <c r="F198" s="26">
        <v>9</v>
      </c>
      <c r="G198" s="26">
        <v>162</v>
      </c>
      <c r="H198" s="26">
        <v>0</v>
      </c>
      <c r="I198" s="26">
        <v>207</v>
      </c>
      <c r="J198" s="26">
        <v>162</v>
      </c>
      <c r="K198" s="27">
        <v>1</v>
      </c>
      <c r="L198" s="28">
        <v>0</v>
      </c>
      <c r="M198" s="26" t="s">
        <v>79</v>
      </c>
      <c r="N198" s="3" t="s">
        <v>433</v>
      </c>
      <c r="O198" s="36" t="s">
        <v>19</v>
      </c>
      <c r="P198" s="1" t="s">
        <v>80</v>
      </c>
      <c r="Q198" s="1" t="s">
        <v>434</v>
      </c>
      <c r="R198" s="3"/>
      <c r="S198" s="26" t="s">
        <v>1</v>
      </c>
      <c r="T198" s="29" t="s">
        <v>82</v>
      </c>
      <c r="U198" s="3"/>
    </row>
    <row r="199" spans="1:21">
      <c r="A199" s="24">
        <v>10198</v>
      </c>
      <c r="B199" s="74" t="s">
        <v>446</v>
      </c>
      <c r="C199" s="25">
        <v>45622</v>
      </c>
      <c r="D199" s="14" t="s">
        <v>196</v>
      </c>
      <c r="E199" s="26">
        <v>0</v>
      </c>
      <c r="F199" s="26">
        <v>9</v>
      </c>
      <c r="G199" s="26">
        <v>198</v>
      </c>
      <c r="H199" s="26">
        <v>0</v>
      </c>
      <c r="I199" s="26">
        <v>207</v>
      </c>
      <c r="J199" s="26">
        <v>198</v>
      </c>
      <c r="K199" s="27">
        <v>1</v>
      </c>
      <c r="L199" s="28">
        <v>0</v>
      </c>
      <c r="M199" s="26" t="s">
        <v>79</v>
      </c>
      <c r="N199" s="3" t="s">
        <v>196</v>
      </c>
      <c r="O199" s="36" t="s">
        <v>19</v>
      </c>
      <c r="P199" s="1" t="s">
        <v>80</v>
      </c>
      <c r="Q199" s="1" t="s">
        <v>197</v>
      </c>
      <c r="R199" s="3"/>
      <c r="S199" s="26" t="s">
        <v>1</v>
      </c>
      <c r="T199" s="29" t="s">
        <v>82</v>
      </c>
      <c r="U199" s="3"/>
    </row>
    <row r="200" spans="1:21">
      <c r="A200" s="30">
        <v>10199</v>
      </c>
      <c r="B200" s="74" t="s">
        <v>447</v>
      </c>
      <c r="C200" s="25">
        <v>45623</v>
      </c>
      <c r="D200" s="14" t="s">
        <v>196</v>
      </c>
      <c r="E200" s="26">
        <v>0</v>
      </c>
      <c r="F200" s="26">
        <v>9</v>
      </c>
      <c r="G200" s="26">
        <v>198</v>
      </c>
      <c r="H200" s="26">
        <v>0</v>
      </c>
      <c r="I200" s="26">
        <v>207</v>
      </c>
      <c r="J200" s="26">
        <v>198</v>
      </c>
      <c r="K200" s="27">
        <v>1</v>
      </c>
      <c r="L200" s="28">
        <v>0</v>
      </c>
      <c r="M200" s="26" t="s">
        <v>79</v>
      </c>
      <c r="N200" s="3" t="s">
        <v>196</v>
      </c>
      <c r="O200" s="36" t="s">
        <v>19</v>
      </c>
      <c r="P200" s="1" t="s">
        <v>80</v>
      </c>
      <c r="Q200" s="1" t="s">
        <v>197</v>
      </c>
      <c r="R200" s="3"/>
      <c r="S200" s="26" t="s">
        <v>1</v>
      </c>
      <c r="T200" s="29" t="s">
        <v>82</v>
      </c>
      <c r="U200" s="3"/>
    </row>
    <row r="201" spans="1:21">
      <c r="A201" s="24">
        <v>10200</v>
      </c>
      <c r="B201" s="74" t="s">
        <v>448</v>
      </c>
      <c r="C201" s="25">
        <v>45625</v>
      </c>
      <c r="D201" s="14" t="s">
        <v>297</v>
      </c>
      <c r="E201" s="26">
        <v>18</v>
      </c>
      <c r="F201" s="26">
        <v>9</v>
      </c>
      <c r="G201" s="26">
        <v>180</v>
      </c>
      <c r="H201" s="26">
        <v>0</v>
      </c>
      <c r="I201" s="26">
        <v>207</v>
      </c>
      <c r="J201" s="26">
        <v>180</v>
      </c>
      <c r="K201" s="27">
        <v>1</v>
      </c>
      <c r="L201" s="28">
        <v>0</v>
      </c>
      <c r="M201" s="26" t="s">
        <v>79</v>
      </c>
      <c r="N201" s="3" t="s">
        <v>297</v>
      </c>
      <c r="O201" s="36" t="s">
        <v>19</v>
      </c>
      <c r="P201" s="1" t="s">
        <v>80</v>
      </c>
      <c r="Q201" s="1" t="s">
        <v>298</v>
      </c>
      <c r="R201" s="3"/>
      <c r="S201" s="26" t="s">
        <v>1</v>
      </c>
      <c r="T201" s="29" t="s">
        <v>82</v>
      </c>
      <c r="U201" s="3"/>
    </row>
    <row r="202" spans="1:21" ht="28.9">
      <c r="A202" s="24">
        <v>10201</v>
      </c>
      <c r="B202" s="74" t="s">
        <v>449</v>
      </c>
      <c r="C202" s="25">
        <v>45625</v>
      </c>
      <c r="D202" s="14" t="s">
        <v>450</v>
      </c>
      <c r="E202" s="26">
        <v>18</v>
      </c>
      <c r="F202" s="26">
        <v>18</v>
      </c>
      <c r="G202" s="26">
        <v>135</v>
      </c>
      <c r="H202" s="26">
        <v>36</v>
      </c>
      <c r="I202" s="26">
        <v>207</v>
      </c>
      <c r="J202" s="26">
        <v>171</v>
      </c>
      <c r="K202" s="27">
        <v>0.78947368421052633</v>
      </c>
      <c r="L202" s="28">
        <v>0.21052631578947367</v>
      </c>
      <c r="M202" s="26" t="s">
        <v>95</v>
      </c>
      <c r="N202" s="37" t="s">
        <v>451</v>
      </c>
      <c r="O202" s="36" t="s">
        <v>15</v>
      </c>
      <c r="P202" s="1" t="s">
        <v>80</v>
      </c>
      <c r="Q202" s="1" t="s">
        <v>404</v>
      </c>
      <c r="R202" s="3"/>
      <c r="S202" s="26" t="s">
        <v>1</v>
      </c>
      <c r="T202" s="29" t="s">
        <v>82</v>
      </c>
      <c r="U202" s="3"/>
    </row>
    <row r="203" spans="1:21">
      <c r="A203" s="30">
        <v>10202</v>
      </c>
      <c r="B203" s="74" t="s">
        <v>452</v>
      </c>
      <c r="C203" s="25">
        <v>45628</v>
      </c>
      <c r="D203" s="14" t="s">
        <v>121</v>
      </c>
      <c r="E203" s="26">
        <v>9</v>
      </c>
      <c r="F203" s="26">
        <v>9</v>
      </c>
      <c r="G203" s="26">
        <v>0</v>
      </c>
      <c r="H203" s="26">
        <v>189</v>
      </c>
      <c r="I203" s="26">
        <v>207</v>
      </c>
      <c r="J203" s="26">
        <v>189</v>
      </c>
      <c r="K203" s="27">
        <v>0</v>
      </c>
      <c r="L203" s="28">
        <v>1</v>
      </c>
      <c r="M203" s="26" t="s">
        <v>95</v>
      </c>
      <c r="N203" s="62" t="s">
        <v>122</v>
      </c>
      <c r="O203" s="4" t="s">
        <v>234</v>
      </c>
      <c r="P203" s="1" t="s">
        <v>1</v>
      </c>
      <c r="Q203" s="4" t="s">
        <v>234</v>
      </c>
      <c r="R203" s="3"/>
      <c r="S203" s="26" t="s">
        <v>80</v>
      </c>
      <c r="T203" s="29">
        <v>46114</v>
      </c>
      <c r="U203" s="3"/>
    </row>
    <row r="204" spans="1:21">
      <c r="A204" s="24">
        <v>10203</v>
      </c>
      <c r="B204" s="74" t="s">
        <v>453</v>
      </c>
      <c r="C204" s="25">
        <v>45630</v>
      </c>
      <c r="D204" s="14" t="s">
        <v>129</v>
      </c>
      <c r="E204" s="26">
        <v>27</v>
      </c>
      <c r="F204" s="26">
        <v>9</v>
      </c>
      <c r="G204" s="26">
        <v>171</v>
      </c>
      <c r="H204" s="26">
        <v>0</v>
      </c>
      <c r="I204" s="26">
        <v>207</v>
      </c>
      <c r="J204" s="26">
        <v>171</v>
      </c>
      <c r="K204" s="27">
        <v>1</v>
      </c>
      <c r="L204" s="28">
        <v>0</v>
      </c>
      <c r="M204" s="26" t="s">
        <v>79</v>
      </c>
      <c r="N204" s="3" t="s">
        <v>129</v>
      </c>
      <c r="O204" s="36" t="s">
        <v>15</v>
      </c>
      <c r="P204" s="1" t="s">
        <v>80</v>
      </c>
      <c r="Q204" s="1" t="s">
        <v>130</v>
      </c>
      <c r="R204" s="3"/>
      <c r="S204" s="26" t="s">
        <v>1</v>
      </c>
      <c r="T204" s="29" t="s">
        <v>82</v>
      </c>
      <c r="U204" s="3"/>
    </row>
    <row r="205" spans="1:21">
      <c r="A205" s="24">
        <v>10204</v>
      </c>
      <c r="B205" s="74" t="s">
        <v>454</v>
      </c>
      <c r="C205" s="25">
        <v>45635</v>
      </c>
      <c r="D205" s="14" t="s">
        <v>188</v>
      </c>
      <c r="E205" s="26">
        <v>54</v>
      </c>
      <c r="F205" s="26">
        <v>18</v>
      </c>
      <c r="G205" s="26">
        <v>135</v>
      </c>
      <c r="H205" s="26">
        <v>0</v>
      </c>
      <c r="I205" s="26">
        <v>207</v>
      </c>
      <c r="J205" s="26">
        <v>135</v>
      </c>
      <c r="K205" s="27">
        <v>1</v>
      </c>
      <c r="L205" s="28">
        <v>0</v>
      </c>
      <c r="M205" s="26" t="s">
        <v>79</v>
      </c>
      <c r="N205" s="3" t="s">
        <v>188</v>
      </c>
      <c r="O205" s="36" t="s">
        <v>19</v>
      </c>
      <c r="P205" s="1" t="s">
        <v>80</v>
      </c>
      <c r="Q205" s="1" t="s">
        <v>189</v>
      </c>
      <c r="R205" s="3"/>
      <c r="S205" s="26" t="s">
        <v>1</v>
      </c>
      <c r="T205" s="29" t="s">
        <v>82</v>
      </c>
      <c r="U205" s="3"/>
    </row>
    <row r="206" spans="1:21" ht="28.9">
      <c r="A206" s="30">
        <v>10205</v>
      </c>
      <c r="B206" s="74" t="s">
        <v>455</v>
      </c>
      <c r="C206" s="25">
        <v>45635</v>
      </c>
      <c r="D206" s="14" t="s">
        <v>456</v>
      </c>
      <c r="E206" s="26">
        <v>36</v>
      </c>
      <c r="F206" s="26">
        <v>18</v>
      </c>
      <c r="G206" s="26">
        <v>0</v>
      </c>
      <c r="H206" s="26">
        <v>153</v>
      </c>
      <c r="I206" s="26">
        <v>207</v>
      </c>
      <c r="J206" s="26">
        <v>153</v>
      </c>
      <c r="K206" s="27">
        <v>0</v>
      </c>
      <c r="L206" s="28">
        <v>1</v>
      </c>
      <c r="M206" s="26" t="s">
        <v>95</v>
      </c>
      <c r="N206" s="37" t="s">
        <v>457</v>
      </c>
      <c r="O206" s="36" t="s">
        <v>15</v>
      </c>
      <c r="P206" s="1" t="s">
        <v>1</v>
      </c>
      <c r="Q206" s="1" t="s">
        <v>104</v>
      </c>
      <c r="R206" s="3"/>
      <c r="S206" s="26" t="s">
        <v>1</v>
      </c>
      <c r="T206" s="29" t="s">
        <v>82</v>
      </c>
      <c r="U206" s="3"/>
    </row>
    <row r="207" spans="1:21">
      <c r="A207" s="24">
        <v>10206</v>
      </c>
      <c r="B207" s="74" t="s">
        <v>458</v>
      </c>
      <c r="C207" s="25">
        <v>45636</v>
      </c>
      <c r="D207" s="14" t="s">
        <v>185</v>
      </c>
      <c r="E207" s="26">
        <v>67.5</v>
      </c>
      <c r="F207" s="26">
        <v>18</v>
      </c>
      <c r="G207" s="26">
        <v>76.5</v>
      </c>
      <c r="H207" s="26">
        <v>45</v>
      </c>
      <c r="I207" s="26">
        <v>207</v>
      </c>
      <c r="J207" s="26">
        <v>121.5</v>
      </c>
      <c r="K207" s="27">
        <v>0.62962962962962965</v>
      </c>
      <c r="L207" s="28">
        <v>0.37037037037037035</v>
      </c>
      <c r="M207" s="26" t="s">
        <v>95</v>
      </c>
      <c r="N207" s="3" t="s">
        <v>185</v>
      </c>
      <c r="O207" s="36" t="s">
        <v>15</v>
      </c>
      <c r="P207" s="1" t="s">
        <v>80</v>
      </c>
      <c r="Q207" s="1" t="s">
        <v>186</v>
      </c>
      <c r="R207" s="3"/>
      <c r="S207" s="26" t="s">
        <v>1</v>
      </c>
      <c r="T207" s="29" t="s">
        <v>82</v>
      </c>
      <c r="U207" s="3"/>
    </row>
    <row r="208" spans="1:21" ht="43.15">
      <c r="A208" s="24">
        <v>10207</v>
      </c>
      <c r="B208" s="74" t="s">
        <v>459</v>
      </c>
      <c r="C208" s="25">
        <v>45636</v>
      </c>
      <c r="D208" s="14" t="s">
        <v>460</v>
      </c>
      <c r="E208" s="26">
        <v>18</v>
      </c>
      <c r="F208" s="26">
        <v>9</v>
      </c>
      <c r="G208" s="26">
        <v>0</v>
      </c>
      <c r="H208" s="26">
        <v>180</v>
      </c>
      <c r="I208" s="26">
        <v>207</v>
      </c>
      <c r="J208" s="26">
        <v>180</v>
      </c>
      <c r="K208" s="27">
        <v>0</v>
      </c>
      <c r="L208" s="28">
        <v>1</v>
      </c>
      <c r="M208" s="26" t="s">
        <v>95</v>
      </c>
      <c r="N208" s="37" t="s">
        <v>461</v>
      </c>
      <c r="O208" s="36" t="s">
        <v>11</v>
      </c>
      <c r="P208" s="1" t="s">
        <v>1</v>
      </c>
      <c r="Q208" s="15" t="s">
        <v>460</v>
      </c>
      <c r="R208" s="3"/>
      <c r="S208" s="26" t="s">
        <v>1</v>
      </c>
      <c r="T208" s="29" t="s">
        <v>82</v>
      </c>
      <c r="U208" s="3"/>
    </row>
    <row r="209" spans="1:21">
      <c r="A209" s="30">
        <v>10208</v>
      </c>
      <c r="B209" s="74" t="s">
        <v>462</v>
      </c>
      <c r="C209" s="25">
        <v>45642</v>
      </c>
      <c r="D209" s="14" t="s">
        <v>84</v>
      </c>
      <c r="E209" s="26">
        <v>27</v>
      </c>
      <c r="F209" s="26">
        <v>9</v>
      </c>
      <c r="G209" s="26">
        <v>171</v>
      </c>
      <c r="H209" s="26">
        <v>0</v>
      </c>
      <c r="I209" s="26">
        <v>207</v>
      </c>
      <c r="J209" s="26">
        <v>171</v>
      </c>
      <c r="K209" s="27">
        <v>1</v>
      </c>
      <c r="L209" s="28">
        <v>0</v>
      </c>
      <c r="M209" s="26" t="s">
        <v>79</v>
      </c>
      <c r="N209" s="3" t="s">
        <v>84</v>
      </c>
      <c r="O209" s="36" t="s">
        <v>15</v>
      </c>
      <c r="P209" s="1" t="s">
        <v>80</v>
      </c>
      <c r="Q209" s="1" t="s">
        <v>85</v>
      </c>
      <c r="R209" s="3"/>
      <c r="S209" s="26" t="s">
        <v>1</v>
      </c>
      <c r="T209" s="29" t="s">
        <v>82</v>
      </c>
      <c r="U209" s="3"/>
    </row>
    <row r="210" spans="1:21">
      <c r="A210" s="24">
        <v>10209</v>
      </c>
      <c r="B210" s="74" t="s">
        <v>463</v>
      </c>
      <c r="C210" s="25">
        <v>45642</v>
      </c>
      <c r="D210" s="14" t="s">
        <v>78</v>
      </c>
      <c r="E210" s="26">
        <v>27</v>
      </c>
      <c r="F210" s="26">
        <v>9</v>
      </c>
      <c r="G210" s="26">
        <v>171</v>
      </c>
      <c r="H210" s="26">
        <v>0</v>
      </c>
      <c r="I210" s="26">
        <v>207</v>
      </c>
      <c r="J210" s="26">
        <v>171</v>
      </c>
      <c r="K210" s="27">
        <v>1</v>
      </c>
      <c r="L210" s="28">
        <v>0</v>
      </c>
      <c r="M210" s="26" t="s">
        <v>79</v>
      </c>
      <c r="N210" s="3" t="s">
        <v>78</v>
      </c>
      <c r="O210" s="36" t="s">
        <v>19</v>
      </c>
      <c r="P210" s="1" t="s">
        <v>80</v>
      </c>
      <c r="Q210" s="1" t="s">
        <v>81</v>
      </c>
      <c r="R210" s="3"/>
      <c r="S210" s="26" t="s">
        <v>1</v>
      </c>
      <c r="T210" s="29" t="s">
        <v>82</v>
      </c>
      <c r="U210" s="3"/>
    </row>
    <row r="211" spans="1:21">
      <c r="A211" s="24">
        <v>10210</v>
      </c>
      <c r="B211" s="74" t="s">
        <v>464</v>
      </c>
      <c r="C211" s="25">
        <v>45644</v>
      </c>
      <c r="D211" s="14" t="s">
        <v>121</v>
      </c>
      <c r="E211" s="26">
        <v>0</v>
      </c>
      <c r="F211" s="26">
        <v>9</v>
      </c>
      <c r="G211" s="26">
        <v>0</v>
      </c>
      <c r="H211" s="26">
        <v>171</v>
      </c>
      <c r="I211" s="26">
        <v>180</v>
      </c>
      <c r="J211" s="26">
        <v>171</v>
      </c>
      <c r="K211" s="27">
        <v>0</v>
      </c>
      <c r="L211" s="28">
        <v>1</v>
      </c>
      <c r="M211" s="26" t="s">
        <v>95</v>
      </c>
      <c r="N211" s="62" t="s">
        <v>122</v>
      </c>
      <c r="O211" s="4" t="s">
        <v>234</v>
      </c>
      <c r="P211" s="1" t="s">
        <v>1</v>
      </c>
      <c r="Q211" s="4" t="s">
        <v>234</v>
      </c>
      <c r="R211" s="3"/>
      <c r="S211" s="26" t="s">
        <v>80</v>
      </c>
      <c r="T211" s="29">
        <v>46022</v>
      </c>
      <c r="U211" s="3"/>
    </row>
    <row r="212" spans="1:21">
      <c r="A212" s="30">
        <v>10211</v>
      </c>
      <c r="B212" s="74" t="s">
        <v>465</v>
      </c>
      <c r="C212" s="25">
        <v>45645</v>
      </c>
      <c r="D212" s="14" t="s">
        <v>129</v>
      </c>
      <c r="E212" s="26">
        <v>58.5</v>
      </c>
      <c r="F212" s="26">
        <v>9</v>
      </c>
      <c r="G212" s="26">
        <v>139.5</v>
      </c>
      <c r="H212" s="26">
        <v>0</v>
      </c>
      <c r="I212" s="26">
        <v>207</v>
      </c>
      <c r="J212" s="26">
        <v>139.5</v>
      </c>
      <c r="K212" s="27">
        <v>1</v>
      </c>
      <c r="L212" s="28">
        <v>0</v>
      </c>
      <c r="M212" s="26" t="s">
        <v>79</v>
      </c>
      <c r="N212" s="3" t="s">
        <v>129</v>
      </c>
      <c r="O212" s="36" t="s">
        <v>15</v>
      </c>
      <c r="P212" s="1" t="s">
        <v>80</v>
      </c>
      <c r="Q212" s="1" t="s">
        <v>130</v>
      </c>
      <c r="R212" s="3"/>
      <c r="S212" s="26" t="s">
        <v>1</v>
      </c>
      <c r="T212" s="29" t="s">
        <v>82</v>
      </c>
      <c r="U212" s="3"/>
    </row>
    <row r="213" spans="1:21" ht="43.15">
      <c r="A213" s="24">
        <v>10212</v>
      </c>
      <c r="B213" s="74" t="s">
        <v>466</v>
      </c>
      <c r="C213" s="25">
        <v>45645</v>
      </c>
      <c r="D213" s="14" t="s">
        <v>467</v>
      </c>
      <c r="E213" s="26">
        <v>54</v>
      </c>
      <c r="F213" s="26">
        <v>18</v>
      </c>
      <c r="G213" s="26">
        <v>54</v>
      </c>
      <c r="H213" s="26">
        <v>81</v>
      </c>
      <c r="I213" s="26">
        <v>207</v>
      </c>
      <c r="J213" s="26">
        <v>135</v>
      </c>
      <c r="K213" s="27">
        <v>0.4</v>
      </c>
      <c r="L213" s="28">
        <v>0.6</v>
      </c>
      <c r="M213" s="26" t="s">
        <v>95</v>
      </c>
      <c r="N213" s="37" t="s">
        <v>468</v>
      </c>
      <c r="O213" s="36" t="s">
        <v>19</v>
      </c>
      <c r="P213" s="1" t="s">
        <v>80</v>
      </c>
      <c r="Q213" s="1" t="s">
        <v>209</v>
      </c>
      <c r="R213" s="3"/>
      <c r="S213" s="26" t="s">
        <v>1</v>
      </c>
      <c r="T213" s="29" t="s">
        <v>82</v>
      </c>
      <c r="U213" s="3"/>
    </row>
    <row r="214" spans="1:21" ht="28.9">
      <c r="A214" s="24">
        <v>10213</v>
      </c>
      <c r="B214" s="74" t="s">
        <v>469</v>
      </c>
      <c r="C214" s="25">
        <v>45649</v>
      </c>
      <c r="D214" s="14" t="s">
        <v>154</v>
      </c>
      <c r="E214" s="26">
        <v>45</v>
      </c>
      <c r="F214" s="26">
        <v>9</v>
      </c>
      <c r="G214" s="26">
        <v>5</v>
      </c>
      <c r="H214" s="26">
        <v>148</v>
      </c>
      <c r="I214" s="26">
        <v>207</v>
      </c>
      <c r="J214" s="26">
        <v>153</v>
      </c>
      <c r="K214" s="27">
        <v>3.2679738562091505E-2</v>
      </c>
      <c r="L214" s="28">
        <v>0.9673202614379085</v>
      </c>
      <c r="M214" s="26" t="s">
        <v>95</v>
      </c>
      <c r="N214" s="37" t="s">
        <v>155</v>
      </c>
      <c r="O214" s="36" t="s">
        <v>10</v>
      </c>
      <c r="P214" s="1" t="s">
        <v>1</v>
      </c>
      <c r="Q214" s="36" t="s">
        <v>10</v>
      </c>
      <c r="R214" s="3"/>
      <c r="S214" s="26" t="s">
        <v>1</v>
      </c>
      <c r="T214" s="29" t="s">
        <v>82</v>
      </c>
      <c r="U214" s="3"/>
    </row>
    <row r="215" spans="1:21">
      <c r="A215" s="30">
        <v>10214</v>
      </c>
      <c r="B215" s="74" t="s">
        <v>470</v>
      </c>
      <c r="C215" s="25">
        <v>45649</v>
      </c>
      <c r="D215" s="14" t="s">
        <v>121</v>
      </c>
      <c r="E215" s="26">
        <v>0</v>
      </c>
      <c r="F215" s="26">
        <v>9</v>
      </c>
      <c r="G215" s="26">
        <v>0</v>
      </c>
      <c r="H215" s="26">
        <v>198</v>
      </c>
      <c r="I215" s="26">
        <v>207</v>
      </c>
      <c r="J215" s="26">
        <v>198</v>
      </c>
      <c r="K215" s="27">
        <v>0</v>
      </c>
      <c r="L215" s="28">
        <v>1</v>
      </c>
      <c r="M215" s="26" t="s">
        <v>95</v>
      </c>
      <c r="N215" s="62" t="s">
        <v>122</v>
      </c>
      <c r="O215" s="36" t="s">
        <v>10</v>
      </c>
      <c r="P215" s="1" t="s">
        <v>1</v>
      </c>
      <c r="Q215" s="36" t="s">
        <v>10</v>
      </c>
      <c r="R215" s="3"/>
      <c r="S215" s="26" t="s">
        <v>1</v>
      </c>
      <c r="T215" s="29" t="s">
        <v>82</v>
      </c>
      <c r="U215" s="3"/>
    </row>
    <row r="216" spans="1:21" ht="28.9">
      <c r="A216" s="24">
        <v>10215</v>
      </c>
      <c r="B216" s="74" t="s">
        <v>471</v>
      </c>
      <c r="C216" s="25">
        <v>45656</v>
      </c>
      <c r="D216" s="14" t="s">
        <v>472</v>
      </c>
      <c r="E216" s="26">
        <v>36</v>
      </c>
      <c r="F216" s="26">
        <v>9</v>
      </c>
      <c r="G216" s="26">
        <v>162</v>
      </c>
      <c r="H216" s="26">
        <v>0</v>
      </c>
      <c r="I216" s="26">
        <v>207</v>
      </c>
      <c r="J216" s="26">
        <v>162</v>
      </c>
      <c r="K216" s="27">
        <v>1</v>
      </c>
      <c r="L216" s="28">
        <v>0</v>
      </c>
      <c r="M216" s="26" t="s">
        <v>79</v>
      </c>
      <c r="N216" s="3" t="s">
        <v>472</v>
      </c>
      <c r="O216" s="36" t="s">
        <v>19</v>
      </c>
      <c r="P216" s="1" t="s">
        <v>80</v>
      </c>
      <c r="Q216" s="1" t="s">
        <v>473</v>
      </c>
      <c r="R216" s="3"/>
      <c r="S216" s="26" t="s">
        <v>1</v>
      </c>
      <c r="T216" s="29" t="s">
        <v>82</v>
      </c>
      <c r="U216" s="3"/>
    </row>
    <row r="217" spans="1:21">
      <c r="A217" s="24">
        <v>10216</v>
      </c>
      <c r="B217" s="74" t="s">
        <v>474</v>
      </c>
      <c r="C217" s="25">
        <v>45657</v>
      </c>
      <c r="D217" s="14" t="s">
        <v>212</v>
      </c>
      <c r="E217" s="26">
        <v>76.5</v>
      </c>
      <c r="F217" s="26">
        <v>9</v>
      </c>
      <c r="G217" s="26">
        <v>121.5</v>
      </c>
      <c r="H217" s="26">
        <v>0</v>
      </c>
      <c r="I217" s="26">
        <v>207</v>
      </c>
      <c r="J217" s="26">
        <v>121.5</v>
      </c>
      <c r="K217" s="27">
        <v>1</v>
      </c>
      <c r="L217" s="28">
        <v>0</v>
      </c>
      <c r="M217" s="26" t="s">
        <v>79</v>
      </c>
      <c r="N217" s="3" t="s">
        <v>212</v>
      </c>
      <c r="O217" s="36" t="s">
        <v>19</v>
      </c>
      <c r="P217" s="1" t="s">
        <v>80</v>
      </c>
      <c r="Q217" s="1" t="s">
        <v>213</v>
      </c>
      <c r="R217" s="3"/>
      <c r="S217" s="26" t="s">
        <v>1</v>
      </c>
      <c r="T217" s="29" t="s">
        <v>82</v>
      </c>
      <c r="U217" s="3"/>
    </row>
    <row r="218" spans="1:21">
      <c r="A218" s="30">
        <v>10217</v>
      </c>
      <c r="B218" s="74" t="s">
        <v>475</v>
      </c>
      <c r="C218" s="25">
        <v>45663</v>
      </c>
      <c r="D218" s="14" t="s">
        <v>135</v>
      </c>
      <c r="E218" s="26">
        <v>9</v>
      </c>
      <c r="F218" s="26">
        <v>9</v>
      </c>
      <c r="G218" s="26">
        <v>189</v>
      </c>
      <c r="H218" s="26">
        <v>0</v>
      </c>
      <c r="I218" s="26">
        <v>207</v>
      </c>
      <c r="J218" s="26">
        <v>189</v>
      </c>
      <c r="K218" s="27">
        <v>1</v>
      </c>
      <c r="L218" s="28">
        <v>0</v>
      </c>
      <c r="M218" s="26" t="s">
        <v>79</v>
      </c>
      <c r="N218" s="3" t="s">
        <v>135</v>
      </c>
      <c r="O218" s="36" t="s">
        <v>15</v>
      </c>
      <c r="P218" s="1" t="s">
        <v>80</v>
      </c>
      <c r="Q218" s="1" t="s">
        <v>136</v>
      </c>
      <c r="R218" s="3"/>
      <c r="S218" s="26" t="s">
        <v>1</v>
      </c>
      <c r="T218" s="29" t="s">
        <v>82</v>
      </c>
      <c r="U218" s="3"/>
    </row>
    <row r="219" spans="1:21" ht="57.6">
      <c r="A219" s="24">
        <v>10218</v>
      </c>
      <c r="B219" s="74" t="s">
        <v>476</v>
      </c>
      <c r="C219" s="25">
        <v>45664</v>
      </c>
      <c r="D219" s="14" t="s">
        <v>477</v>
      </c>
      <c r="E219" s="26">
        <v>45</v>
      </c>
      <c r="F219" s="26">
        <v>9</v>
      </c>
      <c r="G219" s="26">
        <v>114.5</v>
      </c>
      <c r="H219" s="26">
        <v>38.5</v>
      </c>
      <c r="I219" s="26">
        <v>207</v>
      </c>
      <c r="J219" s="26">
        <v>153</v>
      </c>
      <c r="K219" s="27">
        <v>0.74836601307189543</v>
      </c>
      <c r="L219" s="28">
        <v>0.25163398692810457</v>
      </c>
      <c r="M219" s="26" t="s">
        <v>95</v>
      </c>
      <c r="N219" s="37" t="s">
        <v>478</v>
      </c>
      <c r="O219" s="36" t="s">
        <v>15</v>
      </c>
      <c r="P219" s="1" t="s">
        <v>80</v>
      </c>
      <c r="Q219" s="1" t="s">
        <v>85</v>
      </c>
      <c r="R219" s="3"/>
      <c r="S219" s="26" t="s">
        <v>1</v>
      </c>
      <c r="T219" s="29" t="s">
        <v>82</v>
      </c>
      <c r="U219" s="3"/>
    </row>
    <row r="220" spans="1:21">
      <c r="A220" s="24">
        <v>10219</v>
      </c>
      <c r="B220" s="74" t="s">
        <v>479</v>
      </c>
      <c r="C220" s="25">
        <v>45670</v>
      </c>
      <c r="D220" s="14" t="s">
        <v>258</v>
      </c>
      <c r="E220" s="26">
        <v>45</v>
      </c>
      <c r="F220" s="26">
        <v>9</v>
      </c>
      <c r="G220" s="26">
        <v>153</v>
      </c>
      <c r="H220" s="26">
        <v>0</v>
      </c>
      <c r="I220" s="26">
        <v>207</v>
      </c>
      <c r="J220" s="26">
        <v>153</v>
      </c>
      <c r="K220" s="27">
        <v>1</v>
      </c>
      <c r="L220" s="28">
        <v>0</v>
      </c>
      <c r="M220" s="26" t="s">
        <v>79</v>
      </c>
      <c r="N220" s="62" t="s">
        <v>480</v>
      </c>
      <c r="O220" s="36" t="s">
        <v>15</v>
      </c>
      <c r="P220" s="1" t="s">
        <v>80</v>
      </c>
      <c r="Q220" s="1" t="s">
        <v>481</v>
      </c>
      <c r="R220" s="3"/>
      <c r="S220" s="26" t="s">
        <v>1</v>
      </c>
      <c r="T220" s="29" t="s">
        <v>82</v>
      </c>
      <c r="U220" s="3"/>
    </row>
    <row r="221" spans="1:21" ht="28.9">
      <c r="A221" s="30">
        <v>10220</v>
      </c>
      <c r="B221" s="74" t="s">
        <v>482</v>
      </c>
      <c r="C221" s="25">
        <v>45678</v>
      </c>
      <c r="D221" s="14" t="s">
        <v>483</v>
      </c>
      <c r="E221" s="26">
        <v>18</v>
      </c>
      <c r="F221" s="26">
        <v>18</v>
      </c>
      <c r="G221" s="26">
        <v>135</v>
      </c>
      <c r="H221" s="26">
        <v>36</v>
      </c>
      <c r="I221" s="26">
        <v>207</v>
      </c>
      <c r="J221" s="26">
        <v>171</v>
      </c>
      <c r="K221" s="27">
        <v>0.78947368421052633</v>
      </c>
      <c r="L221" s="28">
        <v>0.21052631578947367</v>
      </c>
      <c r="M221" s="26" t="s">
        <v>95</v>
      </c>
      <c r="N221" s="5" t="s">
        <v>484</v>
      </c>
      <c r="O221" s="36" t="s">
        <v>15</v>
      </c>
      <c r="P221" s="1" t="s">
        <v>80</v>
      </c>
      <c r="Q221" s="1" t="s">
        <v>485</v>
      </c>
      <c r="R221" s="3"/>
      <c r="S221" s="26" t="s">
        <v>1</v>
      </c>
      <c r="T221" s="29" t="s">
        <v>82</v>
      </c>
      <c r="U221" s="3"/>
    </row>
    <row r="222" spans="1:21">
      <c r="A222" s="24">
        <v>10221</v>
      </c>
      <c r="B222" s="74" t="s">
        <v>486</v>
      </c>
      <c r="C222" s="25">
        <v>45684</v>
      </c>
      <c r="D222" s="14" t="s">
        <v>281</v>
      </c>
      <c r="E222" s="26">
        <v>9</v>
      </c>
      <c r="F222" s="26">
        <v>9</v>
      </c>
      <c r="G222" s="26">
        <v>189</v>
      </c>
      <c r="H222" s="26">
        <v>0</v>
      </c>
      <c r="I222" s="26">
        <v>207</v>
      </c>
      <c r="J222" s="26">
        <v>189</v>
      </c>
      <c r="K222" s="27">
        <v>1</v>
      </c>
      <c r="L222" s="28">
        <v>0</v>
      </c>
      <c r="M222" s="26" t="s">
        <v>79</v>
      </c>
      <c r="N222" s="3" t="s">
        <v>281</v>
      </c>
      <c r="O222" s="36" t="s">
        <v>19</v>
      </c>
      <c r="P222" s="1" t="s">
        <v>80</v>
      </c>
      <c r="Q222" s="1" t="s">
        <v>282</v>
      </c>
      <c r="R222" s="3"/>
      <c r="S222" s="26" t="s">
        <v>1</v>
      </c>
      <c r="T222" s="29" t="s">
        <v>82</v>
      </c>
      <c r="U222" s="3"/>
    </row>
    <row r="223" spans="1:21">
      <c r="A223" s="24">
        <v>10222</v>
      </c>
      <c r="B223" s="74" t="s">
        <v>487</v>
      </c>
      <c r="C223" s="25">
        <v>45684</v>
      </c>
      <c r="D223" s="14" t="s">
        <v>350</v>
      </c>
      <c r="E223" s="26">
        <v>36</v>
      </c>
      <c r="F223" s="26">
        <v>9</v>
      </c>
      <c r="G223" s="26">
        <v>162</v>
      </c>
      <c r="H223" s="26">
        <v>0</v>
      </c>
      <c r="I223" s="26">
        <v>207</v>
      </c>
      <c r="J223" s="26">
        <v>162</v>
      </c>
      <c r="K223" s="27">
        <v>1</v>
      </c>
      <c r="L223" s="28">
        <v>0</v>
      </c>
      <c r="M223" s="26" t="s">
        <v>79</v>
      </c>
      <c r="N223" s="3" t="s">
        <v>350</v>
      </c>
      <c r="O223" s="36" t="s">
        <v>19</v>
      </c>
      <c r="P223" s="1" t="s">
        <v>80</v>
      </c>
      <c r="Q223" s="1" t="s">
        <v>351</v>
      </c>
      <c r="R223" s="3"/>
      <c r="S223" s="26" t="s">
        <v>1</v>
      </c>
      <c r="T223" s="29" t="s">
        <v>82</v>
      </c>
      <c r="U223" s="3"/>
    </row>
    <row r="224" spans="1:21">
      <c r="A224" s="30">
        <v>10223</v>
      </c>
      <c r="B224" s="74" t="s">
        <v>488</v>
      </c>
      <c r="C224" s="25">
        <v>45691</v>
      </c>
      <c r="D224" s="14" t="s">
        <v>135</v>
      </c>
      <c r="E224" s="26">
        <v>31.5</v>
      </c>
      <c r="F224" s="26">
        <v>9</v>
      </c>
      <c r="G224" s="26">
        <v>166.5</v>
      </c>
      <c r="H224" s="26">
        <v>0</v>
      </c>
      <c r="I224" s="26">
        <v>207</v>
      </c>
      <c r="J224" s="26">
        <v>166.5</v>
      </c>
      <c r="K224" s="27">
        <v>1</v>
      </c>
      <c r="L224" s="28">
        <v>0</v>
      </c>
      <c r="M224" s="26" t="s">
        <v>79</v>
      </c>
      <c r="N224" s="3" t="s">
        <v>135</v>
      </c>
      <c r="O224" s="36" t="s">
        <v>15</v>
      </c>
      <c r="P224" s="1" t="s">
        <v>80</v>
      </c>
      <c r="Q224" s="1" t="s">
        <v>136</v>
      </c>
      <c r="R224" s="3"/>
      <c r="S224" s="26" t="s">
        <v>1</v>
      </c>
      <c r="T224" s="29" t="s">
        <v>82</v>
      </c>
      <c r="U224" s="3"/>
    </row>
    <row r="225" spans="1:21">
      <c r="A225" s="24">
        <v>10224</v>
      </c>
      <c r="B225" s="74" t="s">
        <v>489</v>
      </c>
      <c r="C225" s="25">
        <v>45691</v>
      </c>
      <c r="D225" s="14" t="s">
        <v>490</v>
      </c>
      <c r="E225" s="26">
        <v>18</v>
      </c>
      <c r="F225" s="26">
        <v>9</v>
      </c>
      <c r="G225" s="26">
        <v>0</v>
      </c>
      <c r="H225" s="26">
        <v>180</v>
      </c>
      <c r="I225" s="26">
        <v>207</v>
      </c>
      <c r="J225" s="26">
        <v>180</v>
      </c>
      <c r="K225" s="27">
        <v>0</v>
      </c>
      <c r="L225" s="28">
        <v>1</v>
      </c>
      <c r="M225" s="26" t="s">
        <v>95</v>
      </c>
      <c r="N225" s="62" t="s">
        <v>491</v>
      </c>
      <c r="O225" s="36" t="s">
        <v>10</v>
      </c>
      <c r="P225" s="1" t="s">
        <v>1</v>
      </c>
      <c r="Q225" s="1" t="s">
        <v>10</v>
      </c>
      <c r="R225" s="3"/>
      <c r="S225" s="26" t="s">
        <v>1</v>
      </c>
      <c r="T225" s="29" t="s">
        <v>82</v>
      </c>
      <c r="U225" s="3"/>
    </row>
    <row r="226" spans="1:21" ht="43.15">
      <c r="A226" s="24">
        <v>10225</v>
      </c>
      <c r="B226" s="74" t="s">
        <v>492</v>
      </c>
      <c r="C226" s="25">
        <v>45692</v>
      </c>
      <c r="D226" s="14" t="s">
        <v>493</v>
      </c>
      <c r="E226" s="26">
        <v>54</v>
      </c>
      <c r="F226" s="26">
        <v>9</v>
      </c>
      <c r="G226" s="26">
        <v>45</v>
      </c>
      <c r="H226" s="26">
        <v>99</v>
      </c>
      <c r="I226" s="26">
        <v>207</v>
      </c>
      <c r="J226" s="26">
        <v>144</v>
      </c>
      <c r="K226" s="27">
        <v>0.3125</v>
      </c>
      <c r="L226" s="28">
        <v>0.6875</v>
      </c>
      <c r="M226" s="26" t="s">
        <v>95</v>
      </c>
      <c r="N226" s="37" t="s">
        <v>494</v>
      </c>
      <c r="O226" s="36" t="s">
        <v>10</v>
      </c>
      <c r="P226" s="1" t="s">
        <v>1</v>
      </c>
      <c r="Q226" s="1" t="s">
        <v>10</v>
      </c>
      <c r="R226" s="3"/>
      <c r="S226" s="26" t="s">
        <v>80</v>
      </c>
      <c r="T226" s="29">
        <v>46035</v>
      </c>
      <c r="U226" s="3"/>
    </row>
    <row r="227" spans="1:21">
      <c r="A227" s="30">
        <v>10226</v>
      </c>
      <c r="B227" s="74" t="s">
        <v>495</v>
      </c>
      <c r="C227" s="25">
        <v>45692</v>
      </c>
      <c r="D227" s="14" t="s">
        <v>135</v>
      </c>
      <c r="E227" s="26">
        <v>13.5</v>
      </c>
      <c r="F227" s="26">
        <v>9</v>
      </c>
      <c r="G227" s="26">
        <v>184.5</v>
      </c>
      <c r="H227" s="26">
        <v>0</v>
      </c>
      <c r="I227" s="26">
        <v>207</v>
      </c>
      <c r="J227" s="26">
        <v>184.5</v>
      </c>
      <c r="K227" s="27">
        <v>1</v>
      </c>
      <c r="L227" s="28">
        <v>0</v>
      </c>
      <c r="M227" s="26" t="s">
        <v>79</v>
      </c>
      <c r="N227" s="3" t="s">
        <v>135</v>
      </c>
      <c r="O227" s="36" t="s">
        <v>15</v>
      </c>
      <c r="P227" s="1" t="s">
        <v>80</v>
      </c>
      <c r="Q227" s="1" t="s">
        <v>136</v>
      </c>
      <c r="R227" s="3"/>
      <c r="S227" s="26" t="s">
        <v>1</v>
      </c>
      <c r="T227" s="29" t="s">
        <v>82</v>
      </c>
      <c r="U227" s="3"/>
    </row>
    <row r="228" spans="1:21">
      <c r="A228" s="24">
        <v>10227</v>
      </c>
      <c r="B228" s="74" t="s">
        <v>496</v>
      </c>
      <c r="C228" s="25">
        <v>45693</v>
      </c>
      <c r="D228" s="14" t="s">
        <v>162</v>
      </c>
      <c r="E228" s="26">
        <v>18</v>
      </c>
      <c r="F228" s="26">
        <v>9</v>
      </c>
      <c r="G228" s="26">
        <v>0</v>
      </c>
      <c r="H228" s="26">
        <v>180</v>
      </c>
      <c r="I228" s="26">
        <v>207</v>
      </c>
      <c r="J228" s="26">
        <v>180</v>
      </c>
      <c r="K228" s="27">
        <v>0</v>
      </c>
      <c r="L228" s="28">
        <v>1</v>
      </c>
      <c r="M228" s="26" t="s">
        <v>95</v>
      </c>
      <c r="N228" s="62" t="s">
        <v>497</v>
      </c>
      <c r="O228" s="36" t="s">
        <v>19</v>
      </c>
      <c r="P228" s="1" t="s">
        <v>1</v>
      </c>
      <c r="Q228" s="1" t="s">
        <v>163</v>
      </c>
      <c r="R228" s="3"/>
      <c r="S228" s="26" t="s">
        <v>1</v>
      </c>
      <c r="T228" s="29" t="s">
        <v>82</v>
      </c>
      <c r="U228" s="3"/>
    </row>
    <row r="229" spans="1:21">
      <c r="A229" s="24">
        <v>10228</v>
      </c>
      <c r="B229" s="74" t="s">
        <v>498</v>
      </c>
      <c r="C229" s="25">
        <v>45694</v>
      </c>
      <c r="D229" s="14" t="s">
        <v>499</v>
      </c>
      <c r="E229" s="26">
        <v>9</v>
      </c>
      <c r="F229" s="26">
        <v>9</v>
      </c>
      <c r="G229" s="26">
        <v>189</v>
      </c>
      <c r="H229" s="26">
        <v>0</v>
      </c>
      <c r="I229" s="26">
        <v>207</v>
      </c>
      <c r="J229" s="26">
        <v>189</v>
      </c>
      <c r="K229" s="27">
        <v>1</v>
      </c>
      <c r="L229" s="28">
        <v>0</v>
      </c>
      <c r="M229" s="26" t="s">
        <v>79</v>
      </c>
      <c r="N229" s="3" t="s">
        <v>499</v>
      </c>
      <c r="O229" s="36" t="s">
        <v>19</v>
      </c>
      <c r="P229" s="1" t="s">
        <v>80</v>
      </c>
      <c r="Q229" s="1" t="s">
        <v>500</v>
      </c>
      <c r="R229" s="3"/>
      <c r="S229" s="26" t="s">
        <v>1</v>
      </c>
      <c r="T229" s="29" t="s">
        <v>82</v>
      </c>
      <c r="U229" s="3"/>
    </row>
    <row r="230" spans="1:21">
      <c r="A230" s="30">
        <v>10229</v>
      </c>
      <c r="B230" s="74" t="s">
        <v>501</v>
      </c>
      <c r="C230" s="25">
        <v>45694</v>
      </c>
      <c r="D230" s="14" t="s">
        <v>110</v>
      </c>
      <c r="E230" s="26">
        <v>9</v>
      </c>
      <c r="F230" s="26">
        <v>9</v>
      </c>
      <c r="G230" s="26">
        <v>189</v>
      </c>
      <c r="H230" s="26">
        <v>0</v>
      </c>
      <c r="I230" s="26">
        <v>207</v>
      </c>
      <c r="J230" s="26">
        <v>189</v>
      </c>
      <c r="K230" s="27">
        <v>1</v>
      </c>
      <c r="L230" s="28">
        <v>0</v>
      </c>
      <c r="M230" s="26" t="s">
        <v>79</v>
      </c>
      <c r="N230" s="3" t="s">
        <v>110</v>
      </c>
      <c r="O230" s="36" t="s">
        <v>15</v>
      </c>
      <c r="P230" s="1" t="s">
        <v>80</v>
      </c>
      <c r="Q230" s="1" t="s">
        <v>110</v>
      </c>
      <c r="R230" s="3"/>
      <c r="S230" s="26" t="s">
        <v>1</v>
      </c>
      <c r="T230" s="29" t="s">
        <v>82</v>
      </c>
      <c r="U230" s="3"/>
    </row>
    <row r="231" spans="1:21">
      <c r="A231" s="24">
        <v>10230</v>
      </c>
      <c r="B231" s="74" t="s">
        <v>502</v>
      </c>
      <c r="C231" s="25">
        <v>45694</v>
      </c>
      <c r="D231" s="14" t="s">
        <v>121</v>
      </c>
      <c r="E231" s="26">
        <v>0</v>
      </c>
      <c r="F231" s="26">
        <v>9</v>
      </c>
      <c r="G231" s="26">
        <v>0</v>
      </c>
      <c r="H231" s="26">
        <v>135</v>
      </c>
      <c r="I231" s="26">
        <v>144</v>
      </c>
      <c r="J231" s="26">
        <v>135</v>
      </c>
      <c r="K231" s="27">
        <v>0</v>
      </c>
      <c r="L231" s="28">
        <v>1</v>
      </c>
      <c r="M231" s="26" t="s">
        <v>95</v>
      </c>
      <c r="N231" s="62" t="s">
        <v>122</v>
      </c>
      <c r="O231" s="4" t="s">
        <v>234</v>
      </c>
      <c r="P231" s="1" t="s">
        <v>1</v>
      </c>
      <c r="Q231" s="4" t="s">
        <v>234</v>
      </c>
      <c r="R231" s="3"/>
      <c r="S231" s="26" t="s">
        <v>80</v>
      </c>
      <c r="T231" s="29">
        <v>46017</v>
      </c>
      <c r="U231" s="3"/>
    </row>
    <row r="232" spans="1:21" ht="28.9">
      <c r="A232" s="24">
        <v>10231</v>
      </c>
      <c r="B232" s="74" t="s">
        <v>503</v>
      </c>
      <c r="C232" s="25">
        <v>45699</v>
      </c>
      <c r="D232" s="14" t="s">
        <v>504</v>
      </c>
      <c r="E232" s="26">
        <v>54</v>
      </c>
      <c r="F232" s="26">
        <v>18</v>
      </c>
      <c r="G232" s="26">
        <v>135</v>
      </c>
      <c r="H232" s="26">
        <v>0</v>
      </c>
      <c r="I232" s="26">
        <v>207</v>
      </c>
      <c r="J232" s="26">
        <v>135</v>
      </c>
      <c r="K232" s="27">
        <v>1</v>
      </c>
      <c r="L232" s="28">
        <v>0</v>
      </c>
      <c r="M232" s="26" t="s">
        <v>79</v>
      </c>
      <c r="N232" s="3" t="s">
        <v>505</v>
      </c>
      <c r="O232" s="36" t="s">
        <v>15</v>
      </c>
      <c r="P232" s="1" t="s">
        <v>80</v>
      </c>
      <c r="Q232" s="1" t="s">
        <v>506</v>
      </c>
      <c r="R232" s="3"/>
      <c r="S232" s="26" t="s">
        <v>1</v>
      </c>
      <c r="T232" s="29" t="s">
        <v>82</v>
      </c>
      <c r="U232" s="3"/>
    </row>
    <row r="233" spans="1:21">
      <c r="A233" s="30">
        <v>10232</v>
      </c>
      <c r="B233" s="74" t="s">
        <v>507</v>
      </c>
      <c r="C233" s="25">
        <v>45700</v>
      </c>
      <c r="D233" s="14" t="s">
        <v>344</v>
      </c>
      <c r="E233" s="26">
        <v>0</v>
      </c>
      <c r="F233" s="26">
        <v>18</v>
      </c>
      <c r="G233" s="26">
        <v>0</v>
      </c>
      <c r="H233" s="26">
        <v>189</v>
      </c>
      <c r="I233" s="26">
        <v>207</v>
      </c>
      <c r="J233" s="26">
        <v>189</v>
      </c>
      <c r="K233" s="27">
        <v>0</v>
      </c>
      <c r="L233" s="28">
        <v>1</v>
      </c>
      <c r="M233" s="26" t="s">
        <v>95</v>
      </c>
      <c r="N233" s="62" t="s">
        <v>345</v>
      </c>
      <c r="O233" s="36" t="s">
        <v>149</v>
      </c>
      <c r="P233" s="1" t="s">
        <v>1</v>
      </c>
      <c r="Q233" s="1" t="s">
        <v>149</v>
      </c>
      <c r="R233" s="3"/>
      <c r="S233" s="26" t="s">
        <v>1</v>
      </c>
      <c r="T233" s="29" t="s">
        <v>82</v>
      </c>
      <c r="U233" s="3"/>
    </row>
    <row r="234" spans="1:21" ht="43.15">
      <c r="A234" s="24">
        <v>10233</v>
      </c>
      <c r="B234" s="74" t="s">
        <v>508</v>
      </c>
      <c r="C234" s="25">
        <v>45701</v>
      </c>
      <c r="D234" s="14" t="s">
        <v>509</v>
      </c>
      <c r="E234" s="26">
        <v>36</v>
      </c>
      <c r="F234" s="26">
        <v>9</v>
      </c>
      <c r="G234" s="26">
        <v>49</v>
      </c>
      <c r="H234" s="26">
        <v>113</v>
      </c>
      <c r="I234" s="26">
        <v>207</v>
      </c>
      <c r="J234" s="26">
        <v>162</v>
      </c>
      <c r="K234" s="27">
        <v>0.30246913580246915</v>
      </c>
      <c r="L234" s="28">
        <v>0.69753086419753085</v>
      </c>
      <c r="M234" s="26" t="s">
        <v>95</v>
      </c>
      <c r="N234" s="37" t="s">
        <v>510</v>
      </c>
      <c r="O234" s="36" t="s">
        <v>15</v>
      </c>
      <c r="P234" s="1" t="s">
        <v>80</v>
      </c>
      <c r="Q234" s="1" t="s">
        <v>130</v>
      </c>
      <c r="R234" s="3"/>
      <c r="S234" s="26" t="s">
        <v>1</v>
      </c>
      <c r="T234" s="29" t="s">
        <v>82</v>
      </c>
      <c r="U234" s="3"/>
    </row>
    <row r="235" spans="1:21">
      <c r="A235" s="24">
        <v>10234</v>
      </c>
      <c r="B235" s="74" t="s">
        <v>511</v>
      </c>
      <c r="C235" s="25">
        <v>45701</v>
      </c>
      <c r="D235" s="14" t="s">
        <v>135</v>
      </c>
      <c r="E235" s="26">
        <v>9</v>
      </c>
      <c r="F235" s="26">
        <v>9</v>
      </c>
      <c r="G235" s="26">
        <v>189</v>
      </c>
      <c r="H235" s="26">
        <v>0</v>
      </c>
      <c r="I235" s="26">
        <v>207</v>
      </c>
      <c r="J235" s="26">
        <v>189</v>
      </c>
      <c r="K235" s="27">
        <v>1</v>
      </c>
      <c r="L235" s="28">
        <v>0</v>
      </c>
      <c r="M235" s="26" t="s">
        <v>79</v>
      </c>
      <c r="N235" s="3" t="s">
        <v>135</v>
      </c>
      <c r="O235" s="36" t="s">
        <v>15</v>
      </c>
      <c r="P235" s="1" t="s">
        <v>80</v>
      </c>
      <c r="Q235" s="1" t="s">
        <v>136</v>
      </c>
      <c r="R235" s="3"/>
      <c r="S235" s="26" t="s">
        <v>1</v>
      </c>
      <c r="T235" s="29" t="s">
        <v>82</v>
      </c>
      <c r="U235" s="3"/>
    </row>
    <row r="236" spans="1:21">
      <c r="A236" s="30">
        <v>10235</v>
      </c>
      <c r="B236" s="74" t="s">
        <v>512</v>
      </c>
      <c r="C236" s="25">
        <v>45702</v>
      </c>
      <c r="D236" s="14" t="s">
        <v>78</v>
      </c>
      <c r="E236" s="26">
        <v>36</v>
      </c>
      <c r="F236" s="26">
        <v>9</v>
      </c>
      <c r="G236" s="26">
        <v>162</v>
      </c>
      <c r="H236" s="26">
        <v>0</v>
      </c>
      <c r="I236" s="26">
        <v>207</v>
      </c>
      <c r="J236" s="26">
        <v>162</v>
      </c>
      <c r="K236" s="27">
        <v>1</v>
      </c>
      <c r="L236" s="28">
        <v>0</v>
      </c>
      <c r="M236" s="26" t="s">
        <v>79</v>
      </c>
      <c r="N236" s="3" t="s">
        <v>78</v>
      </c>
      <c r="O236" s="36" t="s">
        <v>19</v>
      </c>
      <c r="P236" s="1" t="s">
        <v>80</v>
      </c>
      <c r="Q236" s="1" t="s">
        <v>81</v>
      </c>
      <c r="R236" s="3"/>
      <c r="S236" s="26" t="s">
        <v>1</v>
      </c>
      <c r="T236" s="29" t="s">
        <v>82</v>
      </c>
      <c r="U236" s="3"/>
    </row>
    <row r="237" spans="1:21" ht="28.9">
      <c r="A237" s="24">
        <v>10236</v>
      </c>
      <c r="B237" s="74" t="s">
        <v>513</v>
      </c>
      <c r="C237" s="25">
        <v>45705</v>
      </c>
      <c r="D237" s="14" t="s">
        <v>514</v>
      </c>
      <c r="E237" s="26">
        <v>9</v>
      </c>
      <c r="F237" s="26">
        <v>9</v>
      </c>
      <c r="G237" s="26">
        <v>0</v>
      </c>
      <c r="H237" s="26">
        <v>189</v>
      </c>
      <c r="I237" s="26">
        <v>207</v>
      </c>
      <c r="J237" s="26">
        <v>189</v>
      </c>
      <c r="K237" s="27">
        <v>0</v>
      </c>
      <c r="L237" s="28">
        <v>1</v>
      </c>
      <c r="M237" s="26" t="s">
        <v>95</v>
      </c>
      <c r="N237" s="5" t="s">
        <v>515</v>
      </c>
      <c r="O237" s="1" t="s">
        <v>516</v>
      </c>
      <c r="P237" s="1" t="s">
        <v>1</v>
      </c>
      <c r="Q237" s="1" t="s">
        <v>516</v>
      </c>
      <c r="R237" s="3"/>
      <c r="S237" s="26" t="s">
        <v>80</v>
      </c>
      <c r="T237" s="29">
        <v>46053</v>
      </c>
      <c r="U237" s="3"/>
    </row>
    <row r="238" spans="1:21">
      <c r="A238" s="24">
        <v>10237</v>
      </c>
      <c r="B238" s="74" t="s">
        <v>517</v>
      </c>
      <c r="C238" s="25">
        <v>45705</v>
      </c>
      <c r="D238" s="14" t="s">
        <v>185</v>
      </c>
      <c r="E238" s="26">
        <v>18</v>
      </c>
      <c r="F238" s="26">
        <v>18</v>
      </c>
      <c r="G238" s="26">
        <v>171</v>
      </c>
      <c r="H238" s="26">
        <v>0</v>
      </c>
      <c r="I238" s="26">
        <v>207</v>
      </c>
      <c r="J238" s="26">
        <v>171</v>
      </c>
      <c r="K238" s="27">
        <v>1</v>
      </c>
      <c r="L238" s="28">
        <v>0</v>
      </c>
      <c r="M238" s="26" t="s">
        <v>79</v>
      </c>
      <c r="N238" s="3" t="s">
        <v>185</v>
      </c>
      <c r="O238" s="36" t="s">
        <v>15</v>
      </c>
      <c r="P238" s="1" t="s">
        <v>80</v>
      </c>
      <c r="Q238" s="1" t="s">
        <v>186</v>
      </c>
      <c r="R238" s="3"/>
      <c r="S238" s="26" t="s">
        <v>1</v>
      </c>
      <c r="T238" s="29" t="s">
        <v>82</v>
      </c>
      <c r="U238" s="3"/>
    </row>
    <row r="239" spans="1:21">
      <c r="A239" s="30">
        <v>10238</v>
      </c>
      <c r="B239" s="74" t="s">
        <v>518</v>
      </c>
      <c r="C239" s="25">
        <v>45708</v>
      </c>
      <c r="D239" s="14" t="s">
        <v>196</v>
      </c>
      <c r="E239" s="26">
        <v>0</v>
      </c>
      <c r="F239" s="26">
        <v>9</v>
      </c>
      <c r="G239" s="26">
        <v>198</v>
      </c>
      <c r="H239" s="26">
        <v>0</v>
      </c>
      <c r="I239" s="26">
        <v>207</v>
      </c>
      <c r="J239" s="26">
        <v>198</v>
      </c>
      <c r="K239" s="27">
        <v>1</v>
      </c>
      <c r="L239" s="28">
        <v>0</v>
      </c>
      <c r="M239" s="26" t="s">
        <v>79</v>
      </c>
      <c r="N239" s="3" t="s">
        <v>196</v>
      </c>
      <c r="O239" s="36" t="s">
        <v>19</v>
      </c>
      <c r="P239" s="1" t="s">
        <v>80</v>
      </c>
      <c r="Q239" s="1" t="s">
        <v>197</v>
      </c>
      <c r="R239" s="3"/>
      <c r="S239" s="26" t="s">
        <v>1</v>
      </c>
      <c r="T239" s="29" t="s">
        <v>82</v>
      </c>
      <c r="U239" s="3"/>
    </row>
    <row r="240" spans="1:21">
      <c r="A240" s="24">
        <v>10239</v>
      </c>
      <c r="B240" s="74" t="s">
        <v>519</v>
      </c>
      <c r="C240" s="25">
        <v>45712</v>
      </c>
      <c r="D240" s="14" t="s">
        <v>138</v>
      </c>
      <c r="E240" s="26">
        <v>27</v>
      </c>
      <c r="F240" s="26">
        <v>9</v>
      </c>
      <c r="G240" s="26">
        <v>171</v>
      </c>
      <c r="H240" s="26">
        <v>0</v>
      </c>
      <c r="I240" s="26">
        <v>207</v>
      </c>
      <c r="J240" s="26">
        <v>171</v>
      </c>
      <c r="K240" s="27">
        <v>1</v>
      </c>
      <c r="L240" s="28">
        <v>0</v>
      </c>
      <c r="M240" s="26" t="s">
        <v>79</v>
      </c>
      <c r="N240" s="3" t="s">
        <v>138</v>
      </c>
      <c r="O240" s="36" t="s">
        <v>19</v>
      </c>
      <c r="P240" s="1" t="s">
        <v>80</v>
      </c>
      <c r="Q240" s="1" t="s">
        <v>139</v>
      </c>
      <c r="R240" s="3"/>
      <c r="S240" s="26" t="s">
        <v>1</v>
      </c>
      <c r="T240" s="29" t="s">
        <v>82</v>
      </c>
      <c r="U240" s="3"/>
    </row>
    <row r="241" spans="1:21">
      <c r="A241" s="24">
        <v>10240</v>
      </c>
      <c r="B241" s="74" t="s">
        <v>520</v>
      </c>
      <c r="C241" s="25">
        <v>45712</v>
      </c>
      <c r="D241" s="14" t="s">
        <v>196</v>
      </c>
      <c r="E241" s="26">
        <v>45</v>
      </c>
      <c r="F241" s="26">
        <v>9</v>
      </c>
      <c r="G241" s="26">
        <v>153</v>
      </c>
      <c r="H241" s="26">
        <v>0</v>
      </c>
      <c r="I241" s="26">
        <v>207</v>
      </c>
      <c r="J241" s="26">
        <v>153</v>
      </c>
      <c r="K241" s="27">
        <v>1</v>
      </c>
      <c r="L241" s="28">
        <v>0</v>
      </c>
      <c r="M241" s="26" t="s">
        <v>79</v>
      </c>
      <c r="N241" s="3" t="s">
        <v>196</v>
      </c>
      <c r="O241" s="36" t="s">
        <v>19</v>
      </c>
      <c r="P241" s="1" t="s">
        <v>80</v>
      </c>
      <c r="Q241" s="1" t="s">
        <v>197</v>
      </c>
      <c r="R241" s="3"/>
      <c r="S241" s="26" t="s">
        <v>1</v>
      </c>
      <c r="T241" s="29" t="s">
        <v>82</v>
      </c>
      <c r="U241" s="3"/>
    </row>
    <row r="242" spans="1:21" ht="28.9">
      <c r="A242" s="30">
        <v>10241</v>
      </c>
      <c r="B242" s="74" t="s">
        <v>521</v>
      </c>
      <c r="C242" s="25">
        <v>45713</v>
      </c>
      <c r="D242" s="14" t="s">
        <v>522</v>
      </c>
      <c r="E242" s="26">
        <v>13.5</v>
      </c>
      <c r="F242" s="26">
        <v>18</v>
      </c>
      <c r="G242" s="26">
        <v>175.5</v>
      </c>
      <c r="H242" s="26">
        <v>0</v>
      </c>
      <c r="I242" s="26">
        <v>207</v>
      </c>
      <c r="J242" s="26">
        <v>175.5</v>
      </c>
      <c r="K242" s="27">
        <v>1</v>
      </c>
      <c r="L242" s="28">
        <v>0</v>
      </c>
      <c r="M242" s="26" t="s">
        <v>79</v>
      </c>
      <c r="N242" s="3" t="s">
        <v>522</v>
      </c>
      <c r="O242" s="36" t="s">
        <v>15</v>
      </c>
      <c r="P242" s="1" t="s">
        <v>80</v>
      </c>
      <c r="Q242" s="1" t="s">
        <v>272</v>
      </c>
      <c r="R242" s="3"/>
      <c r="S242" s="26" t="s">
        <v>1</v>
      </c>
      <c r="T242" s="29" t="s">
        <v>82</v>
      </c>
      <c r="U242" s="3"/>
    </row>
    <row r="243" spans="1:21" ht="28.9">
      <c r="A243" s="24">
        <v>10242</v>
      </c>
      <c r="B243" s="74" t="s">
        <v>523</v>
      </c>
      <c r="C243" s="25">
        <v>45714</v>
      </c>
      <c r="D243" s="14" t="s">
        <v>524</v>
      </c>
      <c r="E243" s="26">
        <v>9</v>
      </c>
      <c r="F243" s="26">
        <v>9</v>
      </c>
      <c r="G243" s="26">
        <v>81</v>
      </c>
      <c r="H243" s="26">
        <v>108</v>
      </c>
      <c r="I243" s="26">
        <v>207</v>
      </c>
      <c r="J243" s="26">
        <v>189</v>
      </c>
      <c r="K243" s="27">
        <v>0.42857142857142855</v>
      </c>
      <c r="L243" s="28">
        <v>0.5714285714285714</v>
      </c>
      <c r="M243" s="26" t="s">
        <v>95</v>
      </c>
      <c r="N243" s="37" t="s">
        <v>525</v>
      </c>
      <c r="O243" s="36" t="s">
        <v>10</v>
      </c>
      <c r="P243" s="1" t="s">
        <v>1</v>
      </c>
      <c r="Q243" s="36" t="s">
        <v>10</v>
      </c>
      <c r="R243" s="3"/>
      <c r="S243" s="26" t="s">
        <v>1</v>
      </c>
      <c r="T243" s="29" t="s">
        <v>82</v>
      </c>
      <c r="U243" s="3"/>
    </row>
    <row r="244" spans="1:21" ht="57.6">
      <c r="A244" s="24">
        <v>10243</v>
      </c>
      <c r="B244" s="74" t="s">
        <v>526</v>
      </c>
      <c r="C244" s="25">
        <v>45719</v>
      </c>
      <c r="D244" s="14" t="s">
        <v>527</v>
      </c>
      <c r="E244" s="26">
        <v>36</v>
      </c>
      <c r="F244" s="26">
        <v>9</v>
      </c>
      <c r="G244" s="26">
        <v>17</v>
      </c>
      <c r="H244" s="26">
        <v>145</v>
      </c>
      <c r="I244" s="26">
        <v>207</v>
      </c>
      <c r="J244" s="26">
        <v>162</v>
      </c>
      <c r="K244" s="27">
        <v>0.10493827160493827</v>
      </c>
      <c r="L244" s="28">
        <v>0.89506172839506171</v>
      </c>
      <c r="M244" s="26" t="s">
        <v>95</v>
      </c>
      <c r="N244" s="5" t="s">
        <v>528</v>
      </c>
      <c r="O244" s="4" t="s">
        <v>234</v>
      </c>
      <c r="P244" s="1" t="s">
        <v>1</v>
      </c>
      <c r="Q244" s="4" t="s">
        <v>234</v>
      </c>
      <c r="R244" s="3"/>
      <c r="S244" s="26" t="s">
        <v>80</v>
      </c>
      <c r="T244" s="29">
        <v>46114</v>
      </c>
      <c r="U244" s="3"/>
    </row>
    <row r="245" spans="1:21">
      <c r="A245" s="30">
        <v>10244</v>
      </c>
      <c r="B245" s="74" t="s">
        <v>529</v>
      </c>
      <c r="C245" s="25">
        <v>45719</v>
      </c>
      <c r="D245" s="14" t="s">
        <v>530</v>
      </c>
      <c r="E245" s="26">
        <v>54</v>
      </c>
      <c r="F245" s="26">
        <v>9</v>
      </c>
      <c r="G245" s="26">
        <v>144</v>
      </c>
      <c r="H245" s="26">
        <v>0</v>
      </c>
      <c r="I245" s="26">
        <v>207</v>
      </c>
      <c r="J245" s="26">
        <v>144</v>
      </c>
      <c r="K245" s="27">
        <v>1</v>
      </c>
      <c r="L245" s="28">
        <v>0</v>
      </c>
      <c r="M245" s="26" t="s">
        <v>79</v>
      </c>
      <c r="N245" s="3" t="s">
        <v>530</v>
      </c>
      <c r="O245" s="36" t="s">
        <v>19</v>
      </c>
      <c r="P245" s="1" t="s">
        <v>80</v>
      </c>
      <c r="Q245" s="1" t="s">
        <v>531</v>
      </c>
      <c r="R245" s="3"/>
      <c r="S245" s="26" t="s">
        <v>1</v>
      </c>
      <c r="T245" s="29" t="s">
        <v>82</v>
      </c>
      <c r="U245" s="3"/>
    </row>
    <row r="246" spans="1:21">
      <c r="A246" s="24">
        <v>10245</v>
      </c>
      <c r="B246" s="74" t="s">
        <v>532</v>
      </c>
      <c r="C246" s="25">
        <v>45726</v>
      </c>
      <c r="D246" s="14" t="s">
        <v>99</v>
      </c>
      <c r="E246" s="26">
        <v>45</v>
      </c>
      <c r="F246" s="26">
        <v>9</v>
      </c>
      <c r="G246" s="26">
        <v>153</v>
      </c>
      <c r="H246" s="26">
        <v>0</v>
      </c>
      <c r="I246" s="26">
        <v>207</v>
      </c>
      <c r="J246" s="26">
        <v>153</v>
      </c>
      <c r="K246" s="27">
        <v>1</v>
      </c>
      <c r="L246" s="28">
        <v>0</v>
      </c>
      <c r="M246" s="26" t="s">
        <v>79</v>
      </c>
      <c r="N246" s="62" t="s">
        <v>533</v>
      </c>
      <c r="O246" s="36" t="s">
        <v>19</v>
      </c>
      <c r="P246" s="1" t="s">
        <v>80</v>
      </c>
      <c r="Q246" s="1" t="s">
        <v>100</v>
      </c>
      <c r="R246" s="3"/>
      <c r="S246" s="26" t="s">
        <v>1</v>
      </c>
      <c r="T246" s="29" t="s">
        <v>82</v>
      </c>
      <c r="U246" s="3"/>
    </row>
    <row r="247" spans="1:21" ht="43.15">
      <c r="A247" s="24">
        <v>10246</v>
      </c>
      <c r="B247" s="74" t="s">
        <v>534</v>
      </c>
      <c r="C247" s="25">
        <v>45727</v>
      </c>
      <c r="D247" s="14" t="s">
        <v>535</v>
      </c>
      <c r="E247" s="26">
        <v>45</v>
      </c>
      <c r="F247" s="26">
        <v>9</v>
      </c>
      <c r="G247" s="26">
        <v>85.5</v>
      </c>
      <c r="H247" s="26">
        <v>67.5</v>
      </c>
      <c r="I247" s="26">
        <v>207</v>
      </c>
      <c r="J247" s="26">
        <v>153</v>
      </c>
      <c r="K247" s="27">
        <v>0.55882352941176472</v>
      </c>
      <c r="L247" s="28">
        <v>0.44117647058823528</v>
      </c>
      <c r="M247" s="26" t="s">
        <v>95</v>
      </c>
      <c r="N247" s="37" t="s">
        <v>536</v>
      </c>
      <c r="O247" s="36" t="s">
        <v>19</v>
      </c>
      <c r="P247" s="1" t="s">
        <v>1</v>
      </c>
      <c r="Q247" s="70" t="s">
        <v>537</v>
      </c>
      <c r="R247" s="3"/>
      <c r="S247" s="26" t="s">
        <v>1</v>
      </c>
      <c r="T247" s="29" t="s">
        <v>82</v>
      </c>
      <c r="U247" s="3"/>
    </row>
    <row r="248" spans="1:21">
      <c r="A248" s="30">
        <v>10247</v>
      </c>
      <c r="B248" s="74" t="s">
        <v>538</v>
      </c>
      <c r="C248" s="25">
        <v>45728</v>
      </c>
      <c r="D248" s="14" t="s">
        <v>539</v>
      </c>
      <c r="E248" s="26">
        <v>9</v>
      </c>
      <c r="F248" s="26">
        <v>18</v>
      </c>
      <c r="G248" s="26">
        <v>180</v>
      </c>
      <c r="H248" s="26">
        <v>0</v>
      </c>
      <c r="I248" s="26">
        <v>207</v>
      </c>
      <c r="J248" s="26">
        <v>180</v>
      </c>
      <c r="K248" s="27">
        <v>1</v>
      </c>
      <c r="L248" s="28">
        <v>0</v>
      </c>
      <c r="M248" s="26" t="s">
        <v>79</v>
      </c>
      <c r="N248" s="3" t="s">
        <v>539</v>
      </c>
      <c r="O248" s="36" t="s">
        <v>19</v>
      </c>
      <c r="P248" s="1" t="s">
        <v>80</v>
      </c>
      <c r="Q248" s="1" t="s">
        <v>540</v>
      </c>
      <c r="R248" s="3"/>
      <c r="S248" s="26" t="s">
        <v>1</v>
      </c>
      <c r="T248" s="29" t="s">
        <v>82</v>
      </c>
      <c r="U248" s="3"/>
    </row>
    <row r="249" spans="1:21" ht="28.9">
      <c r="A249" s="24">
        <v>10248</v>
      </c>
      <c r="B249" s="74" t="s">
        <v>541</v>
      </c>
      <c r="C249" s="25">
        <v>45733</v>
      </c>
      <c r="D249" s="14" t="s">
        <v>542</v>
      </c>
      <c r="E249" s="26">
        <v>9</v>
      </c>
      <c r="F249" s="26">
        <v>18</v>
      </c>
      <c r="G249" s="26">
        <v>180</v>
      </c>
      <c r="H249" s="26">
        <v>0</v>
      </c>
      <c r="I249" s="26">
        <v>207</v>
      </c>
      <c r="J249" s="26">
        <v>180</v>
      </c>
      <c r="K249" s="27">
        <v>1</v>
      </c>
      <c r="L249" s="28">
        <v>0</v>
      </c>
      <c r="M249" s="26" t="s">
        <v>79</v>
      </c>
      <c r="N249" s="3" t="s">
        <v>543</v>
      </c>
      <c r="O249" s="36" t="s">
        <v>15</v>
      </c>
      <c r="P249" s="1" t="s">
        <v>80</v>
      </c>
      <c r="Q249" s="1" t="s">
        <v>543</v>
      </c>
      <c r="R249" s="3"/>
      <c r="S249" s="26" t="s">
        <v>1</v>
      </c>
      <c r="T249" s="29" t="s">
        <v>82</v>
      </c>
      <c r="U249" s="3"/>
    </row>
    <row r="250" spans="1:21" ht="28.9">
      <c r="A250" s="24">
        <v>10249</v>
      </c>
      <c r="B250" s="74" t="s">
        <v>544</v>
      </c>
      <c r="C250" s="25">
        <v>45733</v>
      </c>
      <c r="D250" s="14" t="s">
        <v>545</v>
      </c>
      <c r="E250" s="26">
        <v>72</v>
      </c>
      <c r="F250" s="26">
        <v>9</v>
      </c>
      <c r="G250" s="26">
        <v>54</v>
      </c>
      <c r="H250" s="26">
        <v>72</v>
      </c>
      <c r="I250" s="26">
        <v>207</v>
      </c>
      <c r="J250" s="26">
        <v>126</v>
      </c>
      <c r="K250" s="27">
        <v>0.42857142857142855</v>
      </c>
      <c r="L250" s="28">
        <v>0.5714285714285714</v>
      </c>
      <c r="M250" s="26" t="s">
        <v>95</v>
      </c>
      <c r="N250" s="37" t="s">
        <v>546</v>
      </c>
      <c r="O250" s="36" t="s">
        <v>10</v>
      </c>
      <c r="P250" s="1" t="s">
        <v>1</v>
      </c>
      <c r="Q250" s="1" t="s">
        <v>10</v>
      </c>
      <c r="R250" s="3"/>
      <c r="S250" s="26" t="s">
        <v>1</v>
      </c>
      <c r="T250" s="29" t="s">
        <v>82</v>
      </c>
      <c r="U250" s="3"/>
    </row>
    <row r="251" spans="1:21">
      <c r="A251" s="30">
        <v>10250</v>
      </c>
      <c r="B251" s="74" t="s">
        <v>547</v>
      </c>
      <c r="C251" s="25">
        <v>45733</v>
      </c>
      <c r="D251" s="14" t="s">
        <v>121</v>
      </c>
      <c r="E251" s="26">
        <v>27</v>
      </c>
      <c r="F251" s="26">
        <v>9</v>
      </c>
      <c r="G251" s="26">
        <v>0</v>
      </c>
      <c r="H251" s="26">
        <v>144</v>
      </c>
      <c r="I251" s="26">
        <v>180</v>
      </c>
      <c r="J251" s="26">
        <v>144</v>
      </c>
      <c r="K251" s="27">
        <v>0</v>
      </c>
      <c r="L251" s="28">
        <v>1</v>
      </c>
      <c r="M251" s="26" t="s">
        <v>95</v>
      </c>
      <c r="N251" s="62" t="s">
        <v>122</v>
      </c>
      <c r="O251" s="4" t="s">
        <v>234</v>
      </c>
      <c r="P251" s="1" t="s">
        <v>1</v>
      </c>
      <c r="Q251" s="4" t="s">
        <v>234</v>
      </c>
      <c r="R251" s="3"/>
      <c r="S251" s="26" t="s">
        <v>80</v>
      </c>
      <c r="T251" s="29">
        <v>46017</v>
      </c>
      <c r="U251" s="3"/>
    </row>
    <row r="252" spans="1:21">
      <c r="A252" s="24">
        <v>10251</v>
      </c>
      <c r="B252" s="74" t="s">
        <v>548</v>
      </c>
      <c r="C252" s="25">
        <v>45736</v>
      </c>
      <c r="D252" s="14" t="s">
        <v>121</v>
      </c>
      <c r="E252" s="26">
        <v>0</v>
      </c>
      <c r="F252" s="26">
        <v>0</v>
      </c>
      <c r="G252" s="26">
        <v>0</v>
      </c>
      <c r="H252" s="26">
        <v>45</v>
      </c>
      <c r="I252" s="26">
        <v>45</v>
      </c>
      <c r="J252" s="26">
        <v>45</v>
      </c>
      <c r="K252" s="27">
        <v>0</v>
      </c>
      <c r="L252" s="28">
        <v>1</v>
      </c>
      <c r="M252" s="26" t="s">
        <v>95</v>
      </c>
      <c r="N252" s="62" t="s">
        <v>122</v>
      </c>
      <c r="O252" s="4" t="s">
        <v>234</v>
      </c>
      <c r="P252" s="1" t="s">
        <v>1</v>
      </c>
      <c r="Q252" s="4" t="s">
        <v>234</v>
      </c>
      <c r="R252" s="3"/>
      <c r="S252" s="26" t="s">
        <v>80</v>
      </c>
      <c r="T252" s="29">
        <v>46003</v>
      </c>
      <c r="U252" s="3"/>
    </row>
    <row r="253" spans="1:21">
      <c r="A253" s="24">
        <v>10252</v>
      </c>
      <c r="B253" s="74" t="s">
        <v>549</v>
      </c>
      <c r="C253" s="25">
        <v>45737</v>
      </c>
      <c r="D253" s="14" t="s">
        <v>188</v>
      </c>
      <c r="E253" s="26">
        <v>45</v>
      </c>
      <c r="F253" s="26">
        <v>18</v>
      </c>
      <c r="G253" s="26">
        <v>144</v>
      </c>
      <c r="H253" s="26">
        <v>0</v>
      </c>
      <c r="I253" s="26">
        <v>207</v>
      </c>
      <c r="J253" s="26">
        <v>144</v>
      </c>
      <c r="K253" s="27">
        <v>1</v>
      </c>
      <c r="L253" s="28">
        <v>0</v>
      </c>
      <c r="M253" s="26" t="s">
        <v>79</v>
      </c>
      <c r="N253" s="3" t="s">
        <v>188</v>
      </c>
      <c r="O253" s="36" t="s">
        <v>19</v>
      </c>
      <c r="P253" s="1" t="s">
        <v>80</v>
      </c>
      <c r="Q253" s="1" t="s">
        <v>189</v>
      </c>
      <c r="R253" s="3"/>
      <c r="S253" s="26" t="s">
        <v>1</v>
      </c>
      <c r="T253" s="29" t="s">
        <v>82</v>
      </c>
      <c r="U253" s="3"/>
    </row>
    <row r="254" spans="1:21">
      <c r="A254" s="30">
        <v>10253</v>
      </c>
      <c r="B254" s="74" t="s">
        <v>550</v>
      </c>
      <c r="C254" s="25">
        <v>45740</v>
      </c>
      <c r="D254" s="14" t="s">
        <v>121</v>
      </c>
      <c r="E254" s="26">
        <v>0</v>
      </c>
      <c r="F254" s="26">
        <v>9</v>
      </c>
      <c r="G254" s="26">
        <v>0</v>
      </c>
      <c r="H254" s="26">
        <v>198</v>
      </c>
      <c r="I254" s="26">
        <v>207</v>
      </c>
      <c r="J254" s="26">
        <v>198</v>
      </c>
      <c r="K254" s="27">
        <v>0</v>
      </c>
      <c r="L254" s="28">
        <v>1</v>
      </c>
      <c r="M254" s="26" t="s">
        <v>95</v>
      </c>
      <c r="N254" s="62" t="s">
        <v>122</v>
      </c>
      <c r="O254" s="36" t="s">
        <v>10</v>
      </c>
      <c r="P254" s="1" t="s">
        <v>1</v>
      </c>
      <c r="Q254" s="1" t="s">
        <v>10</v>
      </c>
      <c r="R254" s="3"/>
      <c r="S254" s="26" t="s">
        <v>80</v>
      </c>
      <c r="T254" s="29" t="s">
        <v>82</v>
      </c>
      <c r="U254" s="3"/>
    </row>
    <row r="255" spans="1:21">
      <c r="A255" s="24">
        <v>10254</v>
      </c>
      <c r="B255" s="74" t="s">
        <v>551</v>
      </c>
      <c r="C255" s="25">
        <v>45740</v>
      </c>
      <c r="D255" s="14" t="s">
        <v>121</v>
      </c>
      <c r="E255" s="26">
        <v>54</v>
      </c>
      <c r="F255" s="26">
        <v>9</v>
      </c>
      <c r="G255" s="26">
        <v>0</v>
      </c>
      <c r="H255" s="26">
        <v>144</v>
      </c>
      <c r="I255" s="26">
        <v>207</v>
      </c>
      <c r="J255" s="26">
        <v>144</v>
      </c>
      <c r="K255" s="27">
        <v>0</v>
      </c>
      <c r="L255" s="28">
        <v>1</v>
      </c>
      <c r="M255" s="26" t="s">
        <v>95</v>
      </c>
      <c r="N255" s="62" t="s">
        <v>552</v>
      </c>
      <c r="O255" s="36" t="s">
        <v>10</v>
      </c>
      <c r="P255" s="1" t="s">
        <v>1</v>
      </c>
      <c r="Q255" s="1" t="s">
        <v>10</v>
      </c>
      <c r="R255" s="3"/>
      <c r="S255" s="26" t="s">
        <v>1</v>
      </c>
      <c r="T255" s="29" t="s">
        <v>82</v>
      </c>
      <c r="U255" s="3"/>
    </row>
    <row r="256" spans="1:21" ht="43.15">
      <c r="A256" s="24">
        <v>10255</v>
      </c>
      <c r="B256" s="74" t="s">
        <v>553</v>
      </c>
      <c r="C256" s="25">
        <v>45742</v>
      </c>
      <c r="D256" s="14" t="s">
        <v>554</v>
      </c>
      <c r="E256" s="26">
        <v>54</v>
      </c>
      <c r="F256" s="26">
        <v>9</v>
      </c>
      <c r="G256" s="26">
        <v>28</v>
      </c>
      <c r="H256" s="26">
        <v>116</v>
      </c>
      <c r="I256" s="26">
        <v>207</v>
      </c>
      <c r="J256" s="26">
        <v>144</v>
      </c>
      <c r="K256" s="27">
        <v>0.19444444444444445</v>
      </c>
      <c r="L256" s="28">
        <v>0.80555555555555558</v>
      </c>
      <c r="M256" s="26" t="s">
        <v>95</v>
      </c>
      <c r="N256" s="37" t="s">
        <v>555</v>
      </c>
      <c r="O256" s="36" t="s">
        <v>9</v>
      </c>
      <c r="P256" s="1" t="s">
        <v>80</v>
      </c>
      <c r="Q256" s="1" t="s">
        <v>116</v>
      </c>
      <c r="R256" s="3"/>
      <c r="S256" s="26" t="s">
        <v>1</v>
      </c>
      <c r="T256" s="29" t="s">
        <v>82</v>
      </c>
      <c r="U256" s="3"/>
    </row>
    <row r="257" spans="1:21">
      <c r="A257" s="30">
        <v>10256</v>
      </c>
      <c r="B257" s="74" t="s">
        <v>556</v>
      </c>
      <c r="C257" s="25">
        <v>45747</v>
      </c>
      <c r="D257" s="14" t="s">
        <v>196</v>
      </c>
      <c r="E257" s="26">
        <v>63</v>
      </c>
      <c r="F257" s="26">
        <v>9</v>
      </c>
      <c r="G257" s="26">
        <v>135</v>
      </c>
      <c r="H257" s="26">
        <v>0</v>
      </c>
      <c r="I257" s="26">
        <v>207</v>
      </c>
      <c r="J257" s="26">
        <v>135</v>
      </c>
      <c r="K257" s="27">
        <v>1</v>
      </c>
      <c r="L257" s="28">
        <v>0</v>
      </c>
      <c r="M257" s="26" t="s">
        <v>79</v>
      </c>
      <c r="N257" s="3" t="s">
        <v>196</v>
      </c>
      <c r="O257" s="36" t="s">
        <v>19</v>
      </c>
      <c r="P257" s="1" t="s">
        <v>80</v>
      </c>
      <c r="Q257" s="1" t="s">
        <v>197</v>
      </c>
      <c r="R257" s="3"/>
      <c r="S257" s="26" t="s">
        <v>1</v>
      </c>
      <c r="T257" s="29" t="s">
        <v>82</v>
      </c>
      <c r="U257" s="3"/>
    </row>
    <row r="258" spans="1:21" ht="28.9">
      <c r="A258" s="24">
        <v>10257</v>
      </c>
      <c r="B258" s="74" t="s">
        <v>557</v>
      </c>
      <c r="C258" s="25">
        <v>45748</v>
      </c>
      <c r="D258" s="14" t="s">
        <v>524</v>
      </c>
      <c r="E258" s="26">
        <v>81</v>
      </c>
      <c r="F258" s="26">
        <v>9</v>
      </c>
      <c r="G258" s="26">
        <v>72</v>
      </c>
      <c r="H258" s="26">
        <v>45</v>
      </c>
      <c r="I258" s="26">
        <v>207</v>
      </c>
      <c r="J258" s="26">
        <v>117</v>
      </c>
      <c r="K258" s="27">
        <v>0.61538461538461542</v>
      </c>
      <c r="L258" s="28">
        <v>0.38461538461538464</v>
      </c>
      <c r="M258" s="26" t="s">
        <v>95</v>
      </c>
      <c r="N258" s="14" t="s">
        <v>525</v>
      </c>
      <c r="O258" s="36" t="s">
        <v>10</v>
      </c>
      <c r="P258" s="1" t="s">
        <v>1</v>
      </c>
      <c r="Q258" s="36" t="s">
        <v>10</v>
      </c>
      <c r="R258" s="3"/>
      <c r="S258" s="26" t="s">
        <v>1</v>
      </c>
      <c r="T258" s="29" t="s">
        <v>82</v>
      </c>
      <c r="U258" s="3"/>
    </row>
    <row r="259" spans="1:21">
      <c r="A259" s="24">
        <v>10258</v>
      </c>
      <c r="B259" s="74" t="s">
        <v>558</v>
      </c>
      <c r="C259" s="25">
        <v>45749</v>
      </c>
      <c r="D259" s="14" t="s">
        <v>196</v>
      </c>
      <c r="E259" s="26">
        <v>18</v>
      </c>
      <c r="F259" s="26">
        <v>9</v>
      </c>
      <c r="G259" s="26">
        <v>180</v>
      </c>
      <c r="H259" s="26">
        <v>0</v>
      </c>
      <c r="I259" s="26">
        <v>207</v>
      </c>
      <c r="J259" s="26">
        <v>180</v>
      </c>
      <c r="K259" s="27">
        <v>1</v>
      </c>
      <c r="L259" s="28">
        <v>0</v>
      </c>
      <c r="M259" s="26" t="s">
        <v>79</v>
      </c>
      <c r="N259" s="3" t="s">
        <v>196</v>
      </c>
      <c r="O259" s="36" t="s">
        <v>19</v>
      </c>
      <c r="P259" s="1" t="s">
        <v>80</v>
      </c>
      <c r="Q259" s="1" t="s">
        <v>197</v>
      </c>
      <c r="R259" s="3"/>
      <c r="S259" s="26" t="s">
        <v>1</v>
      </c>
      <c r="T259" s="29" t="s">
        <v>82</v>
      </c>
      <c r="U259" s="3"/>
    </row>
    <row r="260" spans="1:21">
      <c r="A260" s="30">
        <v>10259</v>
      </c>
      <c r="B260" s="74" t="s">
        <v>559</v>
      </c>
      <c r="C260" s="25">
        <v>45750</v>
      </c>
      <c r="D260" s="14" t="s">
        <v>129</v>
      </c>
      <c r="E260" s="26">
        <v>45</v>
      </c>
      <c r="F260" s="26">
        <v>9</v>
      </c>
      <c r="G260" s="26">
        <v>153</v>
      </c>
      <c r="H260" s="26">
        <v>0</v>
      </c>
      <c r="I260" s="26">
        <v>207</v>
      </c>
      <c r="J260" s="26">
        <v>153</v>
      </c>
      <c r="K260" s="27">
        <v>1</v>
      </c>
      <c r="L260" s="28">
        <v>0</v>
      </c>
      <c r="M260" s="26" t="s">
        <v>79</v>
      </c>
      <c r="N260" s="3" t="s">
        <v>129</v>
      </c>
      <c r="O260" s="36" t="s">
        <v>15</v>
      </c>
      <c r="P260" s="1" t="s">
        <v>80</v>
      </c>
      <c r="Q260" s="1" t="s">
        <v>130</v>
      </c>
      <c r="R260" s="3"/>
      <c r="S260" s="26" t="s">
        <v>1</v>
      </c>
      <c r="T260" s="29" t="s">
        <v>82</v>
      </c>
      <c r="U260" s="3"/>
    </row>
    <row r="261" spans="1:21" ht="28.9">
      <c r="A261" s="24">
        <v>10260</v>
      </c>
      <c r="B261" s="74" t="s">
        <v>560</v>
      </c>
      <c r="C261" s="25">
        <v>45751</v>
      </c>
      <c r="D261" s="14" t="s">
        <v>561</v>
      </c>
      <c r="E261" s="26">
        <v>27</v>
      </c>
      <c r="F261" s="26">
        <v>9</v>
      </c>
      <c r="G261" s="26">
        <v>171</v>
      </c>
      <c r="H261" s="26">
        <v>0</v>
      </c>
      <c r="I261" s="26">
        <v>207</v>
      </c>
      <c r="J261" s="26">
        <v>171</v>
      </c>
      <c r="K261" s="27">
        <v>1</v>
      </c>
      <c r="L261" s="28">
        <v>0</v>
      </c>
      <c r="M261" s="26" t="s">
        <v>79</v>
      </c>
      <c r="N261" s="3" t="s">
        <v>561</v>
      </c>
      <c r="O261" s="36" t="s">
        <v>19</v>
      </c>
      <c r="P261" s="1" t="s">
        <v>80</v>
      </c>
      <c r="Q261" s="1" t="s">
        <v>562</v>
      </c>
      <c r="R261" s="3"/>
      <c r="S261" s="26" t="s">
        <v>1</v>
      </c>
      <c r="T261" s="29" t="s">
        <v>82</v>
      </c>
      <c r="U261" s="3"/>
    </row>
    <row r="262" spans="1:21">
      <c r="A262" s="24">
        <v>10261</v>
      </c>
      <c r="B262" s="74" t="s">
        <v>563</v>
      </c>
      <c r="C262" s="25">
        <v>45756</v>
      </c>
      <c r="D262" s="14" t="s">
        <v>110</v>
      </c>
      <c r="E262" s="26">
        <v>18</v>
      </c>
      <c r="F262" s="26">
        <v>9</v>
      </c>
      <c r="G262" s="26">
        <v>180</v>
      </c>
      <c r="H262" s="26">
        <v>0</v>
      </c>
      <c r="I262" s="26">
        <v>207</v>
      </c>
      <c r="J262" s="26">
        <v>180</v>
      </c>
      <c r="K262" s="27">
        <v>1</v>
      </c>
      <c r="L262" s="28">
        <v>0</v>
      </c>
      <c r="M262" s="26" t="s">
        <v>79</v>
      </c>
      <c r="N262" s="3" t="s">
        <v>110</v>
      </c>
      <c r="O262" s="36" t="s">
        <v>15</v>
      </c>
      <c r="P262" s="1" t="s">
        <v>80</v>
      </c>
      <c r="Q262" s="1" t="s">
        <v>110</v>
      </c>
      <c r="R262" s="3"/>
      <c r="S262" s="26" t="s">
        <v>1</v>
      </c>
      <c r="T262" s="29" t="s">
        <v>82</v>
      </c>
      <c r="U262" s="3"/>
    </row>
    <row r="263" spans="1:21">
      <c r="A263" s="30">
        <v>10262</v>
      </c>
      <c r="B263" s="74" t="s">
        <v>564</v>
      </c>
      <c r="C263" s="25">
        <v>45761</v>
      </c>
      <c r="D263" s="14" t="s">
        <v>17</v>
      </c>
      <c r="E263" s="26">
        <v>18</v>
      </c>
      <c r="F263" s="26">
        <v>9</v>
      </c>
      <c r="G263" s="26">
        <v>0</v>
      </c>
      <c r="H263" s="26">
        <v>180</v>
      </c>
      <c r="I263" s="26">
        <v>207</v>
      </c>
      <c r="J263" s="26">
        <v>180</v>
      </c>
      <c r="K263" s="27">
        <v>0</v>
      </c>
      <c r="L263" s="28">
        <v>1</v>
      </c>
      <c r="M263" s="26" t="s">
        <v>95</v>
      </c>
      <c r="N263" s="62" t="s">
        <v>293</v>
      </c>
      <c r="O263" s="36" t="s">
        <v>565</v>
      </c>
      <c r="P263" s="1" t="s">
        <v>1</v>
      </c>
      <c r="Q263" s="1" t="s">
        <v>10</v>
      </c>
      <c r="R263" s="3"/>
      <c r="S263" s="26" t="s">
        <v>1</v>
      </c>
      <c r="T263" s="29" t="s">
        <v>82</v>
      </c>
      <c r="U263" s="3"/>
    </row>
    <row r="264" spans="1:21" ht="28.9">
      <c r="A264" s="24">
        <v>10263</v>
      </c>
      <c r="B264" s="74" t="s">
        <v>566</v>
      </c>
      <c r="C264" s="25">
        <v>45761</v>
      </c>
      <c r="D264" s="14" t="s">
        <v>344</v>
      </c>
      <c r="E264" s="26">
        <v>36</v>
      </c>
      <c r="F264" s="26">
        <v>9</v>
      </c>
      <c r="G264" s="26">
        <v>0</v>
      </c>
      <c r="H264" s="26">
        <v>162</v>
      </c>
      <c r="I264" s="26">
        <v>207</v>
      </c>
      <c r="J264" s="26">
        <v>162</v>
      </c>
      <c r="K264" s="27">
        <v>0</v>
      </c>
      <c r="L264" s="28">
        <v>1</v>
      </c>
      <c r="M264" s="26" t="s">
        <v>95</v>
      </c>
      <c r="N264" s="62" t="s">
        <v>345</v>
      </c>
      <c r="O264" s="36" t="s">
        <v>9</v>
      </c>
      <c r="P264" s="1" t="s">
        <v>1</v>
      </c>
      <c r="Q264" s="1" t="s">
        <v>149</v>
      </c>
      <c r="R264" s="3"/>
      <c r="S264" s="26" t="s">
        <v>1</v>
      </c>
      <c r="T264" s="29" t="s">
        <v>82</v>
      </c>
      <c r="U264" s="3"/>
    </row>
    <row r="265" spans="1:21" ht="43.15">
      <c r="A265" s="24">
        <v>10264</v>
      </c>
      <c r="B265" s="74" t="s">
        <v>567</v>
      </c>
      <c r="C265" s="25">
        <v>45761</v>
      </c>
      <c r="D265" s="14" t="s">
        <v>568</v>
      </c>
      <c r="E265" s="26">
        <v>45</v>
      </c>
      <c r="F265" s="26">
        <v>9</v>
      </c>
      <c r="G265" s="26">
        <v>63.5</v>
      </c>
      <c r="H265" s="26">
        <v>89.5</v>
      </c>
      <c r="I265" s="26">
        <v>207</v>
      </c>
      <c r="J265" s="26">
        <v>153</v>
      </c>
      <c r="K265" s="27">
        <v>0.41503267973856212</v>
      </c>
      <c r="L265" s="28">
        <v>0.58496732026143794</v>
      </c>
      <c r="M265" s="26" t="s">
        <v>95</v>
      </c>
      <c r="N265" s="37" t="s">
        <v>569</v>
      </c>
      <c r="O265" s="36" t="s">
        <v>10</v>
      </c>
      <c r="P265" s="1" t="s">
        <v>1</v>
      </c>
      <c r="Q265" s="36" t="s">
        <v>10</v>
      </c>
      <c r="R265" s="3"/>
      <c r="S265" s="26" t="s">
        <v>1</v>
      </c>
      <c r="T265" s="29" t="s">
        <v>82</v>
      </c>
      <c r="U265" s="3"/>
    </row>
    <row r="266" spans="1:21">
      <c r="A266" s="30">
        <v>10265</v>
      </c>
      <c r="B266" s="74" t="s">
        <v>570</v>
      </c>
      <c r="C266" s="25">
        <v>45763</v>
      </c>
      <c r="D266" s="14" t="s">
        <v>84</v>
      </c>
      <c r="E266" s="26">
        <v>18</v>
      </c>
      <c r="F266" s="26">
        <v>9</v>
      </c>
      <c r="G266" s="26">
        <v>180</v>
      </c>
      <c r="H266" s="26">
        <v>0</v>
      </c>
      <c r="I266" s="26">
        <v>207</v>
      </c>
      <c r="J266" s="26">
        <v>180</v>
      </c>
      <c r="K266" s="27">
        <v>1</v>
      </c>
      <c r="L266" s="28">
        <v>0</v>
      </c>
      <c r="M266" s="26" t="s">
        <v>79</v>
      </c>
      <c r="N266" s="3" t="s">
        <v>84</v>
      </c>
      <c r="O266" s="36" t="s">
        <v>15</v>
      </c>
      <c r="P266" s="1" t="s">
        <v>80</v>
      </c>
      <c r="Q266" s="1" t="s">
        <v>85</v>
      </c>
      <c r="R266" s="3"/>
      <c r="S266" s="26" t="s">
        <v>1</v>
      </c>
      <c r="T266" s="29" t="s">
        <v>82</v>
      </c>
      <c r="U266" s="3"/>
    </row>
    <row r="267" spans="1:21">
      <c r="A267" s="24">
        <v>10266</v>
      </c>
      <c r="B267" s="74" t="s">
        <v>571</v>
      </c>
      <c r="C267" s="25">
        <v>45764</v>
      </c>
      <c r="D267" s="14" t="s">
        <v>350</v>
      </c>
      <c r="E267" s="26">
        <v>36</v>
      </c>
      <c r="F267" s="26">
        <v>9</v>
      </c>
      <c r="G267" s="26">
        <v>162</v>
      </c>
      <c r="H267" s="26">
        <v>0</v>
      </c>
      <c r="I267" s="26">
        <v>207</v>
      </c>
      <c r="J267" s="26">
        <v>162</v>
      </c>
      <c r="K267" s="27">
        <v>1</v>
      </c>
      <c r="L267" s="28">
        <v>0</v>
      </c>
      <c r="M267" s="26" t="s">
        <v>79</v>
      </c>
      <c r="N267" s="3" t="s">
        <v>350</v>
      </c>
      <c r="O267" s="36" t="s">
        <v>19</v>
      </c>
      <c r="P267" s="1" t="s">
        <v>80</v>
      </c>
      <c r="Q267" s="1" t="s">
        <v>351</v>
      </c>
      <c r="R267" s="3"/>
      <c r="S267" s="26" t="s">
        <v>1</v>
      </c>
      <c r="T267" s="29" t="s">
        <v>82</v>
      </c>
      <c r="U267" s="3"/>
    </row>
    <row r="268" spans="1:21">
      <c r="A268" s="24">
        <v>10267</v>
      </c>
      <c r="B268" s="74" t="s">
        <v>572</v>
      </c>
      <c r="C268" s="25">
        <v>45775</v>
      </c>
      <c r="D268" s="14" t="s">
        <v>281</v>
      </c>
      <c r="E268" s="26">
        <v>27</v>
      </c>
      <c r="F268" s="26">
        <v>9</v>
      </c>
      <c r="G268" s="26">
        <v>171</v>
      </c>
      <c r="H268" s="26">
        <v>0</v>
      </c>
      <c r="I268" s="26">
        <v>207</v>
      </c>
      <c r="J268" s="26">
        <v>171</v>
      </c>
      <c r="K268" s="27">
        <v>1</v>
      </c>
      <c r="L268" s="28">
        <v>0</v>
      </c>
      <c r="M268" s="26" t="s">
        <v>79</v>
      </c>
      <c r="N268" s="3" t="s">
        <v>281</v>
      </c>
      <c r="O268" s="36" t="s">
        <v>19</v>
      </c>
      <c r="P268" s="1" t="s">
        <v>80</v>
      </c>
      <c r="Q268" s="1" t="s">
        <v>282</v>
      </c>
      <c r="R268" s="3"/>
      <c r="S268" s="26" t="s">
        <v>1</v>
      </c>
      <c r="T268" s="29" t="s">
        <v>82</v>
      </c>
      <c r="U268" s="3"/>
    </row>
    <row r="269" spans="1:21">
      <c r="A269" s="30">
        <v>10268</v>
      </c>
      <c r="B269" s="74" t="s">
        <v>573</v>
      </c>
      <c r="C269" s="25">
        <v>45775</v>
      </c>
      <c r="D269" s="14" t="s">
        <v>169</v>
      </c>
      <c r="E269" s="26">
        <v>0</v>
      </c>
      <c r="F269" s="26">
        <v>9</v>
      </c>
      <c r="G269" s="26">
        <v>198</v>
      </c>
      <c r="H269" s="26">
        <v>0</v>
      </c>
      <c r="I269" s="26">
        <v>207</v>
      </c>
      <c r="J269" s="26">
        <v>198</v>
      </c>
      <c r="K269" s="27">
        <v>1</v>
      </c>
      <c r="L269" s="28">
        <v>0</v>
      </c>
      <c r="M269" s="26" t="s">
        <v>79</v>
      </c>
      <c r="N269" s="3" t="s">
        <v>169</v>
      </c>
      <c r="O269" s="36" t="s">
        <v>19</v>
      </c>
      <c r="P269" s="1" t="s">
        <v>80</v>
      </c>
      <c r="Q269" s="1" t="s">
        <v>170</v>
      </c>
      <c r="R269" s="3"/>
      <c r="S269" s="26" t="s">
        <v>1</v>
      </c>
      <c r="T269" s="29" t="s">
        <v>82</v>
      </c>
      <c r="U269" s="3"/>
    </row>
    <row r="270" spans="1:21">
      <c r="A270" s="24">
        <v>10269</v>
      </c>
      <c r="B270" s="74" t="s">
        <v>574</v>
      </c>
      <c r="C270" s="25">
        <v>45776</v>
      </c>
      <c r="D270" s="14" t="s">
        <v>290</v>
      </c>
      <c r="E270" s="26">
        <v>54</v>
      </c>
      <c r="F270" s="26">
        <v>9</v>
      </c>
      <c r="G270" s="26">
        <v>144</v>
      </c>
      <c r="H270" s="26">
        <v>0</v>
      </c>
      <c r="I270" s="26">
        <v>207</v>
      </c>
      <c r="J270" s="26">
        <v>144</v>
      </c>
      <c r="K270" s="27">
        <v>1</v>
      </c>
      <c r="L270" s="28">
        <v>0</v>
      </c>
      <c r="M270" s="26" t="s">
        <v>79</v>
      </c>
      <c r="N270" s="62" t="s">
        <v>575</v>
      </c>
      <c r="O270" s="36" t="s">
        <v>19</v>
      </c>
      <c r="P270" s="1" t="s">
        <v>80</v>
      </c>
      <c r="Q270" s="1" t="s">
        <v>291</v>
      </c>
      <c r="R270" s="3"/>
      <c r="S270" s="26" t="s">
        <v>1</v>
      </c>
      <c r="T270" s="29" t="s">
        <v>82</v>
      </c>
      <c r="U270" s="3"/>
    </row>
    <row r="271" spans="1:21">
      <c r="A271" s="24">
        <v>10270</v>
      </c>
      <c r="B271" s="74" t="s">
        <v>576</v>
      </c>
      <c r="C271" s="25">
        <v>45776</v>
      </c>
      <c r="D271" s="14" t="s">
        <v>281</v>
      </c>
      <c r="E271" s="26">
        <v>18</v>
      </c>
      <c r="F271" s="26">
        <v>9</v>
      </c>
      <c r="G271" s="26">
        <v>180</v>
      </c>
      <c r="H271" s="26">
        <v>0</v>
      </c>
      <c r="I271" s="26">
        <v>207</v>
      </c>
      <c r="J271" s="26">
        <v>180</v>
      </c>
      <c r="K271" s="27">
        <v>1</v>
      </c>
      <c r="L271" s="28">
        <v>0</v>
      </c>
      <c r="M271" s="26" t="s">
        <v>79</v>
      </c>
      <c r="N271" s="3" t="s">
        <v>281</v>
      </c>
      <c r="O271" s="36" t="s">
        <v>19</v>
      </c>
      <c r="P271" s="1" t="s">
        <v>80</v>
      </c>
      <c r="Q271" s="1" t="s">
        <v>282</v>
      </c>
      <c r="R271" s="3"/>
      <c r="S271" s="26" t="s">
        <v>1</v>
      </c>
      <c r="T271" s="29" t="s">
        <v>82</v>
      </c>
      <c r="U271" s="3"/>
    </row>
    <row r="272" spans="1:21" ht="43.15">
      <c r="A272" s="30">
        <v>10271</v>
      </c>
      <c r="B272" s="74" t="s">
        <v>577</v>
      </c>
      <c r="C272" s="25">
        <v>45782</v>
      </c>
      <c r="D272" s="14" t="s">
        <v>578</v>
      </c>
      <c r="E272" s="26">
        <v>9</v>
      </c>
      <c r="F272" s="26">
        <v>9</v>
      </c>
      <c r="G272" s="26">
        <v>162</v>
      </c>
      <c r="H272" s="26">
        <v>27</v>
      </c>
      <c r="I272" s="26">
        <v>207</v>
      </c>
      <c r="J272" s="26">
        <v>189</v>
      </c>
      <c r="K272" s="27">
        <v>0.8571428571428571</v>
      </c>
      <c r="L272" s="28">
        <v>0.14285714285714285</v>
      </c>
      <c r="M272" s="26" t="s">
        <v>79</v>
      </c>
      <c r="N272" s="3" t="s">
        <v>579</v>
      </c>
      <c r="O272" s="36" t="s">
        <v>15</v>
      </c>
      <c r="P272" s="1" t="s">
        <v>80</v>
      </c>
      <c r="Q272" s="1" t="s">
        <v>580</v>
      </c>
      <c r="R272" s="3"/>
      <c r="S272" s="26" t="s">
        <v>1</v>
      </c>
      <c r="T272" s="29" t="s">
        <v>82</v>
      </c>
      <c r="U272" s="3"/>
    </row>
    <row r="273" spans="1:21">
      <c r="A273" s="24">
        <v>10272</v>
      </c>
      <c r="B273" s="74" t="s">
        <v>581</v>
      </c>
      <c r="C273" s="25">
        <v>45782</v>
      </c>
      <c r="D273" s="14" t="s">
        <v>281</v>
      </c>
      <c r="E273" s="26">
        <v>0</v>
      </c>
      <c r="F273" s="26">
        <v>9</v>
      </c>
      <c r="G273" s="26">
        <v>198</v>
      </c>
      <c r="H273" s="26">
        <v>0</v>
      </c>
      <c r="I273" s="26">
        <v>207</v>
      </c>
      <c r="J273" s="26">
        <v>198</v>
      </c>
      <c r="K273" s="27">
        <v>1</v>
      </c>
      <c r="L273" s="28">
        <v>0</v>
      </c>
      <c r="M273" s="26" t="s">
        <v>79</v>
      </c>
      <c r="N273" s="3" t="s">
        <v>281</v>
      </c>
      <c r="O273" s="36" t="s">
        <v>19</v>
      </c>
      <c r="P273" s="1" t="s">
        <v>80</v>
      </c>
      <c r="Q273" s="1" t="s">
        <v>282</v>
      </c>
      <c r="R273" s="3"/>
      <c r="S273" s="26" t="s">
        <v>1</v>
      </c>
      <c r="T273" s="29" t="s">
        <v>82</v>
      </c>
      <c r="U273" s="3"/>
    </row>
    <row r="274" spans="1:21" ht="43.15">
      <c r="A274" s="24">
        <v>10273</v>
      </c>
      <c r="B274" s="74" t="s">
        <v>582</v>
      </c>
      <c r="C274" s="25">
        <v>45782</v>
      </c>
      <c r="D274" s="14" t="s">
        <v>578</v>
      </c>
      <c r="E274" s="26">
        <v>63</v>
      </c>
      <c r="F274" s="26">
        <v>9</v>
      </c>
      <c r="G274" s="26">
        <v>63</v>
      </c>
      <c r="H274" s="26">
        <v>72</v>
      </c>
      <c r="I274" s="26">
        <v>207</v>
      </c>
      <c r="J274" s="26">
        <v>135</v>
      </c>
      <c r="K274" s="27">
        <v>0.46666666666666667</v>
      </c>
      <c r="L274" s="28">
        <v>0.53333333333333333</v>
      </c>
      <c r="M274" s="26" t="s">
        <v>95</v>
      </c>
      <c r="N274" s="37" t="s">
        <v>583</v>
      </c>
      <c r="O274" s="36" t="s">
        <v>10</v>
      </c>
      <c r="P274" s="1" t="s">
        <v>1</v>
      </c>
      <c r="Q274" s="36" t="s">
        <v>10</v>
      </c>
      <c r="R274" s="3"/>
      <c r="S274" s="26" t="s">
        <v>1</v>
      </c>
      <c r="T274" s="29" t="s">
        <v>82</v>
      </c>
      <c r="U274" s="3"/>
    </row>
    <row r="275" spans="1:21">
      <c r="A275" s="30">
        <v>10274</v>
      </c>
      <c r="B275" s="74" t="s">
        <v>584</v>
      </c>
      <c r="C275" s="25">
        <v>45784</v>
      </c>
      <c r="D275" s="14" t="s">
        <v>162</v>
      </c>
      <c r="E275" s="26">
        <v>45</v>
      </c>
      <c r="F275" s="26">
        <v>9</v>
      </c>
      <c r="G275" s="26">
        <v>153</v>
      </c>
      <c r="H275" s="26">
        <v>0</v>
      </c>
      <c r="I275" s="26">
        <v>207</v>
      </c>
      <c r="J275" s="26">
        <v>153</v>
      </c>
      <c r="K275" s="27">
        <v>1</v>
      </c>
      <c r="L275" s="28">
        <v>0</v>
      </c>
      <c r="M275" s="26" t="s">
        <v>79</v>
      </c>
      <c r="N275" s="3" t="s">
        <v>162</v>
      </c>
      <c r="O275" s="36" t="s">
        <v>19</v>
      </c>
      <c r="P275" s="1" t="s">
        <v>80</v>
      </c>
      <c r="Q275" s="1" t="s">
        <v>163</v>
      </c>
      <c r="R275" s="3"/>
      <c r="S275" s="26" t="s">
        <v>1</v>
      </c>
      <c r="T275" s="29" t="s">
        <v>82</v>
      </c>
      <c r="U275" s="3"/>
    </row>
    <row r="276" spans="1:21">
      <c r="A276" s="24">
        <v>10275</v>
      </c>
      <c r="B276" s="74" t="s">
        <v>585</v>
      </c>
      <c r="C276" s="25">
        <v>45789</v>
      </c>
      <c r="D276" s="14" t="s">
        <v>196</v>
      </c>
      <c r="E276" s="26">
        <v>9</v>
      </c>
      <c r="F276" s="26">
        <v>9</v>
      </c>
      <c r="G276" s="26">
        <v>189</v>
      </c>
      <c r="H276" s="26">
        <v>0</v>
      </c>
      <c r="I276" s="26">
        <v>207</v>
      </c>
      <c r="J276" s="26">
        <v>189</v>
      </c>
      <c r="K276" s="27">
        <v>1</v>
      </c>
      <c r="L276" s="28">
        <v>0</v>
      </c>
      <c r="M276" s="26" t="s">
        <v>79</v>
      </c>
      <c r="N276" s="3" t="s">
        <v>196</v>
      </c>
      <c r="O276" s="36" t="s">
        <v>19</v>
      </c>
      <c r="P276" s="1" t="s">
        <v>80</v>
      </c>
      <c r="Q276" s="1" t="s">
        <v>197</v>
      </c>
      <c r="R276" s="3"/>
      <c r="S276" s="26" t="s">
        <v>1</v>
      </c>
      <c r="T276" s="29" t="s">
        <v>82</v>
      </c>
      <c r="U276" s="3"/>
    </row>
    <row r="277" spans="1:21" ht="28.9">
      <c r="A277" s="24">
        <v>10276</v>
      </c>
      <c r="B277" s="74" t="s">
        <v>586</v>
      </c>
      <c r="C277" s="25">
        <v>45789</v>
      </c>
      <c r="D277" s="14" t="s">
        <v>587</v>
      </c>
      <c r="E277" s="26">
        <v>0</v>
      </c>
      <c r="F277" s="26">
        <v>9</v>
      </c>
      <c r="G277" s="26">
        <v>90</v>
      </c>
      <c r="H277" s="26">
        <v>108</v>
      </c>
      <c r="I277" s="26">
        <v>207</v>
      </c>
      <c r="J277" s="26">
        <v>198</v>
      </c>
      <c r="K277" s="27">
        <v>0.45454545454545453</v>
      </c>
      <c r="L277" s="28">
        <v>0.54545454545454541</v>
      </c>
      <c r="M277" s="26" t="s">
        <v>95</v>
      </c>
      <c r="N277" s="37" t="s">
        <v>588</v>
      </c>
      <c r="O277" s="36" t="s">
        <v>10</v>
      </c>
      <c r="P277" s="1" t="s">
        <v>1</v>
      </c>
      <c r="Q277" s="36" t="s">
        <v>10</v>
      </c>
      <c r="R277" s="3"/>
      <c r="S277" s="26" t="s">
        <v>1</v>
      </c>
      <c r="T277" s="29" t="s">
        <v>82</v>
      </c>
      <c r="U277" s="3"/>
    </row>
    <row r="278" spans="1:21" ht="28.9">
      <c r="A278" s="30">
        <v>10277</v>
      </c>
      <c r="B278" s="74" t="s">
        <v>589</v>
      </c>
      <c r="C278" s="25">
        <v>45793</v>
      </c>
      <c r="D278" s="14" t="s">
        <v>154</v>
      </c>
      <c r="E278" s="26">
        <v>36</v>
      </c>
      <c r="F278" s="26">
        <v>9</v>
      </c>
      <c r="G278" s="26">
        <v>64.25</v>
      </c>
      <c r="H278" s="26">
        <v>97.75</v>
      </c>
      <c r="I278" s="26">
        <v>207</v>
      </c>
      <c r="J278" s="26">
        <v>162</v>
      </c>
      <c r="K278" s="27">
        <v>0.39660493827160492</v>
      </c>
      <c r="L278" s="28">
        <v>0.60339506172839508</v>
      </c>
      <c r="M278" s="26" t="s">
        <v>95</v>
      </c>
      <c r="N278" s="37" t="s">
        <v>155</v>
      </c>
      <c r="O278" s="36" t="s">
        <v>15</v>
      </c>
      <c r="P278" s="1" t="s">
        <v>80</v>
      </c>
      <c r="Q278" s="1" t="s">
        <v>590</v>
      </c>
      <c r="R278" s="3"/>
      <c r="S278" s="26" t="s">
        <v>1</v>
      </c>
      <c r="T278" s="29" t="s">
        <v>82</v>
      </c>
      <c r="U278" s="3"/>
    </row>
    <row r="279" spans="1:21" ht="28.9">
      <c r="A279" s="24">
        <v>10278</v>
      </c>
      <c r="B279" s="74" t="s">
        <v>591</v>
      </c>
      <c r="C279" s="25">
        <v>45796</v>
      </c>
      <c r="D279" s="14" t="s">
        <v>344</v>
      </c>
      <c r="E279" s="26">
        <v>0</v>
      </c>
      <c r="F279" s="26">
        <v>9</v>
      </c>
      <c r="G279" s="26">
        <v>0</v>
      </c>
      <c r="H279" s="26">
        <v>198</v>
      </c>
      <c r="I279" s="26">
        <v>207</v>
      </c>
      <c r="J279" s="26">
        <v>198</v>
      </c>
      <c r="K279" s="27">
        <v>0</v>
      </c>
      <c r="L279" s="28">
        <v>1</v>
      </c>
      <c r="M279" s="26" t="s">
        <v>95</v>
      </c>
      <c r="N279" s="62" t="s">
        <v>592</v>
      </c>
      <c r="O279" s="36" t="s">
        <v>9</v>
      </c>
      <c r="P279" s="1" t="s">
        <v>1</v>
      </c>
      <c r="Q279" s="1" t="s">
        <v>149</v>
      </c>
      <c r="R279" s="3"/>
      <c r="S279" s="26" t="s">
        <v>1</v>
      </c>
      <c r="T279" s="29" t="s">
        <v>82</v>
      </c>
      <c r="U279" s="3"/>
    </row>
    <row r="280" spans="1:21">
      <c r="A280" s="24">
        <v>10279</v>
      </c>
      <c r="B280" s="74" t="s">
        <v>593</v>
      </c>
      <c r="C280" s="25">
        <v>45796</v>
      </c>
      <c r="D280" s="14" t="s">
        <v>344</v>
      </c>
      <c r="E280" s="26">
        <v>27</v>
      </c>
      <c r="F280" s="26">
        <v>9</v>
      </c>
      <c r="G280" s="26">
        <v>0</v>
      </c>
      <c r="H280" s="26">
        <v>171</v>
      </c>
      <c r="I280" s="26">
        <v>207</v>
      </c>
      <c r="J280" s="26">
        <v>171</v>
      </c>
      <c r="K280" s="27">
        <v>0</v>
      </c>
      <c r="L280" s="28">
        <v>1</v>
      </c>
      <c r="M280" s="26" t="s">
        <v>95</v>
      </c>
      <c r="N280" s="62" t="s">
        <v>592</v>
      </c>
      <c r="O280" s="36" t="s">
        <v>149</v>
      </c>
      <c r="P280" s="1" t="s">
        <v>1</v>
      </c>
      <c r="Q280" s="1" t="s">
        <v>149</v>
      </c>
      <c r="R280" s="3"/>
      <c r="S280" s="26" t="s">
        <v>1</v>
      </c>
      <c r="T280" s="29" t="s">
        <v>82</v>
      </c>
      <c r="U280" s="3"/>
    </row>
    <row r="281" spans="1:21">
      <c r="A281" s="30">
        <v>10280</v>
      </c>
      <c r="B281" s="74" t="s">
        <v>594</v>
      </c>
      <c r="C281" s="25">
        <v>45810</v>
      </c>
      <c r="D281" s="14" t="s">
        <v>595</v>
      </c>
      <c r="E281" s="26">
        <v>27</v>
      </c>
      <c r="F281" s="26">
        <v>9</v>
      </c>
      <c r="G281" s="26">
        <v>171</v>
      </c>
      <c r="H281" s="26">
        <v>0</v>
      </c>
      <c r="I281" s="26">
        <v>207</v>
      </c>
      <c r="J281" s="26">
        <v>171</v>
      </c>
      <c r="K281" s="27">
        <v>1</v>
      </c>
      <c r="L281" s="28">
        <v>0</v>
      </c>
      <c r="M281" s="26" t="s">
        <v>79</v>
      </c>
      <c r="N281" s="3" t="s">
        <v>595</v>
      </c>
      <c r="O281" s="36" t="s">
        <v>15</v>
      </c>
      <c r="P281" s="1" t="s">
        <v>80</v>
      </c>
      <c r="Q281" s="1" t="s">
        <v>596</v>
      </c>
      <c r="R281" s="3"/>
      <c r="S281" s="26" t="s">
        <v>1</v>
      </c>
      <c r="T281" s="29" t="s">
        <v>82</v>
      </c>
      <c r="U281" s="3"/>
    </row>
    <row r="282" spans="1:21" ht="72">
      <c r="A282" s="24">
        <v>10281</v>
      </c>
      <c r="B282" s="74" t="s">
        <v>597</v>
      </c>
      <c r="C282" s="25">
        <v>45817</v>
      </c>
      <c r="D282" s="14" t="s">
        <v>598</v>
      </c>
      <c r="E282" s="26">
        <v>18</v>
      </c>
      <c r="F282" s="26">
        <v>9</v>
      </c>
      <c r="G282" s="26">
        <v>94.5</v>
      </c>
      <c r="H282" s="26">
        <v>85.5</v>
      </c>
      <c r="I282" s="26">
        <v>207</v>
      </c>
      <c r="J282" s="26">
        <v>180</v>
      </c>
      <c r="K282" s="27">
        <v>0.52500000000000002</v>
      </c>
      <c r="L282" s="28">
        <v>0.47499999999999998</v>
      </c>
      <c r="M282" s="26" t="s">
        <v>95</v>
      </c>
      <c r="N282" s="5" t="s">
        <v>599</v>
      </c>
      <c r="O282" s="36" t="s">
        <v>15</v>
      </c>
      <c r="P282" s="1" t="s">
        <v>80</v>
      </c>
      <c r="Q282" s="1" t="s">
        <v>110</v>
      </c>
      <c r="R282" s="3"/>
      <c r="S282" s="26" t="s">
        <v>1</v>
      </c>
      <c r="T282" s="29" t="s">
        <v>82</v>
      </c>
      <c r="U282" s="3"/>
    </row>
    <row r="283" spans="1:21">
      <c r="A283" s="24">
        <v>10282</v>
      </c>
      <c r="B283" s="74" t="s">
        <v>600</v>
      </c>
      <c r="C283" s="25">
        <v>45819</v>
      </c>
      <c r="D283" s="14" t="s">
        <v>196</v>
      </c>
      <c r="E283" s="26">
        <v>0</v>
      </c>
      <c r="F283" s="26">
        <v>9</v>
      </c>
      <c r="G283" s="26">
        <v>198</v>
      </c>
      <c r="H283" s="26">
        <v>0</v>
      </c>
      <c r="I283" s="26">
        <v>207</v>
      </c>
      <c r="J283" s="26">
        <v>198</v>
      </c>
      <c r="K283" s="27">
        <v>1</v>
      </c>
      <c r="L283" s="28">
        <v>0</v>
      </c>
      <c r="M283" s="26" t="s">
        <v>79</v>
      </c>
      <c r="N283" s="3" t="s">
        <v>196</v>
      </c>
      <c r="O283" s="36" t="s">
        <v>19</v>
      </c>
      <c r="P283" s="1" t="s">
        <v>80</v>
      </c>
      <c r="Q283" s="1" t="s">
        <v>197</v>
      </c>
      <c r="R283" s="3"/>
      <c r="S283" s="26" t="s">
        <v>1</v>
      </c>
      <c r="T283" s="29" t="s">
        <v>82</v>
      </c>
      <c r="U283" s="3"/>
    </row>
    <row r="284" spans="1:21">
      <c r="A284" s="30">
        <v>10283</v>
      </c>
      <c r="B284" s="74" t="s">
        <v>601</v>
      </c>
      <c r="C284" s="25">
        <v>45820</v>
      </c>
      <c r="D284" s="14" t="s">
        <v>99</v>
      </c>
      <c r="E284" s="26">
        <v>9</v>
      </c>
      <c r="F284" s="26">
        <v>9</v>
      </c>
      <c r="G284" s="26">
        <v>189</v>
      </c>
      <c r="H284" s="26">
        <v>0</v>
      </c>
      <c r="I284" s="26">
        <v>207</v>
      </c>
      <c r="J284" s="26">
        <v>189</v>
      </c>
      <c r="K284" s="27">
        <v>1</v>
      </c>
      <c r="L284" s="28">
        <v>0</v>
      </c>
      <c r="M284" s="26" t="s">
        <v>79</v>
      </c>
      <c r="N284" s="3" t="s">
        <v>99</v>
      </c>
      <c r="O284" s="36" t="s">
        <v>19</v>
      </c>
      <c r="P284" s="1" t="s">
        <v>80</v>
      </c>
      <c r="Q284" s="1" t="s">
        <v>100</v>
      </c>
      <c r="R284" s="3"/>
      <c r="S284" s="26" t="s">
        <v>1</v>
      </c>
      <c r="T284" s="29" t="s">
        <v>82</v>
      </c>
      <c r="U284" s="3"/>
    </row>
    <row r="285" spans="1:21" ht="28.9">
      <c r="A285" s="24">
        <v>10284</v>
      </c>
      <c r="B285" s="74" t="s">
        <v>602</v>
      </c>
      <c r="C285" s="25">
        <v>42324</v>
      </c>
      <c r="D285" s="14" t="s">
        <v>215</v>
      </c>
      <c r="E285" s="26">
        <v>0</v>
      </c>
      <c r="F285" s="26">
        <v>0</v>
      </c>
      <c r="G285" s="26">
        <v>0</v>
      </c>
      <c r="H285" s="26">
        <v>207</v>
      </c>
      <c r="I285" s="26">
        <v>207</v>
      </c>
      <c r="J285" s="26">
        <v>207</v>
      </c>
      <c r="K285" s="27">
        <v>0</v>
      </c>
      <c r="L285" s="28">
        <v>1</v>
      </c>
      <c r="M285" s="26" t="s">
        <v>95</v>
      </c>
      <c r="N285" s="2" t="s">
        <v>603</v>
      </c>
      <c r="O285" s="36" t="s">
        <v>13</v>
      </c>
      <c r="P285" s="1" t="s">
        <v>1</v>
      </c>
      <c r="Q285" s="1" t="s">
        <v>215</v>
      </c>
      <c r="R285" s="3"/>
      <c r="S285" s="26" t="s">
        <v>1</v>
      </c>
      <c r="T285" s="29" t="s">
        <v>82</v>
      </c>
      <c r="U285" s="3"/>
    </row>
    <row r="286" spans="1:21" ht="57.6">
      <c r="A286" s="24">
        <v>10285</v>
      </c>
      <c r="B286" s="74" t="s">
        <v>604</v>
      </c>
      <c r="C286" s="25">
        <v>42877</v>
      </c>
      <c r="D286" s="14" t="s">
        <v>12</v>
      </c>
      <c r="E286" s="26">
        <v>0</v>
      </c>
      <c r="F286" s="26">
        <v>0</v>
      </c>
      <c r="G286" s="26">
        <v>0</v>
      </c>
      <c r="H286" s="26">
        <v>207</v>
      </c>
      <c r="I286" s="26">
        <v>207</v>
      </c>
      <c r="J286" s="26">
        <v>207</v>
      </c>
      <c r="K286" s="27">
        <v>0</v>
      </c>
      <c r="L286" s="28">
        <v>1</v>
      </c>
      <c r="M286" s="26" t="s">
        <v>95</v>
      </c>
      <c r="N286" s="2" t="s">
        <v>605</v>
      </c>
      <c r="O286" s="36" t="s">
        <v>12</v>
      </c>
      <c r="P286" s="1" t="s">
        <v>1</v>
      </c>
      <c r="Q286" s="1" t="s">
        <v>12</v>
      </c>
      <c r="R286" s="3"/>
      <c r="S286" s="26" t="s">
        <v>1</v>
      </c>
      <c r="T286" s="29" t="s">
        <v>82</v>
      </c>
      <c r="U286" s="3"/>
    </row>
    <row r="287" spans="1:21" ht="28.9">
      <c r="A287" s="30">
        <v>10286</v>
      </c>
      <c r="B287" s="74" t="s">
        <v>606</v>
      </c>
      <c r="C287" s="25">
        <v>43713</v>
      </c>
      <c r="D287" s="32" t="s">
        <v>607</v>
      </c>
      <c r="E287" s="26">
        <v>0</v>
      </c>
      <c r="F287" s="26">
        <v>0</v>
      </c>
      <c r="G287" s="26">
        <v>0</v>
      </c>
      <c r="H287" s="26">
        <v>207</v>
      </c>
      <c r="I287" s="26">
        <v>207</v>
      </c>
      <c r="J287" s="26">
        <v>207</v>
      </c>
      <c r="K287" s="27">
        <v>0</v>
      </c>
      <c r="L287" s="28">
        <v>1</v>
      </c>
      <c r="M287" s="26" t="s">
        <v>95</v>
      </c>
      <c r="N287" s="31" t="s">
        <v>608</v>
      </c>
      <c r="O287" s="36" t="s">
        <v>609</v>
      </c>
      <c r="P287" s="1" t="s">
        <v>1</v>
      </c>
      <c r="Q287" s="1" t="s">
        <v>607</v>
      </c>
      <c r="R287" s="3"/>
      <c r="S287" s="26" t="s">
        <v>1</v>
      </c>
      <c r="T287" s="29" t="s">
        <v>82</v>
      </c>
      <c r="U287" s="3"/>
    </row>
    <row r="288" spans="1:21" ht="28.9">
      <c r="A288" s="24">
        <v>10287</v>
      </c>
      <c r="B288" s="74" t="s">
        <v>610</v>
      </c>
      <c r="C288" s="25">
        <v>45398</v>
      </c>
      <c r="D288" s="14" t="s">
        <v>460</v>
      </c>
      <c r="E288" s="26">
        <v>22.5</v>
      </c>
      <c r="F288" s="26">
        <v>9</v>
      </c>
      <c r="G288" s="26">
        <v>0</v>
      </c>
      <c r="H288" s="26">
        <v>175.5</v>
      </c>
      <c r="I288" s="26">
        <v>207</v>
      </c>
      <c r="J288" s="26">
        <v>175.5</v>
      </c>
      <c r="K288" s="27">
        <v>0</v>
      </c>
      <c r="L288" s="28">
        <v>1</v>
      </c>
      <c r="M288" s="26" t="s">
        <v>95</v>
      </c>
      <c r="N288" s="5" t="s">
        <v>461</v>
      </c>
      <c r="O288" s="36" t="s">
        <v>11</v>
      </c>
      <c r="P288" s="1" t="s">
        <v>1</v>
      </c>
      <c r="Q288" s="1" t="s">
        <v>11</v>
      </c>
      <c r="R288" s="3"/>
      <c r="S288" s="26" t="s">
        <v>1</v>
      </c>
      <c r="T288" s="29" t="s">
        <v>82</v>
      </c>
      <c r="U288" s="3"/>
    </row>
    <row r="289" spans="1:21" ht="28.9">
      <c r="A289" s="24">
        <v>10288</v>
      </c>
      <c r="B289" s="74" t="s">
        <v>611</v>
      </c>
      <c r="C289" s="25">
        <v>45733</v>
      </c>
      <c r="D289" s="14" t="s">
        <v>612</v>
      </c>
      <c r="E289" s="26">
        <v>18</v>
      </c>
      <c r="F289" s="26">
        <v>9</v>
      </c>
      <c r="G289" s="26">
        <v>179</v>
      </c>
      <c r="H289" s="26">
        <v>1</v>
      </c>
      <c r="I289" s="26">
        <v>207</v>
      </c>
      <c r="J289" s="26">
        <v>180</v>
      </c>
      <c r="K289" s="27">
        <v>0.99444444444444446</v>
      </c>
      <c r="L289" s="28">
        <v>5.5555555555555558E-3</v>
      </c>
      <c r="M289" s="26" t="s">
        <v>79</v>
      </c>
      <c r="N289" s="3" t="s">
        <v>613</v>
      </c>
      <c r="O289" s="36" t="s">
        <v>19</v>
      </c>
      <c r="P289" s="1" t="s">
        <v>80</v>
      </c>
      <c r="Q289" s="1" t="s">
        <v>614</v>
      </c>
      <c r="R289" s="3"/>
      <c r="S289" s="26" t="s">
        <v>1</v>
      </c>
      <c r="T289" s="29" t="s">
        <v>82</v>
      </c>
      <c r="U289" s="3"/>
    </row>
    <row r="290" spans="1:21" ht="28.9">
      <c r="A290" s="30">
        <v>10289</v>
      </c>
      <c r="B290" s="74" t="s">
        <v>615</v>
      </c>
      <c r="C290" s="25">
        <v>45733</v>
      </c>
      <c r="D290" s="32" t="s">
        <v>215</v>
      </c>
      <c r="E290" s="26">
        <v>0</v>
      </c>
      <c r="F290" s="26">
        <v>0</v>
      </c>
      <c r="G290" s="26">
        <v>0</v>
      </c>
      <c r="H290" s="26">
        <v>90</v>
      </c>
      <c r="I290" s="26">
        <v>90</v>
      </c>
      <c r="J290" s="26">
        <v>90</v>
      </c>
      <c r="K290" s="27">
        <v>0</v>
      </c>
      <c r="L290" s="28">
        <v>1</v>
      </c>
      <c r="M290" s="26" t="s">
        <v>95</v>
      </c>
      <c r="N290" s="61" t="s">
        <v>616</v>
      </c>
      <c r="O290" s="36" t="s">
        <v>13</v>
      </c>
      <c r="P290" s="1" t="s">
        <v>1</v>
      </c>
      <c r="Q290" s="1" t="s">
        <v>215</v>
      </c>
      <c r="R290" s="3"/>
      <c r="S290" s="26" t="s">
        <v>80</v>
      </c>
      <c r="T290" s="29">
        <v>46003</v>
      </c>
      <c r="U290" s="3"/>
    </row>
    <row r="291" spans="1:21">
      <c r="A291" s="24">
        <v>10290</v>
      </c>
      <c r="B291" s="74" t="s">
        <v>617</v>
      </c>
      <c r="C291" s="25">
        <v>44690</v>
      </c>
      <c r="D291" s="14" t="s">
        <v>344</v>
      </c>
      <c r="E291" s="26">
        <v>9</v>
      </c>
      <c r="F291" s="26">
        <v>9</v>
      </c>
      <c r="G291" s="26">
        <v>0</v>
      </c>
      <c r="H291" s="26">
        <v>189</v>
      </c>
      <c r="I291" s="26">
        <v>207</v>
      </c>
      <c r="J291" s="26">
        <v>189</v>
      </c>
      <c r="K291" s="27">
        <v>0</v>
      </c>
      <c r="L291" s="28">
        <v>1</v>
      </c>
      <c r="M291" s="26" t="s">
        <v>95</v>
      </c>
      <c r="N291" s="62" t="s">
        <v>345</v>
      </c>
      <c r="O291" s="36" t="s">
        <v>149</v>
      </c>
      <c r="P291" s="1" t="s">
        <v>1</v>
      </c>
      <c r="Q291" s="1" t="s">
        <v>149</v>
      </c>
      <c r="R291" s="3"/>
      <c r="S291" s="26" t="s">
        <v>1</v>
      </c>
      <c r="T291" s="29" t="s">
        <v>82</v>
      </c>
      <c r="U291" s="3"/>
    </row>
    <row r="292" spans="1:21" ht="28.9">
      <c r="A292" s="24">
        <v>10291</v>
      </c>
      <c r="B292" s="74" t="s">
        <v>618</v>
      </c>
      <c r="C292" s="25">
        <v>45748</v>
      </c>
      <c r="D292" s="14" t="s">
        <v>619</v>
      </c>
      <c r="E292" s="26">
        <v>0</v>
      </c>
      <c r="F292" s="26">
        <v>9</v>
      </c>
      <c r="G292" s="26">
        <v>198</v>
      </c>
      <c r="H292" s="26">
        <v>0</v>
      </c>
      <c r="I292" s="26">
        <v>207</v>
      </c>
      <c r="J292" s="26">
        <v>198</v>
      </c>
      <c r="K292" s="27">
        <v>1</v>
      </c>
      <c r="L292" s="28">
        <v>0</v>
      </c>
      <c r="M292" s="26" t="s">
        <v>79</v>
      </c>
      <c r="N292" s="3" t="s">
        <v>619</v>
      </c>
      <c r="O292" s="36" t="s">
        <v>15</v>
      </c>
      <c r="P292" s="1" t="s">
        <v>80</v>
      </c>
      <c r="Q292" s="1" t="s">
        <v>620</v>
      </c>
      <c r="R292" s="3"/>
      <c r="S292" s="26" t="s">
        <v>1</v>
      </c>
      <c r="T292" s="29" t="s">
        <v>82</v>
      </c>
      <c r="U292" s="3"/>
    </row>
    <row r="293" spans="1:21">
      <c r="A293" s="30">
        <v>10292</v>
      </c>
      <c r="B293" s="74" t="s">
        <v>621</v>
      </c>
      <c r="C293" s="25">
        <v>45901</v>
      </c>
      <c r="D293" s="14" t="s">
        <v>99</v>
      </c>
      <c r="E293" s="26">
        <v>9</v>
      </c>
      <c r="F293" s="26">
        <v>9</v>
      </c>
      <c r="G293" s="26">
        <v>189</v>
      </c>
      <c r="H293" s="26">
        <v>0</v>
      </c>
      <c r="I293" s="26">
        <v>207</v>
      </c>
      <c r="J293" s="26">
        <v>189</v>
      </c>
      <c r="K293" s="27">
        <v>1</v>
      </c>
      <c r="L293" s="28">
        <v>0</v>
      </c>
      <c r="M293" s="26" t="s">
        <v>79</v>
      </c>
      <c r="N293" s="3" t="s">
        <v>99</v>
      </c>
      <c r="O293" s="36" t="s">
        <v>19</v>
      </c>
      <c r="P293" s="1" t="s">
        <v>80</v>
      </c>
      <c r="Q293" s="1" t="s">
        <v>100</v>
      </c>
      <c r="R293" s="3"/>
      <c r="S293" s="26" t="s">
        <v>1</v>
      </c>
      <c r="T293" s="29" t="s">
        <v>82</v>
      </c>
      <c r="U293" s="3"/>
    </row>
    <row r="294" spans="1:21">
      <c r="A294" s="24">
        <v>10293</v>
      </c>
      <c r="B294" s="74" t="s">
        <v>622</v>
      </c>
      <c r="C294" s="25">
        <v>45831</v>
      </c>
      <c r="D294" s="14" t="s">
        <v>110</v>
      </c>
      <c r="E294" s="26">
        <v>76.5</v>
      </c>
      <c r="F294" s="26">
        <v>9</v>
      </c>
      <c r="G294" s="26">
        <v>121.5</v>
      </c>
      <c r="H294" s="26">
        <v>0</v>
      </c>
      <c r="I294" s="26">
        <v>207</v>
      </c>
      <c r="J294" s="26">
        <v>121.5</v>
      </c>
      <c r="K294" s="27">
        <v>1</v>
      </c>
      <c r="L294" s="28">
        <v>0</v>
      </c>
      <c r="M294" s="26" t="s">
        <v>79</v>
      </c>
      <c r="N294" s="3" t="s">
        <v>111</v>
      </c>
      <c r="O294" s="36" t="s">
        <v>15</v>
      </c>
      <c r="P294" s="1" t="s">
        <v>80</v>
      </c>
      <c r="Q294" s="1" t="s">
        <v>110</v>
      </c>
      <c r="R294" s="3"/>
      <c r="S294" s="26" t="s">
        <v>1</v>
      </c>
      <c r="T294" s="29" t="s">
        <v>82</v>
      </c>
      <c r="U294" s="3"/>
    </row>
    <row r="295" spans="1:21">
      <c r="A295" s="24">
        <v>10294</v>
      </c>
      <c r="B295" s="74" t="s">
        <v>623</v>
      </c>
      <c r="C295" s="25">
        <v>45831</v>
      </c>
      <c r="D295" s="14" t="s">
        <v>99</v>
      </c>
      <c r="E295" s="26">
        <v>0</v>
      </c>
      <c r="F295" s="26">
        <v>9</v>
      </c>
      <c r="G295" s="26">
        <v>198</v>
      </c>
      <c r="H295" s="26">
        <v>0</v>
      </c>
      <c r="I295" s="26">
        <v>207</v>
      </c>
      <c r="J295" s="26">
        <v>198</v>
      </c>
      <c r="K295" s="27">
        <v>1</v>
      </c>
      <c r="L295" s="28">
        <v>0</v>
      </c>
      <c r="M295" s="26" t="s">
        <v>79</v>
      </c>
      <c r="N295" s="3" t="s">
        <v>99</v>
      </c>
      <c r="O295" s="36" t="s">
        <v>19</v>
      </c>
      <c r="P295" s="1" t="s">
        <v>80</v>
      </c>
      <c r="Q295" s="1" t="s">
        <v>100</v>
      </c>
      <c r="R295" s="3"/>
      <c r="S295" s="26" t="s">
        <v>1</v>
      </c>
      <c r="T295" s="29" t="s">
        <v>82</v>
      </c>
      <c r="U295" s="3"/>
    </row>
    <row r="296" spans="1:21">
      <c r="A296" s="30">
        <v>10295</v>
      </c>
      <c r="B296" s="74" t="s">
        <v>624</v>
      </c>
      <c r="C296" s="25">
        <v>45846</v>
      </c>
      <c r="D296" s="14" t="s">
        <v>121</v>
      </c>
      <c r="E296" s="26">
        <v>27</v>
      </c>
      <c r="F296" s="26">
        <v>9</v>
      </c>
      <c r="G296" s="26">
        <v>0</v>
      </c>
      <c r="H296" s="26">
        <v>171</v>
      </c>
      <c r="I296" s="26">
        <v>207</v>
      </c>
      <c r="J296" s="26">
        <v>171</v>
      </c>
      <c r="K296" s="27">
        <v>0</v>
      </c>
      <c r="L296" s="28">
        <v>1</v>
      </c>
      <c r="M296" s="26" t="s">
        <v>95</v>
      </c>
      <c r="N296" s="62" t="s">
        <v>625</v>
      </c>
      <c r="O296" s="36" t="s">
        <v>16</v>
      </c>
      <c r="P296" s="1" t="s">
        <v>1</v>
      </c>
      <c r="Q296" s="1" t="s">
        <v>10</v>
      </c>
      <c r="R296" s="3"/>
      <c r="S296" s="26" t="s">
        <v>1</v>
      </c>
      <c r="T296" s="29" t="s">
        <v>82</v>
      </c>
      <c r="U296" s="3"/>
    </row>
    <row r="297" spans="1:21" ht="57.6">
      <c r="A297" s="24">
        <v>10296</v>
      </c>
      <c r="B297" s="74" t="s">
        <v>626</v>
      </c>
      <c r="C297" s="25">
        <v>45854</v>
      </c>
      <c r="D297" s="14" t="s">
        <v>94</v>
      </c>
      <c r="E297" s="26">
        <v>0</v>
      </c>
      <c r="F297" s="26">
        <v>9</v>
      </c>
      <c r="G297" s="26">
        <v>90</v>
      </c>
      <c r="H297" s="26">
        <v>108</v>
      </c>
      <c r="I297" s="26">
        <v>207</v>
      </c>
      <c r="J297" s="26">
        <v>198</v>
      </c>
      <c r="K297" s="27">
        <v>0.45454545454545453</v>
      </c>
      <c r="L297" s="28">
        <v>0.54545454545454541</v>
      </c>
      <c r="M297" s="26" t="s">
        <v>95</v>
      </c>
      <c r="N297" s="5" t="s">
        <v>627</v>
      </c>
      <c r="O297" s="36" t="s">
        <v>19</v>
      </c>
      <c r="P297" s="1" t="s">
        <v>80</v>
      </c>
      <c r="Q297" s="1" t="s">
        <v>628</v>
      </c>
      <c r="R297" s="3"/>
      <c r="S297" s="26" t="s">
        <v>1</v>
      </c>
      <c r="T297" s="29" t="s">
        <v>82</v>
      </c>
      <c r="U297" s="3"/>
    </row>
    <row r="298" spans="1:21">
      <c r="A298" s="24">
        <v>10297</v>
      </c>
      <c r="B298" s="74" t="s">
        <v>629</v>
      </c>
      <c r="C298" s="25">
        <v>45855</v>
      </c>
      <c r="D298" s="14" t="s">
        <v>84</v>
      </c>
      <c r="E298" s="26">
        <v>0</v>
      </c>
      <c r="F298" s="26">
        <v>9</v>
      </c>
      <c r="G298" s="26">
        <v>198</v>
      </c>
      <c r="H298" s="26">
        <v>0</v>
      </c>
      <c r="I298" s="26">
        <v>207</v>
      </c>
      <c r="J298" s="26">
        <v>198</v>
      </c>
      <c r="K298" s="27">
        <v>1</v>
      </c>
      <c r="L298" s="28">
        <v>0</v>
      </c>
      <c r="M298" s="26" t="s">
        <v>79</v>
      </c>
      <c r="N298" s="3" t="s">
        <v>84</v>
      </c>
      <c r="O298" s="36" t="s">
        <v>15</v>
      </c>
      <c r="P298" s="1" t="s">
        <v>80</v>
      </c>
      <c r="Q298" s="1" t="s">
        <v>85</v>
      </c>
      <c r="R298" s="3"/>
      <c r="S298" s="26" t="s">
        <v>1</v>
      </c>
      <c r="T298" s="29" t="s">
        <v>82</v>
      </c>
      <c r="U298" s="3"/>
    </row>
    <row r="299" spans="1:21">
      <c r="A299" s="30">
        <v>10298</v>
      </c>
      <c r="B299" s="74" t="s">
        <v>630</v>
      </c>
      <c r="C299" s="25">
        <v>45860</v>
      </c>
      <c r="D299" s="14" t="s">
        <v>631</v>
      </c>
      <c r="E299" s="26">
        <v>9</v>
      </c>
      <c r="F299" s="26">
        <v>9</v>
      </c>
      <c r="G299" s="26">
        <v>189</v>
      </c>
      <c r="H299" s="26">
        <v>0</v>
      </c>
      <c r="I299" s="26">
        <v>207</v>
      </c>
      <c r="J299" s="26">
        <v>189</v>
      </c>
      <c r="K299" s="27">
        <v>1</v>
      </c>
      <c r="L299" s="28">
        <v>0</v>
      </c>
      <c r="M299" s="26" t="s">
        <v>79</v>
      </c>
      <c r="N299" s="3" t="s">
        <v>631</v>
      </c>
      <c r="O299" s="36" t="s">
        <v>19</v>
      </c>
      <c r="P299" s="1" t="s">
        <v>80</v>
      </c>
      <c r="Q299" s="1" t="s">
        <v>631</v>
      </c>
      <c r="R299" s="3"/>
      <c r="S299" s="26" t="s">
        <v>1</v>
      </c>
      <c r="T299" s="29" t="s">
        <v>82</v>
      </c>
      <c r="U299" s="3"/>
    </row>
    <row r="300" spans="1:21">
      <c r="A300" s="24">
        <v>10299</v>
      </c>
      <c r="B300" s="74" t="s">
        <v>632</v>
      </c>
      <c r="C300" s="25">
        <v>45866</v>
      </c>
      <c r="D300" s="14" t="s">
        <v>633</v>
      </c>
      <c r="E300" s="26">
        <v>18</v>
      </c>
      <c r="F300" s="26">
        <v>9</v>
      </c>
      <c r="G300" s="26">
        <v>180</v>
      </c>
      <c r="H300" s="26">
        <v>0</v>
      </c>
      <c r="I300" s="26">
        <v>207</v>
      </c>
      <c r="J300" s="26">
        <v>180</v>
      </c>
      <c r="K300" s="27">
        <v>1</v>
      </c>
      <c r="L300" s="28">
        <v>0</v>
      </c>
      <c r="M300" s="26" t="s">
        <v>79</v>
      </c>
      <c r="N300" s="3" t="s">
        <v>633</v>
      </c>
      <c r="O300" s="36" t="s">
        <v>19</v>
      </c>
      <c r="P300" s="1" t="s">
        <v>80</v>
      </c>
      <c r="Q300" s="1" t="s">
        <v>633</v>
      </c>
      <c r="R300" s="3"/>
      <c r="S300" s="26" t="s">
        <v>1</v>
      </c>
      <c r="T300" s="29" t="s">
        <v>82</v>
      </c>
      <c r="U300" s="3"/>
    </row>
    <row r="301" spans="1:21">
      <c r="A301" s="24">
        <v>10300</v>
      </c>
      <c r="B301" s="74" t="s">
        <v>634</v>
      </c>
      <c r="C301" s="25">
        <v>45873</v>
      </c>
      <c r="D301" s="14" t="s">
        <v>344</v>
      </c>
      <c r="E301" s="26">
        <v>13.5</v>
      </c>
      <c r="F301" s="26">
        <v>9</v>
      </c>
      <c r="G301" s="26">
        <v>0</v>
      </c>
      <c r="H301" s="26">
        <v>184.5</v>
      </c>
      <c r="I301" s="26">
        <v>207</v>
      </c>
      <c r="J301" s="26">
        <v>184.5</v>
      </c>
      <c r="K301" s="27">
        <v>0</v>
      </c>
      <c r="L301" s="28">
        <v>1</v>
      </c>
      <c r="M301" s="26" t="s">
        <v>95</v>
      </c>
      <c r="N301" s="62" t="s">
        <v>635</v>
      </c>
      <c r="O301" s="36" t="s">
        <v>636</v>
      </c>
      <c r="P301" s="1" t="s">
        <v>1</v>
      </c>
      <c r="Q301" s="1" t="s">
        <v>149</v>
      </c>
      <c r="R301" s="3"/>
      <c r="S301" s="26" t="s">
        <v>1</v>
      </c>
      <c r="T301" s="29" t="s">
        <v>82</v>
      </c>
      <c r="U301" s="3"/>
    </row>
    <row r="302" spans="1:21">
      <c r="A302" s="30">
        <v>10301</v>
      </c>
      <c r="B302" s="74" t="s">
        <v>637</v>
      </c>
      <c r="C302" s="25">
        <v>45875</v>
      </c>
      <c r="D302" s="14" t="s">
        <v>638</v>
      </c>
      <c r="E302" s="26">
        <v>18</v>
      </c>
      <c r="F302" s="26">
        <v>9</v>
      </c>
      <c r="G302" s="26">
        <v>180</v>
      </c>
      <c r="H302" s="26">
        <v>0</v>
      </c>
      <c r="I302" s="26">
        <v>207</v>
      </c>
      <c r="J302" s="26">
        <v>180</v>
      </c>
      <c r="K302" s="27">
        <v>1</v>
      </c>
      <c r="L302" s="28">
        <v>0</v>
      </c>
      <c r="M302" s="26" t="s">
        <v>79</v>
      </c>
      <c r="N302" s="3" t="s">
        <v>638</v>
      </c>
      <c r="O302" s="36" t="s">
        <v>19</v>
      </c>
      <c r="P302" s="1" t="s">
        <v>80</v>
      </c>
      <c r="Q302" s="1" t="s">
        <v>639</v>
      </c>
      <c r="R302" s="3"/>
      <c r="S302" s="26" t="s">
        <v>1</v>
      </c>
      <c r="T302" s="29" t="s">
        <v>82</v>
      </c>
      <c r="U302" s="3"/>
    </row>
    <row r="303" spans="1:21">
      <c r="A303" s="24">
        <v>10302</v>
      </c>
      <c r="B303" s="74" t="s">
        <v>640</v>
      </c>
      <c r="C303" s="25">
        <v>45776</v>
      </c>
      <c r="D303" s="14" t="s">
        <v>344</v>
      </c>
      <c r="E303" s="26">
        <v>0</v>
      </c>
      <c r="F303" s="26">
        <v>18</v>
      </c>
      <c r="G303" s="26">
        <v>0</v>
      </c>
      <c r="H303" s="26">
        <v>189</v>
      </c>
      <c r="I303" s="26">
        <v>207</v>
      </c>
      <c r="J303" s="26">
        <v>189</v>
      </c>
      <c r="K303" s="27">
        <v>0</v>
      </c>
      <c r="L303" s="28">
        <v>1</v>
      </c>
      <c r="M303" s="26" t="s">
        <v>95</v>
      </c>
      <c r="N303" s="62" t="s">
        <v>641</v>
      </c>
      <c r="O303" s="36" t="s">
        <v>149</v>
      </c>
      <c r="P303" s="1" t="s">
        <v>1</v>
      </c>
      <c r="Q303" s="1" t="s">
        <v>149</v>
      </c>
      <c r="R303" s="3"/>
      <c r="S303" s="26" t="s">
        <v>1</v>
      </c>
      <c r="T303" s="29" t="s">
        <v>82</v>
      </c>
      <c r="U303" s="3"/>
    </row>
    <row r="304" spans="1:21" ht="28.9">
      <c r="A304" s="24">
        <v>10303</v>
      </c>
      <c r="B304" s="74" t="s">
        <v>642</v>
      </c>
      <c r="C304" s="25">
        <v>45880</v>
      </c>
      <c r="D304" s="14" t="s">
        <v>344</v>
      </c>
      <c r="E304" s="26">
        <v>0</v>
      </c>
      <c r="F304" s="26">
        <v>9</v>
      </c>
      <c r="G304" s="26">
        <v>0</v>
      </c>
      <c r="H304" s="26">
        <v>198</v>
      </c>
      <c r="I304" s="26">
        <v>207</v>
      </c>
      <c r="J304" s="26">
        <v>198</v>
      </c>
      <c r="K304" s="27">
        <v>0</v>
      </c>
      <c r="L304" s="28">
        <v>1</v>
      </c>
      <c r="M304" s="26" t="s">
        <v>95</v>
      </c>
      <c r="N304" s="62" t="s">
        <v>643</v>
      </c>
      <c r="O304" s="36" t="s">
        <v>9</v>
      </c>
      <c r="P304" s="1" t="s">
        <v>1</v>
      </c>
      <c r="Q304" s="1" t="s">
        <v>149</v>
      </c>
      <c r="R304" s="3"/>
      <c r="S304" s="26" t="s">
        <v>1</v>
      </c>
      <c r="T304" s="29" t="s">
        <v>82</v>
      </c>
      <c r="U304" s="3"/>
    </row>
    <row r="305" spans="1:21">
      <c r="A305" s="30">
        <v>10304</v>
      </c>
      <c r="B305" s="74" t="s">
        <v>644</v>
      </c>
      <c r="C305" s="25">
        <v>45890</v>
      </c>
      <c r="D305" s="14" t="s">
        <v>631</v>
      </c>
      <c r="E305" s="26">
        <v>18</v>
      </c>
      <c r="F305" s="26">
        <v>9</v>
      </c>
      <c r="G305" s="26">
        <v>180</v>
      </c>
      <c r="H305" s="26">
        <v>0</v>
      </c>
      <c r="I305" s="26">
        <v>207</v>
      </c>
      <c r="J305" s="26">
        <v>180</v>
      </c>
      <c r="K305" s="27">
        <v>1</v>
      </c>
      <c r="L305" s="28">
        <v>0</v>
      </c>
      <c r="M305" s="26" t="s">
        <v>79</v>
      </c>
      <c r="N305" s="3" t="s">
        <v>631</v>
      </c>
      <c r="O305" s="36" t="s">
        <v>19</v>
      </c>
      <c r="P305" s="1" t="s">
        <v>80</v>
      </c>
      <c r="Q305" s="1" t="s">
        <v>631</v>
      </c>
      <c r="R305" s="3"/>
      <c r="S305" s="26" t="s">
        <v>1</v>
      </c>
      <c r="T305" s="29" t="s">
        <v>82</v>
      </c>
      <c r="U305" s="3"/>
    </row>
    <row r="306" spans="1:21" ht="43.15">
      <c r="A306" s="24">
        <v>10305</v>
      </c>
      <c r="B306" s="74" t="s">
        <v>645</v>
      </c>
      <c r="C306" s="25">
        <v>45895</v>
      </c>
      <c r="D306" s="14" t="s">
        <v>646</v>
      </c>
      <c r="E306" s="26">
        <v>45</v>
      </c>
      <c r="F306" s="26">
        <v>9</v>
      </c>
      <c r="G306" s="26">
        <v>126</v>
      </c>
      <c r="H306" s="26">
        <v>27</v>
      </c>
      <c r="I306" s="26">
        <v>207</v>
      </c>
      <c r="J306" s="26">
        <v>153</v>
      </c>
      <c r="K306" s="27">
        <v>0.82352941176470584</v>
      </c>
      <c r="L306" s="28">
        <v>0.17647058823529413</v>
      </c>
      <c r="M306" s="26" t="s">
        <v>95</v>
      </c>
      <c r="N306" s="37" t="s">
        <v>647</v>
      </c>
      <c r="O306" s="36" t="s">
        <v>10</v>
      </c>
      <c r="P306" s="1" t="s">
        <v>1</v>
      </c>
      <c r="Q306" s="36" t="s">
        <v>10</v>
      </c>
      <c r="R306" s="3"/>
      <c r="S306" s="26" t="s">
        <v>1</v>
      </c>
      <c r="T306" s="29" t="s">
        <v>82</v>
      </c>
      <c r="U306" s="3"/>
    </row>
    <row r="307" spans="1:21" ht="28.9">
      <c r="A307" s="24">
        <v>10306</v>
      </c>
      <c r="B307" s="74" t="s">
        <v>648</v>
      </c>
      <c r="C307" s="25">
        <v>45902</v>
      </c>
      <c r="D307" s="14" t="s">
        <v>344</v>
      </c>
      <c r="E307" s="26">
        <v>9</v>
      </c>
      <c r="F307" s="26">
        <v>9</v>
      </c>
      <c r="G307" s="26">
        <v>0</v>
      </c>
      <c r="H307" s="26">
        <v>189</v>
      </c>
      <c r="I307" s="26">
        <v>207</v>
      </c>
      <c r="J307" s="26">
        <v>189</v>
      </c>
      <c r="K307" s="27">
        <v>0</v>
      </c>
      <c r="L307" s="28">
        <v>1</v>
      </c>
      <c r="M307" s="26" t="s">
        <v>95</v>
      </c>
      <c r="N307" s="33" t="s">
        <v>649</v>
      </c>
      <c r="O307" s="36" t="s">
        <v>9</v>
      </c>
      <c r="P307" s="1" t="s">
        <v>1</v>
      </c>
      <c r="Q307" s="1" t="s">
        <v>149</v>
      </c>
      <c r="R307" s="3"/>
      <c r="S307" s="26" t="s">
        <v>1</v>
      </c>
      <c r="T307" s="29" t="s">
        <v>82</v>
      </c>
      <c r="U307" s="3"/>
    </row>
    <row r="308" spans="1:21" ht="28.9">
      <c r="A308" s="30">
        <v>10307</v>
      </c>
      <c r="B308" s="74" t="s">
        <v>650</v>
      </c>
      <c r="C308" s="25">
        <v>45902</v>
      </c>
      <c r="D308" s="14" t="s">
        <v>344</v>
      </c>
      <c r="E308" s="26">
        <v>0</v>
      </c>
      <c r="F308" s="26">
        <v>9</v>
      </c>
      <c r="G308" s="26">
        <v>0</v>
      </c>
      <c r="H308" s="26">
        <v>198</v>
      </c>
      <c r="I308" s="26">
        <v>207</v>
      </c>
      <c r="J308" s="26">
        <v>198</v>
      </c>
      <c r="K308" s="27">
        <v>0</v>
      </c>
      <c r="L308" s="28">
        <v>1</v>
      </c>
      <c r="M308" s="26" t="s">
        <v>95</v>
      </c>
      <c r="N308" s="33" t="s">
        <v>651</v>
      </c>
      <c r="O308" s="36" t="s">
        <v>9</v>
      </c>
      <c r="P308" s="1" t="s">
        <v>1</v>
      </c>
      <c r="Q308" s="1" t="s">
        <v>149</v>
      </c>
      <c r="R308" s="3"/>
      <c r="S308" s="26" t="s">
        <v>1</v>
      </c>
      <c r="T308" s="29" t="s">
        <v>82</v>
      </c>
      <c r="U308" s="3"/>
    </row>
    <row r="309" spans="1:21" ht="43.15">
      <c r="A309" s="24">
        <v>10308</v>
      </c>
      <c r="B309" s="74" t="s">
        <v>652</v>
      </c>
      <c r="C309" s="25">
        <v>45903</v>
      </c>
      <c r="D309" s="14" t="s">
        <v>344</v>
      </c>
      <c r="E309" s="26">
        <v>9</v>
      </c>
      <c r="F309" s="26">
        <v>18</v>
      </c>
      <c r="G309" s="26">
        <v>0</v>
      </c>
      <c r="H309" s="26">
        <v>180</v>
      </c>
      <c r="I309" s="26">
        <v>207</v>
      </c>
      <c r="J309" s="26">
        <v>180</v>
      </c>
      <c r="K309" s="27">
        <v>0</v>
      </c>
      <c r="L309" s="28">
        <v>1</v>
      </c>
      <c r="M309" s="26" t="s">
        <v>95</v>
      </c>
      <c r="N309" s="33" t="s">
        <v>653</v>
      </c>
      <c r="O309" s="36" t="s">
        <v>654</v>
      </c>
      <c r="P309" s="1" t="s">
        <v>1</v>
      </c>
      <c r="Q309" s="1" t="s">
        <v>149</v>
      </c>
      <c r="R309" s="3"/>
      <c r="S309" s="26" t="s">
        <v>1</v>
      </c>
      <c r="T309" s="29" t="s">
        <v>82</v>
      </c>
      <c r="U309" s="3"/>
    </row>
    <row r="310" spans="1:21">
      <c r="A310" s="24">
        <v>10309</v>
      </c>
      <c r="B310" s="74" t="s">
        <v>655</v>
      </c>
      <c r="C310" s="25">
        <v>45924</v>
      </c>
      <c r="D310" s="14" t="s">
        <v>656</v>
      </c>
      <c r="E310" s="26">
        <v>0</v>
      </c>
      <c r="F310" s="26">
        <v>9</v>
      </c>
      <c r="G310" s="26">
        <v>198</v>
      </c>
      <c r="H310" s="26">
        <v>0</v>
      </c>
      <c r="I310" s="26">
        <v>207</v>
      </c>
      <c r="J310" s="26">
        <v>198</v>
      </c>
      <c r="K310" s="27">
        <v>1</v>
      </c>
      <c r="L310" s="28">
        <v>0</v>
      </c>
      <c r="M310" s="26" t="s">
        <v>79</v>
      </c>
      <c r="N310" s="3" t="s">
        <v>656</v>
      </c>
      <c r="O310" s="36" t="s">
        <v>19</v>
      </c>
      <c r="P310" s="1" t="s">
        <v>80</v>
      </c>
      <c r="Q310" s="1" t="s">
        <v>656</v>
      </c>
      <c r="R310" s="3"/>
      <c r="S310" s="26" t="s">
        <v>1</v>
      </c>
      <c r="T310" s="29" t="s">
        <v>82</v>
      </c>
      <c r="U310" s="3"/>
    </row>
    <row r="311" spans="1:21">
      <c r="A311" s="30">
        <v>10310</v>
      </c>
      <c r="B311" s="74" t="s">
        <v>657</v>
      </c>
      <c r="C311" s="25">
        <v>45929</v>
      </c>
      <c r="D311" s="14" t="s">
        <v>121</v>
      </c>
      <c r="E311" s="26">
        <v>18</v>
      </c>
      <c r="F311" s="26">
        <v>9</v>
      </c>
      <c r="G311" s="26">
        <v>0</v>
      </c>
      <c r="H311" s="26">
        <v>27</v>
      </c>
      <c r="I311" s="26">
        <v>54</v>
      </c>
      <c r="J311" s="26">
        <v>27</v>
      </c>
      <c r="K311" s="27">
        <v>0</v>
      </c>
      <c r="L311" s="28">
        <v>1</v>
      </c>
      <c r="M311" s="26" t="s">
        <v>95</v>
      </c>
      <c r="N311" s="62" t="s">
        <v>122</v>
      </c>
      <c r="O311" s="36" t="s">
        <v>10</v>
      </c>
      <c r="P311" s="1" t="s">
        <v>1</v>
      </c>
      <c r="Q311" s="1" t="s">
        <v>10</v>
      </c>
      <c r="R311" s="3"/>
      <c r="S311" s="26" t="s">
        <v>1</v>
      </c>
      <c r="T311" s="29" t="s">
        <v>82</v>
      </c>
      <c r="U311" s="3"/>
    </row>
    <row r="312" spans="1:21" ht="43.15">
      <c r="A312" s="24">
        <v>10311</v>
      </c>
      <c r="B312" s="74" t="s">
        <v>658</v>
      </c>
      <c r="C312" s="25">
        <v>45936</v>
      </c>
      <c r="D312" s="14" t="s">
        <v>659</v>
      </c>
      <c r="E312" s="26">
        <v>0</v>
      </c>
      <c r="F312" s="26">
        <v>9</v>
      </c>
      <c r="G312" s="26">
        <v>171</v>
      </c>
      <c r="H312" s="26">
        <v>27</v>
      </c>
      <c r="I312" s="26">
        <v>207</v>
      </c>
      <c r="J312" s="26">
        <v>198</v>
      </c>
      <c r="K312" s="27">
        <v>0.86363636363636365</v>
      </c>
      <c r="L312" s="28">
        <v>0.13636363636363635</v>
      </c>
      <c r="M312" s="26" t="s">
        <v>79</v>
      </c>
      <c r="N312" s="3" t="s">
        <v>472</v>
      </c>
      <c r="O312" s="36" t="s">
        <v>19</v>
      </c>
      <c r="P312" s="1" t="s">
        <v>80</v>
      </c>
      <c r="Q312" s="1" t="s">
        <v>473</v>
      </c>
      <c r="R312" s="3"/>
      <c r="S312" s="26" t="s">
        <v>1</v>
      </c>
      <c r="T312" s="29" t="s">
        <v>82</v>
      </c>
      <c r="U312" s="3"/>
    </row>
    <row r="313" spans="1:21" ht="28.9">
      <c r="A313" s="24">
        <v>10312</v>
      </c>
      <c r="B313" s="74" t="s">
        <v>660</v>
      </c>
      <c r="C313" s="25">
        <v>45943</v>
      </c>
      <c r="D313" s="14" t="s">
        <v>121</v>
      </c>
      <c r="E313" s="26">
        <v>0</v>
      </c>
      <c r="F313" s="26">
        <v>9</v>
      </c>
      <c r="G313" s="26">
        <v>0</v>
      </c>
      <c r="H313" s="26">
        <v>198</v>
      </c>
      <c r="I313" s="26">
        <v>207</v>
      </c>
      <c r="J313" s="26">
        <v>198</v>
      </c>
      <c r="K313" s="27">
        <v>0</v>
      </c>
      <c r="L313" s="28">
        <v>1</v>
      </c>
      <c r="M313" s="26" t="s">
        <v>95</v>
      </c>
      <c r="N313" s="33" t="s">
        <v>661</v>
      </c>
      <c r="O313" s="36" t="s">
        <v>16</v>
      </c>
      <c r="P313" s="1" t="s">
        <v>1</v>
      </c>
      <c r="Q313" s="1" t="s">
        <v>10</v>
      </c>
      <c r="R313" s="3"/>
      <c r="S313" s="26" t="s">
        <v>1</v>
      </c>
      <c r="T313" s="29" t="s">
        <v>82</v>
      </c>
      <c r="U313" s="3"/>
    </row>
    <row r="314" spans="1:21" ht="43.15">
      <c r="A314" s="30">
        <v>10313</v>
      </c>
      <c r="B314" s="74" t="s">
        <v>662</v>
      </c>
      <c r="C314" s="25">
        <v>45943</v>
      </c>
      <c r="D314" s="14" t="s">
        <v>663</v>
      </c>
      <c r="E314" s="26">
        <v>0</v>
      </c>
      <c r="F314" s="26">
        <v>9</v>
      </c>
      <c r="G314" s="26">
        <v>0</v>
      </c>
      <c r="H314" s="26">
        <v>198</v>
      </c>
      <c r="I314" s="26">
        <v>207</v>
      </c>
      <c r="J314" s="26">
        <v>198</v>
      </c>
      <c r="K314" s="27">
        <v>0</v>
      </c>
      <c r="L314" s="28">
        <v>1</v>
      </c>
      <c r="M314" s="26" t="s">
        <v>95</v>
      </c>
      <c r="N314" s="62" t="s">
        <v>664</v>
      </c>
      <c r="O314" s="36" t="s">
        <v>654</v>
      </c>
      <c r="P314" s="1" t="s">
        <v>1</v>
      </c>
      <c r="Q314" s="1" t="s">
        <v>10</v>
      </c>
      <c r="R314" s="3"/>
      <c r="S314" s="26" t="s">
        <v>1</v>
      </c>
      <c r="T314" s="29" t="s">
        <v>82</v>
      </c>
      <c r="U314" s="3"/>
    </row>
    <row r="315" spans="1:21" ht="28.9">
      <c r="A315" s="24">
        <v>10314</v>
      </c>
      <c r="B315" s="74" t="s">
        <v>665</v>
      </c>
      <c r="C315" s="25">
        <v>45952</v>
      </c>
      <c r="D315" s="14" t="s">
        <v>121</v>
      </c>
      <c r="E315" s="26">
        <v>18</v>
      </c>
      <c r="F315" s="26">
        <v>9</v>
      </c>
      <c r="G315" s="26">
        <v>0</v>
      </c>
      <c r="H315" s="26">
        <v>180</v>
      </c>
      <c r="I315" s="26">
        <v>207</v>
      </c>
      <c r="J315" s="26">
        <v>180</v>
      </c>
      <c r="K315" s="27">
        <v>0</v>
      </c>
      <c r="L315" s="28">
        <v>1</v>
      </c>
      <c r="M315" s="26" t="s">
        <v>95</v>
      </c>
      <c r="N315" s="33" t="s">
        <v>666</v>
      </c>
      <c r="O315" s="36" t="s">
        <v>9</v>
      </c>
      <c r="P315" s="1" t="s">
        <v>1</v>
      </c>
      <c r="Q315" s="1" t="s">
        <v>10</v>
      </c>
      <c r="R315" s="3"/>
      <c r="S315" s="26" t="s">
        <v>1</v>
      </c>
      <c r="T315" s="29" t="s">
        <v>82</v>
      </c>
      <c r="U315" s="3"/>
    </row>
    <row r="316" spans="1:21">
      <c r="A316" s="24">
        <v>10315</v>
      </c>
      <c r="B316" s="74" t="s">
        <v>667</v>
      </c>
      <c r="C316" s="25">
        <v>45957</v>
      </c>
      <c r="D316" s="14" t="s">
        <v>99</v>
      </c>
      <c r="E316" s="26">
        <v>36</v>
      </c>
      <c r="F316" s="26">
        <v>9</v>
      </c>
      <c r="G316" s="26">
        <v>162</v>
      </c>
      <c r="H316" s="26">
        <v>0</v>
      </c>
      <c r="I316" s="26">
        <v>207</v>
      </c>
      <c r="J316" s="26">
        <v>162</v>
      </c>
      <c r="K316" s="27">
        <v>1</v>
      </c>
      <c r="L316" s="28">
        <v>0</v>
      </c>
      <c r="M316" s="26" t="s">
        <v>79</v>
      </c>
      <c r="N316" s="3" t="s">
        <v>99</v>
      </c>
      <c r="O316" s="36" t="s">
        <v>19</v>
      </c>
      <c r="P316" s="1" t="s">
        <v>80</v>
      </c>
      <c r="Q316" s="1" t="s">
        <v>100</v>
      </c>
      <c r="R316" s="3"/>
      <c r="S316" s="26" t="s">
        <v>1</v>
      </c>
      <c r="T316" s="29" t="s">
        <v>82</v>
      </c>
      <c r="U316" s="3"/>
    </row>
    <row r="317" spans="1:21" ht="28.9">
      <c r="A317" s="30">
        <v>10316</v>
      </c>
      <c r="B317" s="74" t="s">
        <v>668</v>
      </c>
      <c r="C317" s="25">
        <v>45958</v>
      </c>
      <c r="D317" s="14" t="s">
        <v>138</v>
      </c>
      <c r="E317" s="26">
        <v>9</v>
      </c>
      <c r="F317" s="26">
        <v>9</v>
      </c>
      <c r="G317" s="26">
        <v>0</v>
      </c>
      <c r="H317" s="26">
        <v>189</v>
      </c>
      <c r="I317" s="26">
        <v>207</v>
      </c>
      <c r="J317" s="26">
        <v>189</v>
      </c>
      <c r="K317" s="27">
        <v>0</v>
      </c>
      <c r="L317" s="28">
        <v>1</v>
      </c>
      <c r="M317" s="26" t="s">
        <v>95</v>
      </c>
      <c r="N317" s="37" t="s">
        <v>669</v>
      </c>
      <c r="O317" s="1" t="s">
        <v>10</v>
      </c>
      <c r="P317" s="1" t="s">
        <v>1</v>
      </c>
      <c r="Q317" s="1" t="s">
        <v>10</v>
      </c>
      <c r="R317" s="3"/>
      <c r="S317" s="26" t="s">
        <v>80</v>
      </c>
      <c r="T317" s="29" t="s">
        <v>82</v>
      </c>
      <c r="U317" s="3"/>
    </row>
    <row r="318" spans="1:21">
      <c r="A318" s="24">
        <v>10317</v>
      </c>
      <c r="B318" s="74" t="s">
        <v>670</v>
      </c>
      <c r="C318" s="25">
        <v>45965</v>
      </c>
      <c r="D318" s="14" t="s">
        <v>121</v>
      </c>
      <c r="E318" s="26">
        <v>0</v>
      </c>
      <c r="F318" s="26">
        <v>9</v>
      </c>
      <c r="G318" s="26">
        <v>0</v>
      </c>
      <c r="H318" s="26">
        <v>198</v>
      </c>
      <c r="I318" s="26">
        <v>207</v>
      </c>
      <c r="J318" s="26">
        <v>198</v>
      </c>
      <c r="K318" s="27">
        <v>0</v>
      </c>
      <c r="L318" s="28">
        <v>1</v>
      </c>
      <c r="M318" s="26" t="s">
        <v>95</v>
      </c>
      <c r="N318" s="33" t="s">
        <v>671</v>
      </c>
      <c r="O318" s="36" t="s">
        <v>636</v>
      </c>
      <c r="P318" s="1" t="s">
        <v>1</v>
      </c>
      <c r="Q318" s="1" t="s">
        <v>10</v>
      </c>
      <c r="R318" s="3"/>
      <c r="S318" s="26" t="s">
        <v>1</v>
      </c>
      <c r="T318" s="29" t="s">
        <v>82</v>
      </c>
      <c r="U318" s="3"/>
    </row>
    <row r="319" spans="1:21" ht="28.9">
      <c r="A319" s="24">
        <v>10318</v>
      </c>
      <c r="B319" s="74" t="s">
        <v>672</v>
      </c>
      <c r="C319" s="25">
        <v>45965</v>
      </c>
      <c r="D319" s="14" t="s">
        <v>121</v>
      </c>
      <c r="E319" s="26">
        <v>9</v>
      </c>
      <c r="F319" s="26">
        <v>9</v>
      </c>
      <c r="G319" s="26">
        <v>0</v>
      </c>
      <c r="H319" s="26">
        <v>189</v>
      </c>
      <c r="I319" s="26">
        <v>207</v>
      </c>
      <c r="J319" s="26">
        <v>189</v>
      </c>
      <c r="K319" s="27">
        <v>0</v>
      </c>
      <c r="L319" s="28">
        <v>1</v>
      </c>
      <c r="M319" s="26" t="s">
        <v>95</v>
      </c>
      <c r="N319" s="33" t="s">
        <v>673</v>
      </c>
      <c r="O319" s="36" t="s">
        <v>636</v>
      </c>
      <c r="P319" s="1" t="s">
        <v>1</v>
      </c>
      <c r="Q319" s="1" t="s">
        <v>10</v>
      </c>
      <c r="R319" s="3"/>
      <c r="S319" s="26" t="s">
        <v>1</v>
      </c>
      <c r="T319" s="29" t="s">
        <v>82</v>
      </c>
      <c r="U319" s="3"/>
    </row>
    <row r="320" spans="1:21" ht="28.9">
      <c r="A320" s="30">
        <v>10319</v>
      </c>
      <c r="B320" s="74" t="s">
        <v>674</v>
      </c>
      <c r="C320" s="25">
        <v>45966</v>
      </c>
      <c r="D320" s="14" t="s">
        <v>121</v>
      </c>
      <c r="E320" s="26">
        <v>0</v>
      </c>
      <c r="F320" s="26">
        <v>9</v>
      </c>
      <c r="G320" s="26">
        <v>0</v>
      </c>
      <c r="H320" s="26">
        <v>198</v>
      </c>
      <c r="I320" s="26">
        <v>207</v>
      </c>
      <c r="J320" s="26">
        <v>198</v>
      </c>
      <c r="K320" s="27">
        <v>0</v>
      </c>
      <c r="L320" s="28">
        <v>1</v>
      </c>
      <c r="M320" s="26" t="s">
        <v>95</v>
      </c>
      <c r="N320" s="33" t="s">
        <v>675</v>
      </c>
      <c r="O320" s="36" t="s">
        <v>9</v>
      </c>
      <c r="P320" s="1" t="s">
        <v>1</v>
      </c>
      <c r="Q320" s="1" t="s">
        <v>10</v>
      </c>
      <c r="R320" s="3"/>
      <c r="S320" s="26" t="s">
        <v>1</v>
      </c>
      <c r="T320" s="29" t="s">
        <v>82</v>
      </c>
      <c r="U320" s="3"/>
    </row>
    <row r="321" spans="1:21" ht="28.9">
      <c r="A321" s="24">
        <v>10320</v>
      </c>
      <c r="B321" s="74" t="s">
        <v>676</v>
      </c>
      <c r="C321" s="25">
        <v>45966</v>
      </c>
      <c r="D321" s="14" t="s">
        <v>121</v>
      </c>
      <c r="E321" s="26">
        <v>0</v>
      </c>
      <c r="F321" s="26">
        <v>9</v>
      </c>
      <c r="G321" s="26">
        <v>0</v>
      </c>
      <c r="H321" s="26">
        <v>198</v>
      </c>
      <c r="I321" s="26">
        <v>207</v>
      </c>
      <c r="J321" s="26">
        <v>198</v>
      </c>
      <c r="K321" s="27">
        <v>0</v>
      </c>
      <c r="L321" s="28">
        <v>1</v>
      </c>
      <c r="M321" s="26" t="s">
        <v>95</v>
      </c>
      <c r="N321" s="33" t="s">
        <v>677</v>
      </c>
      <c r="O321" s="36" t="s">
        <v>636</v>
      </c>
      <c r="P321" s="1" t="s">
        <v>1</v>
      </c>
      <c r="Q321" s="1" t="s">
        <v>10</v>
      </c>
      <c r="R321" s="3"/>
      <c r="S321" s="26" t="s">
        <v>1</v>
      </c>
      <c r="T321" s="29" t="s">
        <v>82</v>
      </c>
      <c r="U321" s="3"/>
    </row>
    <row r="322" spans="1:21" ht="28.9">
      <c r="A322" s="24">
        <v>10321</v>
      </c>
      <c r="B322" s="74" t="s">
        <v>678</v>
      </c>
      <c r="C322" s="25">
        <v>45967</v>
      </c>
      <c r="D322" s="14" t="s">
        <v>121</v>
      </c>
      <c r="E322" s="26">
        <v>18</v>
      </c>
      <c r="F322" s="26">
        <v>9</v>
      </c>
      <c r="G322" s="26">
        <v>0</v>
      </c>
      <c r="H322" s="26">
        <v>180</v>
      </c>
      <c r="I322" s="26">
        <v>207</v>
      </c>
      <c r="J322" s="26">
        <v>180</v>
      </c>
      <c r="K322" s="27">
        <v>0</v>
      </c>
      <c r="L322" s="28">
        <v>1</v>
      </c>
      <c r="M322" s="26" t="s">
        <v>95</v>
      </c>
      <c r="N322" s="33" t="s">
        <v>679</v>
      </c>
      <c r="O322" s="36" t="s">
        <v>636</v>
      </c>
      <c r="P322" s="1" t="s">
        <v>1</v>
      </c>
      <c r="Q322" s="1" t="s">
        <v>10</v>
      </c>
      <c r="R322" s="3"/>
      <c r="S322" s="26" t="s">
        <v>1</v>
      </c>
      <c r="T322" s="29" t="s">
        <v>82</v>
      </c>
      <c r="U322" s="3"/>
    </row>
  </sheetData>
  <autoFilter ref="A1:U1" xr:uid="{89F2A34F-0EB9-47A5-B059-F6675081E778}"/>
  <conditionalFormatting sqref="C32 A132:D322 E2:H322 I3:M322 N278:S632 O64:O322 T3:U632">
    <cfRule type="expression" dxfId="262" priority="108">
      <formula>$S2="Yes"</formula>
    </cfRule>
  </conditionalFormatting>
  <conditionalFormatting sqref="C64">
    <cfRule type="expression" dxfId="261" priority="107">
      <formula>$S64="Yes"</formula>
    </cfRule>
  </conditionalFormatting>
  <conditionalFormatting sqref="C131">
    <cfRule type="expression" dxfId="260" priority="109">
      <formula>$S131="Yes"</formula>
    </cfRule>
  </conditionalFormatting>
  <conditionalFormatting sqref="C2 C323:C632">
    <cfRule type="expression" dxfId="259" priority="113">
      <formula>$S2="Yes"</formula>
    </cfRule>
  </conditionalFormatting>
  <conditionalFormatting sqref="C3:C31 C33:C63 C65:C130">
    <cfRule type="expression" dxfId="258" priority="112">
      <formula>$S3="Yes"</formula>
    </cfRule>
  </conditionalFormatting>
  <conditionalFormatting sqref="A1:A1048576">
    <cfRule type="duplicateValues" dxfId="257" priority="100"/>
  </conditionalFormatting>
  <conditionalFormatting sqref="A32">
    <cfRule type="expression" dxfId="256" priority="93">
      <formula>$S32="Yes"</formula>
    </cfRule>
  </conditionalFormatting>
  <conditionalFormatting sqref="A64">
    <cfRule type="expression" dxfId="255" priority="92">
      <formula>$S64="Yes"</formula>
    </cfRule>
  </conditionalFormatting>
  <conditionalFormatting sqref="A131">
    <cfRule type="expression" dxfId="254" priority="94">
      <formula>$S131="Yes"</formula>
    </cfRule>
  </conditionalFormatting>
  <conditionalFormatting sqref="A2 A323:A632 A5 A8 A11 A14 A17 A20 A23 A26 A29 A32 A35 A38 A41 A44 A47 A50 A53 A56 A59 A62 A65 A68 A71 A74 A77 A80 A83 A86 A89 A92 A95 A98 A101 A104 A107 A110 A113 A116 A119 A122 A125 A128 A131 A134 A137 A140 A143 A146 A149 A152 A155 A158 A161 A164 A167 A170 A173 A176 A179 A182 A185 A188 A191 A194 A197 A200 A203 A206 A209 A212 A215 A218 A221 A224 A227 A230 A233 A236 A239 A242 A245 A248 A251 A254 A257 A260 A263 A266 A269 A272 A275 A278 A281 A284 A287 A290 A293 A296 A299 A302 A305 A308 A311 A314 A317 A320">
    <cfRule type="expression" dxfId="253" priority="102">
      <formula>$S2="Yes"</formula>
    </cfRule>
  </conditionalFormatting>
  <conditionalFormatting sqref="A3:A31 A33:A130">
    <cfRule type="expression" dxfId="252" priority="98">
      <formula>$S3="Yes"</formula>
    </cfRule>
  </conditionalFormatting>
  <conditionalFormatting sqref="B32">
    <cfRule type="expression" dxfId="251" priority="79">
      <formula>$S32="Yes"</formula>
    </cfRule>
  </conditionalFormatting>
  <conditionalFormatting sqref="B64">
    <cfRule type="expression" dxfId="250" priority="78">
      <formula>$S64="Yes"</formula>
    </cfRule>
  </conditionalFormatting>
  <conditionalFormatting sqref="B131">
    <cfRule type="expression" dxfId="249" priority="80">
      <formula>$S131="Yes"</formula>
    </cfRule>
  </conditionalFormatting>
  <conditionalFormatting sqref="B2 B323:B632">
    <cfRule type="expression" dxfId="248" priority="89">
      <formula>$S2="Yes"</formula>
    </cfRule>
  </conditionalFormatting>
  <conditionalFormatting sqref="B3:B31 B33:B63 B65:B130">
    <cfRule type="expression" dxfId="247" priority="84">
      <formula>$S3="Yes"</formula>
    </cfRule>
  </conditionalFormatting>
  <conditionalFormatting sqref="D32">
    <cfRule type="expression" dxfId="246" priority="72">
      <formula>$S32="Yes"</formula>
    </cfRule>
  </conditionalFormatting>
  <conditionalFormatting sqref="D64">
    <cfRule type="expression" dxfId="245" priority="71">
      <formula>$S64="Yes"</formula>
    </cfRule>
  </conditionalFormatting>
  <conditionalFormatting sqref="D131">
    <cfRule type="expression" dxfId="244" priority="73">
      <formula>$S131="Yes"</formula>
    </cfRule>
  </conditionalFormatting>
  <conditionalFormatting sqref="D2 D323:D632">
    <cfRule type="expression" dxfId="243" priority="77">
      <formula>$S2="Yes"</formula>
    </cfRule>
  </conditionalFormatting>
  <conditionalFormatting sqref="D3:D31 D33:D63 D65:D130">
    <cfRule type="expression" dxfId="242" priority="76">
      <formula>$S3="Yes"</formula>
    </cfRule>
  </conditionalFormatting>
  <conditionalFormatting sqref="E2 E323:E632">
    <cfRule type="expression" dxfId="241" priority="70">
      <formula>$S2="Yes"</formula>
    </cfRule>
  </conditionalFormatting>
  <conditionalFormatting sqref="F2:H2 F323:H632">
    <cfRule type="expression" dxfId="240" priority="66">
      <formula>$S2="Yes"</formula>
    </cfRule>
  </conditionalFormatting>
  <conditionalFormatting sqref="I2:M2 I323:M632">
    <cfRule type="expression" dxfId="239" priority="62">
      <formula>$S2="Yes"</formula>
    </cfRule>
  </conditionalFormatting>
  <conditionalFormatting sqref="M2:M322">
    <cfRule type="containsText" dxfId="238" priority="59" operator="containsText" text="Good">
      <formula>NOT(ISERROR(SEARCH("Good",M2)))</formula>
    </cfRule>
    <cfRule type="containsText" dxfId="237" priority="60" operator="containsText" text="Moderate">
      <formula>NOT(ISERROR(SEARCH("Moderate",M2)))</formula>
    </cfRule>
    <cfRule type="containsText" dxfId="236" priority="61" operator="containsText" text="Critical">
      <formula>NOT(ISERROR(SEARCH("Critical",M2)))</formula>
    </cfRule>
  </conditionalFormatting>
  <conditionalFormatting sqref="N2:S31 N33:S63 N65:S246 N247:P247 N248:S276 R247:S247">
    <cfRule type="expression" dxfId="235" priority="55">
      <formula>$S2="Yes"</formula>
    </cfRule>
  </conditionalFormatting>
  <conditionalFormatting sqref="N32">
    <cfRule type="expression" dxfId="234" priority="10">
      <formula>$S32="Yes"</formula>
    </cfRule>
  </conditionalFormatting>
  <conditionalFormatting sqref="N64">
    <cfRule type="expression" dxfId="233" priority="9">
      <formula>$S64="Yes"</formula>
    </cfRule>
  </conditionalFormatting>
  <conditionalFormatting sqref="N277:S277">
    <cfRule type="expression" dxfId="232" priority="24">
      <formula>$S277="Yes"</formula>
    </cfRule>
  </conditionalFormatting>
  <conditionalFormatting sqref="O2:O31 O33:O63 O65:O322">
    <cfRule type="expression" dxfId="231" priority="53">
      <formula>$U2="Yes"</formula>
    </cfRule>
  </conditionalFormatting>
  <conditionalFormatting sqref="O2:O32">
    <cfRule type="expression" dxfId="230" priority="8">
      <formula>$S2="Yes"</formula>
    </cfRule>
  </conditionalFormatting>
  <conditionalFormatting sqref="P32:S32">
    <cfRule type="expression" dxfId="229" priority="6">
      <formula>$S32="Yes"</formula>
    </cfRule>
  </conditionalFormatting>
  <conditionalFormatting sqref="P64:S64">
    <cfRule type="expression" dxfId="228" priority="5">
      <formula>$S64="Yes"</formula>
    </cfRule>
  </conditionalFormatting>
  <conditionalFormatting sqref="Q16">
    <cfRule type="expression" dxfId="227" priority="44">
      <formula>$U16="Yes"</formula>
    </cfRule>
    <cfRule type="expression" dxfId="226" priority="46">
      <formula>$S16="Yes"</formula>
    </cfRule>
  </conditionalFormatting>
  <conditionalFormatting sqref="Q70">
    <cfRule type="expression" dxfId="225" priority="17">
      <formula>$U70="Yes"</formula>
    </cfRule>
    <cfRule type="expression" dxfId="224" priority="19">
      <formula>$S70="Yes"</formula>
    </cfRule>
  </conditionalFormatting>
  <conditionalFormatting sqref="Q77">
    <cfRule type="expression" dxfId="223" priority="47">
      <formula>$U77="Yes"</formula>
    </cfRule>
    <cfRule type="expression" dxfId="222" priority="49">
      <formula>$S77="Yes"</formula>
    </cfRule>
  </conditionalFormatting>
  <conditionalFormatting sqref="Q103">
    <cfRule type="expression" dxfId="221" priority="41">
      <formula>$U103="Yes"</formula>
    </cfRule>
    <cfRule type="expression" dxfId="220" priority="43">
      <formula>$S103="Yes"</formula>
    </cfRule>
  </conditionalFormatting>
  <conditionalFormatting sqref="Q152">
    <cfRule type="expression" dxfId="219" priority="50">
      <formula>$U152="Yes"</formula>
    </cfRule>
    <cfRule type="expression" dxfId="218" priority="52">
      <formula>$S152="Yes"</formula>
    </cfRule>
  </conditionalFormatting>
  <conditionalFormatting sqref="Q214:Q215">
    <cfRule type="expression" dxfId="217" priority="38">
      <formula>$U214="Yes"</formula>
    </cfRule>
    <cfRule type="expression" dxfId="216" priority="40">
      <formula>$S214="Yes"</formula>
    </cfRule>
  </conditionalFormatting>
  <conditionalFormatting sqref="Q243">
    <cfRule type="expression" dxfId="215" priority="27">
      <formula>$U243="Yes"</formula>
    </cfRule>
  </conditionalFormatting>
  <conditionalFormatting sqref="Q258">
    <cfRule type="expression" dxfId="214" priority="15">
      <formula>$U258="Yes"</formula>
    </cfRule>
  </conditionalFormatting>
  <conditionalFormatting sqref="Q265">
    <cfRule type="expression" dxfId="213" priority="13">
      <formula>$U265="Yes"</formula>
    </cfRule>
  </conditionalFormatting>
  <conditionalFormatting sqref="Q274">
    <cfRule type="expression" dxfId="212" priority="25">
      <formula>$U274="Yes"</formula>
    </cfRule>
  </conditionalFormatting>
  <conditionalFormatting sqref="Q277">
    <cfRule type="expression" dxfId="211" priority="22">
      <formula>$U277="Yes"</formula>
    </cfRule>
  </conditionalFormatting>
  <conditionalFormatting sqref="Q306">
    <cfRule type="expression" dxfId="210" priority="11">
      <formula>$U306="Yes"</formula>
    </cfRule>
  </conditionalFormatting>
  <conditionalFormatting sqref="T2">
    <cfRule type="expression" dxfId="209" priority="4">
      <formula>$S2="Yes"</formula>
    </cfRule>
  </conditionalFormatting>
  <conditionalFormatting sqref="U2">
    <cfRule type="expression" dxfId="208" priority="2">
      <formula>$S2="Yes"</formula>
    </cfRule>
  </conditionalFormatting>
  <conditionalFormatting sqref="A2 A5 A8 A11 A14 A17 A20 A23 A26 A29 A32 A35 A38 A41 A44 A47 A50 A53 A56 A59 A62 A65 A68 A71 A74 A77 A80 A83 A86 A89 A92 A95 A98 A101 A104 A107 A110 A113 A116 A119 A122 A125 A128 A131 A134 A137 A140 A143 A146 A149 A152 A155 A158 A161 A164 A167 A170 A173 A176 A179 A182 A185 A188 A191 A194 A197 A200 A203 A206 A209 A212 A215 A218 A221 A224 A227 A230 A233 A236 A239 A242 A245 A248 A251 A254 A257 A260 A263 A266 A269 A272 A275 A278 A281 A284 A287 A290 A293 A296 A299 A302 A305 A308 A311 A314 A317 A320">
    <cfRule type="duplicateValues" dxfId="207" priority="878"/>
  </conditionalFormatting>
  <conditionalFormatting sqref="A2:A322">
    <cfRule type="duplicateValues" dxfId="206" priority="985"/>
  </conditionalFormatting>
  <conditionalFormatting sqref="A3:A322">
    <cfRule type="duplicateValues" dxfId="205" priority="986"/>
  </conditionalFormatting>
  <conditionalFormatting sqref="B284:B322">
    <cfRule type="duplicateValues" dxfId="204" priority="988"/>
  </conditionalFormatting>
  <conditionalFormatting sqref="O2:O31 O33:O63 O65:O322">
    <cfRule type="expression" dxfId="203" priority="54">
      <formula>#REF!="Yes"</formula>
    </cfRule>
  </conditionalFormatting>
  <conditionalFormatting sqref="Q16">
    <cfRule type="expression" dxfId="202" priority="45">
      <formula>#REF!="Yes"</formula>
    </cfRule>
  </conditionalFormatting>
  <conditionalFormatting sqref="Q70">
    <cfRule type="expression" dxfId="201" priority="18">
      <formula>#REF!="Yes"</formula>
    </cfRule>
  </conditionalFormatting>
  <conditionalFormatting sqref="Q77">
    <cfRule type="expression" dxfId="200" priority="48">
      <formula>#REF!="Yes"</formula>
    </cfRule>
  </conditionalFormatting>
  <conditionalFormatting sqref="Q103">
    <cfRule type="expression" dxfId="199" priority="42">
      <formula>#REF!="Yes"</formula>
    </cfRule>
  </conditionalFormatting>
  <conditionalFormatting sqref="Q152">
    <cfRule type="expression" dxfId="198" priority="51">
      <formula>#REF!="Yes"</formula>
    </cfRule>
  </conditionalFormatting>
  <conditionalFormatting sqref="Q214:Q215">
    <cfRule type="expression" dxfId="197" priority="39">
      <formula>#REF!="Yes"</formula>
    </cfRule>
  </conditionalFormatting>
  <conditionalFormatting sqref="Q243">
    <cfRule type="expression" dxfId="196" priority="28">
      <formula>#REF!="Yes"</formula>
    </cfRule>
  </conditionalFormatting>
  <conditionalFormatting sqref="Q258">
    <cfRule type="expression" dxfId="195" priority="16">
      <formula>#REF!="Yes"</formula>
    </cfRule>
  </conditionalFormatting>
  <conditionalFormatting sqref="Q265">
    <cfRule type="expression" dxfId="194" priority="14">
      <formula>#REF!="Yes"</formula>
    </cfRule>
  </conditionalFormatting>
  <conditionalFormatting sqref="Q274">
    <cfRule type="expression" dxfId="193" priority="26">
      <formula>#REF!="Yes"</formula>
    </cfRule>
  </conditionalFormatting>
  <conditionalFormatting sqref="Q277">
    <cfRule type="expression" dxfId="192" priority="23">
      <formula>#REF!="Yes"</formula>
    </cfRule>
  </conditionalFormatting>
  <conditionalFormatting sqref="Q306">
    <cfRule type="expression" dxfId="191" priority="12">
      <formula>#REF!="Yes"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8925-60DD-4BD5-9CC9-8B485FD9B808}">
  <dimension ref="A1:E33"/>
  <sheetViews>
    <sheetView topLeftCell="B22" zoomScale="150" zoomScaleNormal="150" workbookViewId="0">
      <selection activeCell="E14" sqref="E14"/>
    </sheetView>
  </sheetViews>
  <sheetFormatPr defaultRowHeight="14.45"/>
  <cols>
    <col min="1" max="1" width="17.28515625" customWidth="1"/>
    <col min="2" max="2" width="25" bestFit="1" customWidth="1"/>
    <col min="3" max="3" width="25" customWidth="1"/>
    <col min="4" max="4" width="28" bestFit="1" customWidth="1"/>
    <col min="5" max="5" width="20" bestFit="1" customWidth="1"/>
  </cols>
  <sheetData>
    <row r="1" spans="1:5">
      <c r="A1" s="65" t="s">
        <v>57</v>
      </c>
      <c r="B1" s="65" t="s">
        <v>680</v>
      </c>
      <c r="C1" s="65" t="s">
        <v>681</v>
      </c>
      <c r="D1" s="68" t="s">
        <v>682</v>
      </c>
      <c r="E1" s="72" t="s">
        <v>683</v>
      </c>
    </row>
    <row r="2" spans="1:5">
      <c r="A2" s="24">
        <v>10056</v>
      </c>
      <c r="B2" s="74" t="s">
        <v>214</v>
      </c>
      <c r="C2" s="1" t="s">
        <v>684</v>
      </c>
      <c r="D2" s="3" t="s">
        <v>13</v>
      </c>
      <c r="E2" s="3" t="s">
        <v>682</v>
      </c>
    </row>
    <row r="3" spans="1:5">
      <c r="A3" s="24">
        <v>10284</v>
      </c>
      <c r="B3" s="74" t="s">
        <v>602</v>
      </c>
      <c r="C3" s="1" t="s">
        <v>685</v>
      </c>
      <c r="D3" s="3" t="s">
        <v>13</v>
      </c>
      <c r="E3" s="3" t="s">
        <v>682</v>
      </c>
    </row>
    <row r="4" spans="1:5">
      <c r="A4" s="24">
        <v>10207</v>
      </c>
      <c r="B4" s="74" t="s">
        <v>459</v>
      </c>
      <c r="C4" s="1" t="s">
        <v>686</v>
      </c>
      <c r="D4" s="3" t="s">
        <v>11</v>
      </c>
      <c r="E4" s="3" t="s">
        <v>682</v>
      </c>
    </row>
    <row r="5" spans="1:5">
      <c r="A5" s="24">
        <v>10287</v>
      </c>
      <c r="B5" s="74" t="s">
        <v>610</v>
      </c>
      <c r="C5" s="1" t="s">
        <v>687</v>
      </c>
      <c r="D5" s="3" t="s">
        <v>11</v>
      </c>
      <c r="E5" s="3" t="s">
        <v>682</v>
      </c>
    </row>
    <row r="6" spans="1:5">
      <c r="A6" s="30">
        <v>10289</v>
      </c>
      <c r="B6" s="74" t="s">
        <v>615</v>
      </c>
      <c r="C6" s="1" t="s">
        <v>688</v>
      </c>
      <c r="D6" s="3" t="s">
        <v>13</v>
      </c>
      <c r="E6" s="3" t="s">
        <v>682</v>
      </c>
    </row>
    <row r="7" spans="1:5">
      <c r="A7" s="24">
        <v>10285</v>
      </c>
      <c r="B7" s="74" t="s">
        <v>604</v>
      </c>
      <c r="C7" s="1" t="s">
        <v>689</v>
      </c>
      <c r="D7" s="3" t="s">
        <v>12</v>
      </c>
      <c r="E7" s="3" t="s">
        <v>682</v>
      </c>
    </row>
    <row r="8" spans="1:5">
      <c r="A8" s="30">
        <v>10286</v>
      </c>
      <c r="B8" s="74" t="s">
        <v>606</v>
      </c>
      <c r="C8" s="1" t="s">
        <v>609</v>
      </c>
      <c r="D8" s="3" t="s">
        <v>609</v>
      </c>
      <c r="E8" s="3" t="s">
        <v>609</v>
      </c>
    </row>
    <row r="9" spans="1:5">
      <c r="A9" s="30">
        <v>10133</v>
      </c>
      <c r="B9" s="74" t="s">
        <v>343</v>
      </c>
      <c r="C9" s="13" t="s">
        <v>690</v>
      </c>
      <c r="D9" s="12" t="s">
        <v>14</v>
      </c>
      <c r="E9" s="12" t="s">
        <v>682</v>
      </c>
    </row>
    <row r="10" spans="1:5">
      <c r="A10" s="24">
        <v>10014</v>
      </c>
      <c r="B10" s="74" t="s">
        <v>117</v>
      </c>
      <c r="C10" s="1" t="s">
        <v>691</v>
      </c>
      <c r="D10" s="3" t="s">
        <v>9</v>
      </c>
      <c r="E10" s="3" t="s">
        <v>692</v>
      </c>
    </row>
    <row r="11" spans="1:5">
      <c r="A11" s="24">
        <v>10026</v>
      </c>
      <c r="B11" s="74" t="s">
        <v>146</v>
      </c>
      <c r="C11" s="1" t="s">
        <v>693</v>
      </c>
      <c r="D11" s="3" t="s">
        <v>9</v>
      </c>
      <c r="E11" s="3" t="s">
        <v>692</v>
      </c>
    </row>
    <row r="12" spans="1:5">
      <c r="A12" s="24">
        <v>10038</v>
      </c>
      <c r="B12" s="74" t="s">
        <v>178</v>
      </c>
      <c r="C12" s="1" t="s">
        <v>694</v>
      </c>
      <c r="D12" s="3" t="s">
        <v>9</v>
      </c>
      <c r="E12" s="3" t="s">
        <v>692</v>
      </c>
    </row>
    <row r="13" spans="1:5">
      <c r="A13" s="24">
        <v>10161</v>
      </c>
      <c r="B13" s="74" t="s">
        <v>389</v>
      </c>
      <c r="C13" s="1" t="s">
        <v>695</v>
      </c>
      <c r="D13" s="3" t="s">
        <v>9</v>
      </c>
      <c r="E13" s="3" t="s">
        <v>692</v>
      </c>
    </row>
    <row r="14" spans="1:5">
      <c r="A14" s="24">
        <v>10308</v>
      </c>
      <c r="B14" s="74" t="s">
        <v>652</v>
      </c>
      <c r="C14" s="3"/>
      <c r="D14" s="3" t="s">
        <v>654</v>
      </c>
      <c r="E14" s="3" t="s">
        <v>692</v>
      </c>
    </row>
    <row r="15" spans="1:5">
      <c r="A15" s="30">
        <v>10295</v>
      </c>
      <c r="B15" s="74" t="s">
        <v>624</v>
      </c>
      <c r="C15" s="66"/>
      <c r="D15" s="66" t="s">
        <v>16</v>
      </c>
      <c r="E15" s="66" t="s">
        <v>16</v>
      </c>
    </row>
    <row r="16" spans="1:5">
      <c r="A16" s="24">
        <v>10300</v>
      </c>
      <c r="B16" s="74" t="s">
        <v>634</v>
      </c>
      <c r="C16" s="12"/>
      <c r="D16" s="12" t="s">
        <v>636</v>
      </c>
      <c r="E16" s="12" t="s">
        <v>16</v>
      </c>
    </row>
    <row r="17" spans="1:5">
      <c r="A17" s="24">
        <v>10255</v>
      </c>
      <c r="B17" s="74" t="s">
        <v>553</v>
      </c>
      <c r="C17" s="3"/>
      <c r="D17" s="3" t="s">
        <v>9</v>
      </c>
      <c r="E17" s="3" t="s">
        <v>692</v>
      </c>
    </row>
    <row r="18" spans="1:5">
      <c r="A18" s="24">
        <v>10263</v>
      </c>
      <c r="B18" s="74" t="s">
        <v>566</v>
      </c>
      <c r="C18" s="3"/>
      <c r="D18" s="3" t="s">
        <v>9</v>
      </c>
      <c r="E18" s="3" t="s">
        <v>692</v>
      </c>
    </row>
    <row r="19" spans="1:5">
      <c r="A19" s="30">
        <v>10313</v>
      </c>
      <c r="B19" s="74" t="s">
        <v>662</v>
      </c>
      <c r="C19" s="3"/>
      <c r="D19" s="3" t="s">
        <v>654</v>
      </c>
      <c r="E19" s="3" t="s">
        <v>692</v>
      </c>
    </row>
    <row r="20" spans="1:5">
      <c r="A20" s="24">
        <v>10312</v>
      </c>
      <c r="B20" s="74" t="s">
        <v>660</v>
      </c>
      <c r="C20" s="67"/>
      <c r="D20" s="67" t="s">
        <v>16</v>
      </c>
      <c r="E20" s="67" t="s">
        <v>16</v>
      </c>
    </row>
    <row r="21" spans="1:5">
      <c r="A21" s="24">
        <v>10278</v>
      </c>
      <c r="B21" s="74" t="s">
        <v>591</v>
      </c>
      <c r="C21" s="3"/>
      <c r="D21" s="3" t="s">
        <v>9</v>
      </c>
      <c r="E21" s="3" t="s">
        <v>692</v>
      </c>
    </row>
    <row r="22" spans="1:5">
      <c r="A22" s="24">
        <v>10303</v>
      </c>
      <c r="B22" s="74" t="s">
        <v>642</v>
      </c>
      <c r="C22" s="3"/>
      <c r="D22" s="3" t="s">
        <v>9</v>
      </c>
      <c r="E22" s="3" t="s">
        <v>16</v>
      </c>
    </row>
    <row r="23" spans="1:5">
      <c r="A23" s="24">
        <v>10317</v>
      </c>
      <c r="B23" s="74" t="s">
        <v>670</v>
      </c>
      <c r="C23" s="66"/>
      <c r="D23" s="66" t="s">
        <v>636</v>
      </c>
      <c r="E23" s="66" t="s">
        <v>16</v>
      </c>
    </row>
    <row r="24" spans="1:5">
      <c r="A24" s="24">
        <v>10318</v>
      </c>
      <c r="B24" s="74" t="s">
        <v>672</v>
      </c>
      <c r="C24" s="12"/>
      <c r="D24" s="12" t="s">
        <v>636</v>
      </c>
      <c r="E24" s="12" t="s">
        <v>16</v>
      </c>
    </row>
    <row r="25" spans="1:5">
      <c r="A25" s="24">
        <v>10306</v>
      </c>
      <c r="B25" s="74" t="s">
        <v>648</v>
      </c>
      <c r="C25" s="3"/>
      <c r="D25" s="3" t="s">
        <v>9</v>
      </c>
      <c r="E25" s="3" t="s">
        <v>16</v>
      </c>
    </row>
    <row r="26" spans="1:5">
      <c r="A26" s="24">
        <v>10320</v>
      </c>
      <c r="B26" s="74" t="s">
        <v>676</v>
      </c>
      <c r="C26" s="66"/>
      <c r="D26" s="66" t="s">
        <v>636</v>
      </c>
      <c r="E26" s="66" t="s">
        <v>16</v>
      </c>
    </row>
    <row r="27" spans="1:5">
      <c r="A27" s="24">
        <v>10321</v>
      </c>
      <c r="B27" s="74" t="s">
        <v>678</v>
      </c>
      <c r="C27" s="3"/>
      <c r="D27" s="3" t="s">
        <v>636</v>
      </c>
      <c r="E27" s="3" t="s">
        <v>16</v>
      </c>
    </row>
    <row r="28" spans="1:5">
      <c r="A28" s="30">
        <v>10031</v>
      </c>
      <c r="B28" s="74" t="s">
        <v>159</v>
      </c>
      <c r="C28" s="3"/>
      <c r="D28" s="3" t="s">
        <v>160</v>
      </c>
      <c r="E28" s="3" t="s">
        <v>160</v>
      </c>
    </row>
    <row r="29" spans="1:5">
      <c r="A29" s="24">
        <v>10063</v>
      </c>
      <c r="B29" s="74" t="s">
        <v>230</v>
      </c>
      <c r="C29" s="12"/>
      <c r="D29" s="3" t="s">
        <v>160</v>
      </c>
      <c r="E29" s="12" t="s">
        <v>160</v>
      </c>
    </row>
    <row r="30" spans="1:5">
      <c r="A30" s="30">
        <v>10307</v>
      </c>
      <c r="B30" s="74" t="s">
        <v>650</v>
      </c>
      <c r="C30" s="3"/>
      <c r="D30" s="3" t="s">
        <v>9</v>
      </c>
      <c r="E30" s="3" t="s">
        <v>16</v>
      </c>
    </row>
    <row r="31" spans="1:5">
      <c r="A31" s="30">
        <v>10130</v>
      </c>
      <c r="B31" s="74" t="s">
        <v>338</v>
      </c>
      <c r="C31" s="66"/>
      <c r="D31" s="3" t="s">
        <v>160</v>
      </c>
      <c r="E31" s="66" t="s">
        <v>160</v>
      </c>
    </row>
    <row r="32" spans="1:5">
      <c r="A32" s="24">
        <v>10314</v>
      </c>
      <c r="B32" s="74" t="s">
        <v>665</v>
      </c>
      <c r="C32" s="3"/>
      <c r="D32" s="3" t="s">
        <v>9</v>
      </c>
      <c r="E32" s="3" t="s">
        <v>692</v>
      </c>
    </row>
    <row r="33" spans="1:5">
      <c r="A33" s="30">
        <v>10319</v>
      </c>
      <c r="B33" s="74" t="s">
        <v>674</v>
      </c>
      <c r="C33" s="3"/>
      <c r="D33" s="3" t="s">
        <v>9</v>
      </c>
      <c r="E33" s="3" t="s">
        <v>692</v>
      </c>
    </row>
  </sheetData>
  <conditionalFormatting sqref="A34:A1048576 A1">
    <cfRule type="duplicateValues" dxfId="190" priority="155"/>
  </conditionalFormatting>
  <conditionalFormatting sqref="D28">
    <cfRule type="expression" dxfId="189" priority="153">
      <formula>$S28="Yes"</formula>
    </cfRule>
  </conditionalFormatting>
  <conditionalFormatting sqref="D29">
    <cfRule type="expression" dxfId="188" priority="152">
      <formula>$S29="Yes"</formula>
    </cfRule>
  </conditionalFormatting>
  <conditionalFormatting sqref="D31">
    <cfRule type="expression" dxfId="187" priority="151">
      <formula>$S31="Yes"</formula>
    </cfRule>
  </conditionalFormatting>
  <conditionalFormatting sqref="A3:B3">
    <cfRule type="expression" dxfId="186" priority="147">
      <formula>$S3="Yes"</formula>
    </cfRule>
  </conditionalFormatting>
  <conditionalFormatting sqref="A3">
    <cfRule type="duplicateValues" dxfId="185" priority="146"/>
  </conditionalFormatting>
  <conditionalFormatting sqref="A3">
    <cfRule type="duplicateValues" dxfId="184" priority="148"/>
  </conditionalFormatting>
  <conditionalFormatting sqref="A3">
    <cfRule type="duplicateValues" dxfId="183" priority="149"/>
  </conditionalFormatting>
  <conditionalFormatting sqref="B3">
    <cfRule type="duplicateValues" dxfId="182" priority="150"/>
  </conditionalFormatting>
  <conditionalFormatting sqref="A2">
    <cfRule type="duplicateValues" dxfId="181" priority="143"/>
  </conditionalFormatting>
  <conditionalFormatting sqref="A2">
    <cfRule type="expression" dxfId="180" priority="142">
      <formula>$S2="Yes"</formula>
    </cfRule>
  </conditionalFormatting>
  <conditionalFormatting sqref="B2">
    <cfRule type="expression" dxfId="179" priority="141">
      <formula>$S2="Yes"</formula>
    </cfRule>
  </conditionalFormatting>
  <conditionalFormatting sqref="A2">
    <cfRule type="duplicateValues" dxfId="178" priority="144"/>
  </conditionalFormatting>
  <conditionalFormatting sqref="A2">
    <cfRule type="duplicateValues" dxfId="177" priority="145"/>
  </conditionalFormatting>
  <conditionalFormatting sqref="A6:B6">
    <cfRule type="expression" dxfId="176" priority="136">
      <formula>$S4="Yes"</formula>
    </cfRule>
  </conditionalFormatting>
  <conditionalFormatting sqref="A6">
    <cfRule type="duplicateValues" dxfId="175" priority="134"/>
  </conditionalFormatting>
  <conditionalFormatting sqref="A6">
    <cfRule type="expression" dxfId="174" priority="135">
      <formula>$S4="Yes"</formula>
    </cfRule>
  </conditionalFormatting>
  <conditionalFormatting sqref="A6">
    <cfRule type="duplicateValues" dxfId="173" priority="137"/>
  </conditionalFormatting>
  <conditionalFormatting sqref="A6">
    <cfRule type="duplicateValues" dxfId="172" priority="138"/>
  </conditionalFormatting>
  <conditionalFormatting sqref="A6">
    <cfRule type="duplicateValues" dxfId="171" priority="139"/>
  </conditionalFormatting>
  <conditionalFormatting sqref="B6">
    <cfRule type="duplicateValues" dxfId="170" priority="140"/>
  </conditionalFormatting>
  <conditionalFormatting sqref="A9:B9">
    <cfRule type="expression" dxfId="169" priority="130">
      <formula>$S9="Yes"</formula>
    </cfRule>
  </conditionalFormatting>
  <conditionalFormatting sqref="A9">
    <cfRule type="duplicateValues" dxfId="168" priority="128"/>
  </conditionalFormatting>
  <conditionalFormatting sqref="A9">
    <cfRule type="expression" dxfId="167" priority="129">
      <formula>$S9="Yes"</formula>
    </cfRule>
  </conditionalFormatting>
  <conditionalFormatting sqref="A9">
    <cfRule type="duplicateValues" dxfId="166" priority="131"/>
  </conditionalFormatting>
  <conditionalFormatting sqref="A9">
    <cfRule type="duplicateValues" dxfId="165" priority="132"/>
  </conditionalFormatting>
  <conditionalFormatting sqref="A9">
    <cfRule type="duplicateValues" dxfId="164" priority="133"/>
  </conditionalFormatting>
  <conditionalFormatting sqref="A4:B4">
    <cfRule type="expression" dxfId="163" priority="125">
      <formula>$S4="Yes"</formula>
    </cfRule>
  </conditionalFormatting>
  <conditionalFormatting sqref="A4">
    <cfRule type="duplicateValues" dxfId="162" priority="124"/>
  </conditionalFormatting>
  <conditionalFormatting sqref="A4">
    <cfRule type="duplicateValues" dxfId="161" priority="126"/>
  </conditionalFormatting>
  <conditionalFormatting sqref="A4">
    <cfRule type="duplicateValues" dxfId="160" priority="127"/>
  </conditionalFormatting>
  <conditionalFormatting sqref="A7:B7">
    <cfRule type="expression" dxfId="159" priority="120">
      <formula>$S7="Yes"</formula>
    </cfRule>
  </conditionalFormatting>
  <conditionalFormatting sqref="A7">
    <cfRule type="duplicateValues" dxfId="158" priority="119"/>
  </conditionalFormatting>
  <conditionalFormatting sqref="A7">
    <cfRule type="duplicateValues" dxfId="157" priority="121"/>
  </conditionalFormatting>
  <conditionalFormatting sqref="A7">
    <cfRule type="duplicateValues" dxfId="156" priority="122"/>
  </conditionalFormatting>
  <conditionalFormatting sqref="B7">
    <cfRule type="duplicateValues" dxfId="155" priority="123"/>
  </conditionalFormatting>
  <conditionalFormatting sqref="A5:B5">
    <cfRule type="expression" dxfId="154" priority="115">
      <formula>$S5="Yes"</formula>
    </cfRule>
  </conditionalFormatting>
  <conditionalFormatting sqref="A5">
    <cfRule type="duplicateValues" dxfId="153" priority="114"/>
  </conditionalFormatting>
  <conditionalFormatting sqref="A5">
    <cfRule type="duplicateValues" dxfId="152" priority="116"/>
  </conditionalFormatting>
  <conditionalFormatting sqref="A5">
    <cfRule type="duplicateValues" dxfId="151" priority="117"/>
  </conditionalFormatting>
  <conditionalFormatting sqref="B5">
    <cfRule type="duplicateValues" dxfId="150" priority="118"/>
  </conditionalFormatting>
  <conditionalFormatting sqref="A10:A12">
    <cfRule type="duplicateValues" dxfId="149" priority="111"/>
  </conditionalFormatting>
  <conditionalFormatting sqref="A10:A12">
    <cfRule type="expression" dxfId="148" priority="110">
      <formula>$S10="Yes"</formula>
    </cfRule>
  </conditionalFormatting>
  <conditionalFormatting sqref="B10:B12">
    <cfRule type="expression" dxfId="147" priority="109">
      <formula>$S10="Yes"</formula>
    </cfRule>
  </conditionalFormatting>
  <conditionalFormatting sqref="A10:A12">
    <cfRule type="duplicateValues" dxfId="146" priority="112"/>
  </conditionalFormatting>
  <conditionalFormatting sqref="A10:A12">
    <cfRule type="duplicateValues" dxfId="145" priority="113"/>
  </conditionalFormatting>
  <conditionalFormatting sqref="A13:B13">
    <cfRule type="expression" dxfId="144" priority="106">
      <formula>$S13="Yes"</formula>
    </cfRule>
  </conditionalFormatting>
  <conditionalFormatting sqref="A13">
    <cfRule type="duplicateValues" dxfId="143" priority="105"/>
  </conditionalFormatting>
  <conditionalFormatting sqref="A13">
    <cfRule type="duplicateValues" dxfId="142" priority="107"/>
  </conditionalFormatting>
  <conditionalFormatting sqref="A13">
    <cfRule type="duplicateValues" dxfId="141" priority="108"/>
  </conditionalFormatting>
  <conditionalFormatting sqref="A17:B18">
    <cfRule type="expression" dxfId="140" priority="102">
      <formula>$S17="Yes"</formula>
    </cfRule>
  </conditionalFormatting>
  <conditionalFormatting sqref="A17:A18">
    <cfRule type="duplicateValues" dxfId="139" priority="101"/>
  </conditionalFormatting>
  <conditionalFormatting sqref="A17:A18">
    <cfRule type="duplicateValues" dxfId="138" priority="103"/>
  </conditionalFormatting>
  <conditionalFormatting sqref="A17:A18">
    <cfRule type="duplicateValues" dxfId="137" priority="104"/>
  </conditionalFormatting>
  <conditionalFormatting sqref="A21:B22">
    <cfRule type="expression" dxfId="136" priority="98">
      <formula>$S21="Yes"</formula>
    </cfRule>
  </conditionalFormatting>
  <conditionalFormatting sqref="A21:A22">
    <cfRule type="duplicateValues" dxfId="135" priority="97"/>
  </conditionalFormatting>
  <conditionalFormatting sqref="A21:A22">
    <cfRule type="duplicateValues" dxfId="134" priority="99"/>
  </conditionalFormatting>
  <conditionalFormatting sqref="A21:A22">
    <cfRule type="duplicateValues" dxfId="133" priority="100"/>
  </conditionalFormatting>
  <conditionalFormatting sqref="B22">
    <cfRule type="duplicateValues" dxfId="132" priority="96"/>
  </conditionalFormatting>
  <conditionalFormatting sqref="A25:B25">
    <cfRule type="expression" dxfId="131" priority="92">
      <formula>$S25="Yes"</formula>
    </cfRule>
  </conditionalFormatting>
  <conditionalFormatting sqref="A25">
    <cfRule type="duplicateValues" dxfId="130" priority="91"/>
  </conditionalFormatting>
  <conditionalFormatting sqref="A25">
    <cfRule type="duplicateValues" dxfId="129" priority="93"/>
  </conditionalFormatting>
  <conditionalFormatting sqref="A25">
    <cfRule type="duplicateValues" dxfId="128" priority="94"/>
  </conditionalFormatting>
  <conditionalFormatting sqref="B25">
    <cfRule type="duplicateValues" dxfId="127" priority="95"/>
  </conditionalFormatting>
  <conditionalFormatting sqref="A30:B30">
    <cfRule type="expression" dxfId="126" priority="86">
      <formula>$S30="Yes"</formula>
    </cfRule>
  </conditionalFormatting>
  <conditionalFormatting sqref="A30">
    <cfRule type="duplicateValues" dxfId="125" priority="84"/>
  </conditionalFormatting>
  <conditionalFormatting sqref="A30">
    <cfRule type="expression" dxfId="124" priority="85">
      <formula>$S30="Yes"</formula>
    </cfRule>
  </conditionalFormatting>
  <conditionalFormatting sqref="A30">
    <cfRule type="duplicateValues" dxfId="123" priority="87"/>
  </conditionalFormatting>
  <conditionalFormatting sqref="A30">
    <cfRule type="duplicateValues" dxfId="122" priority="88"/>
  </conditionalFormatting>
  <conditionalFormatting sqref="A30">
    <cfRule type="duplicateValues" dxfId="121" priority="89"/>
  </conditionalFormatting>
  <conditionalFormatting sqref="B30">
    <cfRule type="duplicateValues" dxfId="120" priority="90"/>
  </conditionalFormatting>
  <conditionalFormatting sqref="A32:B33">
    <cfRule type="expression" dxfId="119" priority="80">
      <formula>$S32="Yes"</formula>
    </cfRule>
  </conditionalFormatting>
  <conditionalFormatting sqref="A32:A33">
    <cfRule type="duplicateValues" dxfId="118" priority="79"/>
  </conditionalFormatting>
  <conditionalFormatting sqref="A32:A33">
    <cfRule type="duplicateValues" dxfId="117" priority="81"/>
  </conditionalFormatting>
  <conditionalFormatting sqref="A32:A33">
    <cfRule type="duplicateValues" dxfId="116" priority="82"/>
  </conditionalFormatting>
  <conditionalFormatting sqref="B32:B33">
    <cfRule type="duplicateValues" dxfId="115" priority="83"/>
  </conditionalFormatting>
  <conditionalFormatting sqref="A33">
    <cfRule type="expression" dxfId="114" priority="77">
      <formula>$S33="Yes"</formula>
    </cfRule>
  </conditionalFormatting>
  <conditionalFormatting sqref="A33">
    <cfRule type="duplicateValues" dxfId="113" priority="78"/>
  </conditionalFormatting>
  <conditionalFormatting sqref="A14:B14">
    <cfRule type="expression" dxfId="112" priority="73">
      <formula>$S14="Yes"</formula>
    </cfRule>
  </conditionalFormatting>
  <conditionalFormatting sqref="A14">
    <cfRule type="duplicateValues" dxfId="111" priority="72"/>
  </conditionalFormatting>
  <conditionalFormatting sqref="A14">
    <cfRule type="duplicateValues" dxfId="110" priority="74"/>
  </conditionalFormatting>
  <conditionalFormatting sqref="A14">
    <cfRule type="duplicateValues" dxfId="109" priority="75"/>
  </conditionalFormatting>
  <conditionalFormatting sqref="B14">
    <cfRule type="duplicateValues" dxfId="108" priority="76"/>
  </conditionalFormatting>
  <conditionalFormatting sqref="A19:B19">
    <cfRule type="expression" dxfId="107" priority="67">
      <formula>$S19="Yes"</formula>
    </cfRule>
  </conditionalFormatting>
  <conditionalFormatting sqref="A19">
    <cfRule type="duplicateValues" dxfId="106" priority="65"/>
  </conditionalFormatting>
  <conditionalFormatting sqref="A19">
    <cfRule type="expression" dxfId="105" priority="66">
      <formula>$S19="Yes"</formula>
    </cfRule>
  </conditionalFormatting>
  <conditionalFormatting sqref="A19">
    <cfRule type="duplicateValues" dxfId="104" priority="68"/>
  </conditionalFormatting>
  <conditionalFormatting sqref="A19">
    <cfRule type="duplicateValues" dxfId="103" priority="69"/>
  </conditionalFormatting>
  <conditionalFormatting sqref="A19">
    <cfRule type="duplicateValues" dxfId="102" priority="70"/>
  </conditionalFormatting>
  <conditionalFormatting sqref="B19">
    <cfRule type="duplicateValues" dxfId="101" priority="71"/>
  </conditionalFormatting>
  <conditionalFormatting sqref="A15:B15">
    <cfRule type="expression" dxfId="100" priority="60">
      <formula>$S15="Yes"</formula>
    </cfRule>
  </conditionalFormatting>
  <conditionalFormatting sqref="A15">
    <cfRule type="duplicateValues" dxfId="99" priority="58"/>
  </conditionalFormatting>
  <conditionalFormatting sqref="A15">
    <cfRule type="expression" dxfId="98" priority="59">
      <formula>$S15="Yes"</formula>
    </cfRule>
  </conditionalFormatting>
  <conditionalFormatting sqref="A15">
    <cfRule type="duplicateValues" dxfId="97" priority="61"/>
  </conditionalFormatting>
  <conditionalFormatting sqref="A15">
    <cfRule type="duplicateValues" dxfId="96" priority="62"/>
  </conditionalFormatting>
  <conditionalFormatting sqref="A15">
    <cfRule type="duplicateValues" dxfId="95" priority="63"/>
  </conditionalFormatting>
  <conditionalFormatting sqref="B15">
    <cfRule type="duplicateValues" dxfId="94" priority="64"/>
  </conditionalFormatting>
  <conditionalFormatting sqref="A20:B20">
    <cfRule type="expression" dxfId="93" priority="54">
      <formula>$S20="Yes"</formula>
    </cfRule>
  </conditionalFormatting>
  <conditionalFormatting sqref="A20">
    <cfRule type="duplicateValues" dxfId="92" priority="53"/>
  </conditionalFormatting>
  <conditionalFormatting sqref="A20">
    <cfRule type="duplicateValues" dxfId="91" priority="55"/>
  </conditionalFormatting>
  <conditionalFormatting sqref="A20">
    <cfRule type="duplicateValues" dxfId="90" priority="56"/>
  </conditionalFormatting>
  <conditionalFormatting sqref="B20">
    <cfRule type="duplicateValues" dxfId="89" priority="57"/>
  </conditionalFormatting>
  <conditionalFormatting sqref="A16:B16">
    <cfRule type="expression" dxfId="88" priority="49">
      <formula>$S16="Yes"</formula>
    </cfRule>
  </conditionalFormatting>
  <conditionalFormatting sqref="A16">
    <cfRule type="duplicateValues" dxfId="87" priority="48"/>
  </conditionalFormatting>
  <conditionalFormatting sqref="A16">
    <cfRule type="duplicateValues" dxfId="86" priority="50"/>
  </conditionalFormatting>
  <conditionalFormatting sqref="A16">
    <cfRule type="duplicateValues" dxfId="85" priority="51"/>
  </conditionalFormatting>
  <conditionalFormatting sqref="B16">
    <cfRule type="duplicateValues" dxfId="84" priority="52"/>
  </conditionalFormatting>
  <conditionalFormatting sqref="A23:B23">
    <cfRule type="expression" dxfId="83" priority="44">
      <formula>$S23="Yes"</formula>
    </cfRule>
  </conditionalFormatting>
  <conditionalFormatting sqref="A23">
    <cfRule type="duplicateValues" dxfId="82" priority="43"/>
  </conditionalFormatting>
  <conditionalFormatting sqref="A23">
    <cfRule type="duplicateValues" dxfId="81" priority="45"/>
  </conditionalFormatting>
  <conditionalFormatting sqref="A23">
    <cfRule type="duplicateValues" dxfId="80" priority="46"/>
  </conditionalFormatting>
  <conditionalFormatting sqref="B23">
    <cfRule type="duplicateValues" dxfId="79" priority="47"/>
  </conditionalFormatting>
  <conditionalFormatting sqref="A24:B24">
    <cfRule type="expression" dxfId="78" priority="39">
      <formula>$S24="Yes"</formula>
    </cfRule>
  </conditionalFormatting>
  <conditionalFormatting sqref="A24">
    <cfRule type="duplicateValues" dxfId="77" priority="38"/>
  </conditionalFormatting>
  <conditionalFormatting sqref="A24">
    <cfRule type="duplicateValues" dxfId="76" priority="40"/>
  </conditionalFormatting>
  <conditionalFormatting sqref="A24">
    <cfRule type="duplicateValues" dxfId="75" priority="41"/>
  </conditionalFormatting>
  <conditionalFormatting sqref="B24">
    <cfRule type="duplicateValues" dxfId="74" priority="42"/>
  </conditionalFormatting>
  <conditionalFormatting sqref="A26:B26">
    <cfRule type="expression" dxfId="73" priority="34">
      <formula>$S26="Yes"</formula>
    </cfRule>
  </conditionalFormatting>
  <conditionalFormatting sqref="A26">
    <cfRule type="duplicateValues" dxfId="72" priority="33"/>
  </conditionalFormatting>
  <conditionalFormatting sqref="A26">
    <cfRule type="duplicateValues" dxfId="71" priority="35"/>
  </conditionalFormatting>
  <conditionalFormatting sqref="A26">
    <cfRule type="duplicateValues" dxfId="70" priority="36"/>
  </conditionalFormatting>
  <conditionalFormatting sqref="B26">
    <cfRule type="duplicateValues" dxfId="69" priority="37"/>
  </conditionalFormatting>
  <conditionalFormatting sqref="A27:B27">
    <cfRule type="expression" dxfId="68" priority="29">
      <formula>$S27="Yes"</formula>
    </cfRule>
  </conditionalFormatting>
  <conditionalFormatting sqref="A27">
    <cfRule type="duplicateValues" dxfId="67" priority="28"/>
  </conditionalFormatting>
  <conditionalFormatting sqref="A27">
    <cfRule type="duplicateValues" dxfId="66" priority="30"/>
  </conditionalFormatting>
  <conditionalFormatting sqref="A27">
    <cfRule type="duplicateValues" dxfId="65" priority="31"/>
  </conditionalFormatting>
  <conditionalFormatting sqref="B27">
    <cfRule type="duplicateValues" dxfId="64" priority="32"/>
  </conditionalFormatting>
  <conditionalFormatting sqref="A8:B8">
    <cfRule type="expression" dxfId="63" priority="23">
      <formula>$S8="Yes"</formula>
    </cfRule>
  </conditionalFormatting>
  <conditionalFormatting sqref="A8">
    <cfRule type="duplicateValues" dxfId="62" priority="21"/>
  </conditionalFormatting>
  <conditionalFormatting sqref="A8">
    <cfRule type="expression" dxfId="61" priority="22">
      <formula>$S8="Yes"</formula>
    </cfRule>
  </conditionalFormatting>
  <conditionalFormatting sqref="A8">
    <cfRule type="duplicateValues" dxfId="60" priority="24"/>
  </conditionalFormatting>
  <conditionalFormatting sqref="A8">
    <cfRule type="duplicateValues" dxfId="59" priority="25"/>
  </conditionalFormatting>
  <conditionalFormatting sqref="A8">
    <cfRule type="duplicateValues" dxfId="58" priority="26"/>
  </conditionalFormatting>
  <conditionalFormatting sqref="B8">
    <cfRule type="duplicateValues" dxfId="57" priority="27"/>
  </conditionalFormatting>
  <conditionalFormatting sqref="A28">
    <cfRule type="duplicateValues" dxfId="56" priority="16"/>
  </conditionalFormatting>
  <conditionalFormatting sqref="A28">
    <cfRule type="expression" dxfId="55" priority="15">
      <formula>$S28="Yes"</formula>
    </cfRule>
  </conditionalFormatting>
  <conditionalFormatting sqref="A28">
    <cfRule type="expression" dxfId="54" priority="17">
      <formula>$S28="Yes"</formula>
    </cfRule>
  </conditionalFormatting>
  <conditionalFormatting sqref="B28">
    <cfRule type="expression" dxfId="53" priority="14">
      <formula>$S28="Yes"</formula>
    </cfRule>
  </conditionalFormatting>
  <conditionalFormatting sqref="A28">
    <cfRule type="duplicateValues" dxfId="52" priority="18"/>
  </conditionalFormatting>
  <conditionalFormatting sqref="A28">
    <cfRule type="duplicateValues" dxfId="51" priority="19"/>
  </conditionalFormatting>
  <conditionalFormatting sqref="A28">
    <cfRule type="duplicateValues" dxfId="50" priority="20"/>
  </conditionalFormatting>
  <conditionalFormatting sqref="A29">
    <cfRule type="duplicateValues" dxfId="49" priority="11"/>
  </conditionalFormatting>
  <conditionalFormatting sqref="A29">
    <cfRule type="expression" dxfId="48" priority="9">
      <formula>$S29="Yes"</formula>
    </cfRule>
  </conditionalFormatting>
  <conditionalFormatting sqref="A29">
    <cfRule type="expression" dxfId="47" priority="10">
      <formula>$S29="Yes"</formula>
    </cfRule>
  </conditionalFormatting>
  <conditionalFormatting sqref="B29">
    <cfRule type="expression" dxfId="46" priority="8">
      <formula>$S29="Yes"</formula>
    </cfRule>
  </conditionalFormatting>
  <conditionalFormatting sqref="A29">
    <cfRule type="duplicateValues" dxfId="45" priority="12"/>
  </conditionalFormatting>
  <conditionalFormatting sqref="A29">
    <cfRule type="duplicateValues" dxfId="44" priority="13"/>
  </conditionalFormatting>
  <conditionalFormatting sqref="A31">
    <cfRule type="duplicateValues" dxfId="43" priority="3"/>
  </conditionalFormatting>
  <conditionalFormatting sqref="A31">
    <cfRule type="expression" dxfId="42" priority="2">
      <formula>$S31="Yes"</formula>
    </cfRule>
  </conditionalFormatting>
  <conditionalFormatting sqref="A31">
    <cfRule type="expression" dxfId="41" priority="4">
      <formula>$S31="Yes"</formula>
    </cfRule>
  </conditionalFormatting>
  <conditionalFormatting sqref="B31">
    <cfRule type="expression" dxfId="40" priority="1">
      <formula>$S31="Yes"</formula>
    </cfRule>
  </conditionalFormatting>
  <conditionalFormatting sqref="A31">
    <cfRule type="duplicateValues" dxfId="39" priority="5"/>
  </conditionalFormatting>
  <conditionalFormatting sqref="A31">
    <cfRule type="duplicateValues" dxfId="38" priority="6"/>
  </conditionalFormatting>
  <conditionalFormatting sqref="A31">
    <cfRule type="duplicateValues" dxfId="37" priority="7"/>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517D-D5E6-4672-8ECD-CF65ED5ECBB4}">
  <dimension ref="A1:L152"/>
  <sheetViews>
    <sheetView topLeftCell="A5" workbookViewId="0">
      <selection activeCell="E35" sqref="E35"/>
    </sheetView>
  </sheetViews>
  <sheetFormatPr defaultRowHeight="14.45"/>
  <cols>
    <col min="1" max="1" width="11" customWidth="1"/>
    <col min="2" max="2" width="30.85546875" bestFit="1" customWidth="1"/>
    <col min="3" max="3" width="11.140625" bestFit="1" customWidth="1"/>
    <col min="5" max="5" width="38.140625" customWidth="1"/>
    <col min="6" max="6" width="22.42578125" customWidth="1"/>
    <col min="7" max="7" width="9.140625" style="8" bestFit="1" customWidth="1"/>
    <col min="8" max="8" width="13.5703125" customWidth="1"/>
    <col min="9" max="9" width="11.28515625" bestFit="1" customWidth="1"/>
    <col min="10" max="10" width="20" customWidth="1"/>
  </cols>
  <sheetData>
    <row r="1" spans="1:12" s="11" customFormat="1" ht="28.9">
      <c r="A1" s="75" t="s">
        <v>696</v>
      </c>
      <c r="B1" s="76" t="s">
        <v>680</v>
      </c>
      <c r="C1" s="76" t="s">
        <v>59</v>
      </c>
      <c r="D1" s="76" t="s">
        <v>697</v>
      </c>
      <c r="E1" s="76" t="s">
        <v>698</v>
      </c>
      <c r="F1" s="76" t="s">
        <v>699</v>
      </c>
      <c r="G1" s="76" t="s">
        <v>700</v>
      </c>
      <c r="H1" s="76" t="s">
        <v>75</v>
      </c>
      <c r="I1" s="76" t="s">
        <v>701</v>
      </c>
      <c r="J1" s="76" t="s">
        <v>702</v>
      </c>
      <c r="K1" s="77" t="s">
        <v>703</v>
      </c>
      <c r="L1" s="78"/>
    </row>
    <row r="2" spans="1:12">
      <c r="A2" s="79">
        <v>10006</v>
      </c>
      <c r="B2" s="80" t="s">
        <v>98</v>
      </c>
      <c r="C2" s="81">
        <v>45462</v>
      </c>
      <c r="D2" s="77" t="s">
        <v>704</v>
      </c>
      <c r="E2" s="77" t="s">
        <v>705</v>
      </c>
      <c r="F2" s="77" t="s">
        <v>704</v>
      </c>
      <c r="G2" s="82" t="s">
        <v>55</v>
      </c>
      <c r="H2" s="83">
        <v>46066</v>
      </c>
      <c r="I2" s="77" t="s">
        <v>706</v>
      </c>
      <c r="J2" s="77"/>
      <c r="K2" s="77"/>
      <c r="L2" s="77"/>
    </row>
    <row r="3" spans="1:12">
      <c r="A3" s="84">
        <v>10007</v>
      </c>
      <c r="B3" s="80" t="s">
        <v>101</v>
      </c>
      <c r="C3" s="81">
        <v>45776</v>
      </c>
      <c r="D3" s="77" t="s">
        <v>704</v>
      </c>
      <c r="E3" s="77" t="s">
        <v>707</v>
      </c>
      <c r="F3" s="77" t="s">
        <v>704</v>
      </c>
      <c r="G3" s="82" t="s">
        <v>55</v>
      </c>
      <c r="H3" s="83">
        <v>46081</v>
      </c>
      <c r="I3" s="77" t="s">
        <v>706</v>
      </c>
      <c r="J3" s="77"/>
      <c r="K3" s="77"/>
      <c r="L3" s="77"/>
    </row>
    <row r="4" spans="1:12">
      <c r="A4" s="84">
        <v>10022</v>
      </c>
      <c r="B4" s="80" t="s">
        <v>137</v>
      </c>
      <c r="C4" s="81">
        <v>45763</v>
      </c>
      <c r="D4" s="77" t="s">
        <v>704</v>
      </c>
      <c r="E4" s="77" t="s">
        <v>708</v>
      </c>
      <c r="F4" s="77" t="s">
        <v>704</v>
      </c>
      <c r="G4" s="82" t="s">
        <v>55</v>
      </c>
      <c r="H4" s="83">
        <v>46045</v>
      </c>
      <c r="I4" s="77" t="s">
        <v>706</v>
      </c>
      <c r="J4" s="77"/>
      <c r="K4" s="77"/>
      <c r="L4" s="77"/>
    </row>
    <row r="5" spans="1:12">
      <c r="A5" s="79">
        <v>10057</v>
      </c>
      <c r="B5" s="80" t="s">
        <v>216</v>
      </c>
      <c r="C5" s="81">
        <v>45617</v>
      </c>
      <c r="D5" s="77" t="s">
        <v>704</v>
      </c>
      <c r="E5" s="77" t="s">
        <v>709</v>
      </c>
      <c r="F5" s="77" t="s">
        <v>704</v>
      </c>
      <c r="G5" s="82" t="s">
        <v>55</v>
      </c>
      <c r="H5" s="83" t="s">
        <v>82</v>
      </c>
      <c r="I5" s="77" t="s">
        <v>706</v>
      </c>
      <c r="J5" s="77"/>
      <c r="K5" s="77"/>
      <c r="L5" s="77"/>
    </row>
    <row r="6" spans="1:12">
      <c r="A6" s="79">
        <v>10065</v>
      </c>
      <c r="B6" s="80" t="s">
        <v>232</v>
      </c>
      <c r="C6" s="81">
        <v>45782</v>
      </c>
      <c r="D6" s="77" t="s">
        <v>704</v>
      </c>
      <c r="E6" s="77" t="s">
        <v>708</v>
      </c>
      <c r="F6" s="77" t="s">
        <v>704</v>
      </c>
      <c r="G6" s="82" t="s">
        <v>55</v>
      </c>
      <c r="H6" s="83" t="s">
        <v>82</v>
      </c>
      <c r="I6" s="77" t="s">
        <v>706</v>
      </c>
      <c r="J6" s="77"/>
      <c r="K6" s="77"/>
      <c r="L6" s="77"/>
    </row>
    <row r="7" spans="1:12">
      <c r="A7" s="79">
        <v>10066</v>
      </c>
      <c r="B7" s="80" t="s">
        <v>233</v>
      </c>
      <c r="C7" s="81">
        <v>45573</v>
      </c>
      <c r="D7" s="77" t="s">
        <v>704</v>
      </c>
      <c r="E7" s="77" t="s">
        <v>710</v>
      </c>
      <c r="F7" s="77" t="s">
        <v>704</v>
      </c>
      <c r="G7" s="82" t="s">
        <v>55</v>
      </c>
      <c r="H7" s="83">
        <v>45996</v>
      </c>
      <c r="I7" s="77" t="s">
        <v>706</v>
      </c>
      <c r="J7" s="77"/>
      <c r="K7" s="77"/>
      <c r="L7" s="77"/>
    </row>
    <row r="8" spans="1:12">
      <c r="A8" s="84">
        <v>10076</v>
      </c>
      <c r="B8" s="80" t="s">
        <v>248</v>
      </c>
      <c r="C8" s="81">
        <v>45644</v>
      </c>
      <c r="D8" s="77" t="s">
        <v>704</v>
      </c>
      <c r="E8" s="77" t="s">
        <v>709</v>
      </c>
      <c r="F8" s="77" t="s">
        <v>704</v>
      </c>
      <c r="G8" s="82" t="s">
        <v>55</v>
      </c>
      <c r="H8" s="83">
        <v>45992</v>
      </c>
      <c r="I8" s="77" t="s">
        <v>706</v>
      </c>
      <c r="J8" s="77"/>
      <c r="K8" s="77"/>
      <c r="L8" s="77"/>
    </row>
    <row r="9" spans="1:12">
      <c r="A9" s="79">
        <v>10110</v>
      </c>
      <c r="B9" s="80" t="s">
        <v>308</v>
      </c>
      <c r="C9" s="81">
        <v>45694</v>
      </c>
      <c r="D9" s="77" t="s">
        <v>704</v>
      </c>
      <c r="E9" s="77" t="s">
        <v>709</v>
      </c>
      <c r="F9" s="77" t="s">
        <v>704</v>
      </c>
      <c r="G9" s="82" t="s">
        <v>55</v>
      </c>
      <c r="H9" s="83" t="s">
        <v>82</v>
      </c>
      <c r="I9" s="77" t="s">
        <v>706</v>
      </c>
      <c r="J9" s="77"/>
      <c r="K9" s="77"/>
      <c r="L9" s="77"/>
    </row>
    <row r="10" spans="1:12">
      <c r="A10" s="84">
        <v>10127</v>
      </c>
      <c r="B10" s="80" t="s">
        <v>329</v>
      </c>
      <c r="C10" s="81">
        <v>45770</v>
      </c>
      <c r="D10" s="77" t="s">
        <v>704</v>
      </c>
      <c r="E10" s="77" t="s">
        <v>707</v>
      </c>
      <c r="F10" s="77" t="s">
        <v>704</v>
      </c>
      <c r="G10" s="82" t="s">
        <v>55</v>
      </c>
      <c r="H10" s="83">
        <v>46071</v>
      </c>
      <c r="I10" s="77" t="s">
        <v>706</v>
      </c>
      <c r="J10" s="77"/>
      <c r="K10" s="77"/>
      <c r="L10" s="77"/>
    </row>
    <row r="11" spans="1:12">
      <c r="A11" s="84">
        <v>10139</v>
      </c>
      <c r="B11" s="80" t="s">
        <v>357</v>
      </c>
      <c r="C11" s="81">
        <v>45748</v>
      </c>
      <c r="D11" s="77" t="s">
        <v>704</v>
      </c>
      <c r="E11" s="77" t="s">
        <v>711</v>
      </c>
      <c r="F11" s="77" t="s">
        <v>704</v>
      </c>
      <c r="G11" s="82" t="s">
        <v>55</v>
      </c>
      <c r="H11" s="83">
        <v>46114</v>
      </c>
      <c r="I11" s="77" t="s">
        <v>706</v>
      </c>
      <c r="J11" s="77"/>
      <c r="K11" s="77"/>
      <c r="L11" s="77"/>
    </row>
    <row r="12" spans="1:12">
      <c r="A12" s="79">
        <v>10144</v>
      </c>
      <c r="B12" s="80" t="s">
        <v>362</v>
      </c>
      <c r="C12" s="81">
        <v>44935</v>
      </c>
      <c r="D12" s="77" t="s">
        <v>704</v>
      </c>
      <c r="E12" s="77" t="s">
        <v>712</v>
      </c>
      <c r="F12" s="77" t="s">
        <v>704</v>
      </c>
      <c r="G12" s="82" t="s">
        <v>55</v>
      </c>
      <c r="H12" s="83">
        <v>46024</v>
      </c>
      <c r="I12" s="77" t="s">
        <v>713</v>
      </c>
      <c r="J12" s="77"/>
      <c r="K12" s="77"/>
      <c r="L12" s="77"/>
    </row>
    <row r="13" spans="1:12">
      <c r="A13" s="84">
        <v>10151</v>
      </c>
      <c r="B13" s="80" t="s">
        <v>376</v>
      </c>
      <c r="C13" s="81">
        <v>45387</v>
      </c>
      <c r="D13" s="77" t="s">
        <v>704</v>
      </c>
      <c r="E13" s="77" t="s">
        <v>714</v>
      </c>
      <c r="F13" s="77" t="s">
        <v>704</v>
      </c>
      <c r="G13" s="82" t="s">
        <v>55</v>
      </c>
      <c r="H13" s="83">
        <v>45992</v>
      </c>
      <c r="I13" s="77" t="s">
        <v>715</v>
      </c>
      <c r="J13" s="77"/>
      <c r="K13" s="77"/>
      <c r="L13" s="77"/>
    </row>
    <row r="14" spans="1:12">
      <c r="A14" s="84">
        <v>10160</v>
      </c>
      <c r="B14" s="80" t="s">
        <v>388</v>
      </c>
      <c r="C14" s="81">
        <v>44508</v>
      </c>
      <c r="D14" s="77" t="s">
        <v>704</v>
      </c>
      <c r="E14" s="77" t="s">
        <v>716</v>
      </c>
      <c r="F14" s="77" t="s">
        <v>704</v>
      </c>
      <c r="G14" s="82" t="s">
        <v>55</v>
      </c>
      <c r="H14" s="83">
        <v>46009</v>
      </c>
      <c r="I14" s="77" t="s">
        <v>715</v>
      </c>
      <c r="J14" s="77"/>
      <c r="K14" s="77"/>
      <c r="L14" s="77"/>
    </row>
    <row r="15" spans="1:12">
      <c r="A15" s="79">
        <v>10167</v>
      </c>
      <c r="B15" s="80" t="s">
        <v>397</v>
      </c>
      <c r="C15" s="81">
        <v>45691</v>
      </c>
      <c r="D15" s="77" t="s">
        <v>704</v>
      </c>
      <c r="E15" s="77" t="s">
        <v>717</v>
      </c>
      <c r="F15" s="77" t="s">
        <v>704</v>
      </c>
      <c r="G15" s="82" t="s">
        <v>55</v>
      </c>
      <c r="H15" s="83">
        <v>46031</v>
      </c>
      <c r="I15" s="77" t="s">
        <v>715</v>
      </c>
      <c r="J15" s="77"/>
      <c r="K15" s="77"/>
      <c r="L15" s="77"/>
    </row>
    <row r="16" spans="1:12">
      <c r="A16" s="79">
        <v>10173</v>
      </c>
      <c r="B16" s="80" t="s">
        <v>408</v>
      </c>
      <c r="C16" s="81">
        <v>45784</v>
      </c>
      <c r="D16" s="77" t="s">
        <v>704</v>
      </c>
      <c r="E16" s="77" t="s">
        <v>718</v>
      </c>
      <c r="F16" s="77" t="s">
        <v>704</v>
      </c>
      <c r="G16" s="82" t="s">
        <v>55</v>
      </c>
      <c r="H16" s="83">
        <v>46113</v>
      </c>
      <c r="I16" s="77" t="s">
        <v>713</v>
      </c>
      <c r="J16" s="77"/>
      <c r="K16" s="77"/>
      <c r="L16" s="77"/>
    </row>
    <row r="17" spans="1:12">
      <c r="A17" s="84">
        <v>10175</v>
      </c>
      <c r="B17" s="80" t="s">
        <v>412</v>
      </c>
      <c r="C17" s="81">
        <v>45505</v>
      </c>
      <c r="D17" s="77" t="s">
        <v>704</v>
      </c>
      <c r="E17" s="77" t="s">
        <v>719</v>
      </c>
      <c r="F17" s="77" t="s">
        <v>704</v>
      </c>
      <c r="G17" s="82" t="s">
        <v>55</v>
      </c>
      <c r="H17" s="83">
        <v>46089</v>
      </c>
      <c r="I17" s="77" t="s">
        <v>715</v>
      </c>
      <c r="J17" s="77"/>
      <c r="K17" s="77"/>
      <c r="L17" s="77"/>
    </row>
    <row r="18" spans="1:12">
      <c r="A18" s="79">
        <v>10176</v>
      </c>
      <c r="B18" s="80" t="s">
        <v>413</v>
      </c>
      <c r="C18" s="81">
        <v>45673</v>
      </c>
      <c r="D18" s="77" t="s">
        <v>704</v>
      </c>
      <c r="E18" s="77" t="s">
        <v>720</v>
      </c>
      <c r="F18" s="77" t="s">
        <v>704</v>
      </c>
      <c r="G18" s="82" t="s">
        <v>55</v>
      </c>
      <c r="H18" s="83">
        <v>46001</v>
      </c>
      <c r="I18" s="77" t="s">
        <v>715</v>
      </c>
      <c r="J18" s="77"/>
      <c r="K18" s="77"/>
      <c r="L18" s="77"/>
    </row>
    <row r="19" spans="1:12">
      <c r="A19" s="79">
        <v>10177</v>
      </c>
      <c r="B19" s="80" t="s">
        <v>414</v>
      </c>
      <c r="C19" s="81">
        <v>45475</v>
      </c>
      <c r="D19" s="77" t="s">
        <v>704</v>
      </c>
      <c r="E19" s="77" t="s">
        <v>721</v>
      </c>
      <c r="F19" s="77" t="s">
        <v>704</v>
      </c>
      <c r="G19" s="82" t="s">
        <v>55</v>
      </c>
      <c r="H19" s="83">
        <v>45999</v>
      </c>
      <c r="I19" s="77" t="s">
        <v>713</v>
      </c>
      <c r="J19" s="77"/>
      <c r="K19" s="77"/>
      <c r="L19" s="77"/>
    </row>
    <row r="20" spans="1:12">
      <c r="A20" s="84">
        <v>10181</v>
      </c>
      <c r="B20" s="80" t="s">
        <v>420</v>
      </c>
      <c r="C20" s="81">
        <v>45054</v>
      </c>
      <c r="D20" s="77" t="s">
        <v>704</v>
      </c>
      <c r="E20" s="77" t="s">
        <v>722</v>
      </c>
      <c r="F20" s="77" t="s">
        <v>704</v>
      </c>
      <c r="G20" s="82" t="s">
        <v>55</v>
      </c>
      <c r="H20" s="83">
        <v>45999</v>
      </c>
      <c r="I20" s="77" t="s">
        <v>713</v>
      </c>
      <c r="J20" s="77"/>
      <c r="K20" s="77"/>
      <c r="L20" s="77"/>
    </row>
    <row r="21" spans="1:12">
      <c r="A21" s="84">
        <v>10187</v>
      </c>
      <c r="B21" s="80" t="s">
        <v>430</v>
      </c>
      <c r="C21" s="81">
        <v>45383</v>
      </c>
      <c r="D21" s="77" t="s">
        <v>704</v>
      </c>
      <c r="E21" s="77" t="s">
        <v>709</v>
      </c>
      <c r="F21" s="77" t="s">
        <v>704</v>
      </c>
      <c r="G21" s="82" t="s">
        <v>55</v>
      </c>
      <c r="H21" s="83">
        <v>46006</v>
      </c>
      <c r="I21" s="77" t="s">
        <v>713</v>
      </c>
      <c r="J21" s="77"/>
      <c r="K21" s="77"/>
      <c r="L21" s="77"/>
    </row>
    <row r="22" spans="1:12">
      <c r="A22" s="84">
        <v>10202</v>
      </c>
      <c r="B22" s="80" t="s">
        <v>452</v>
      </c>
      <c r="C22" s="81">
        <v>45779</v>
      </c>
      <c r="D22" s="77">
        <v>7.6</v>
      </c>
      <c r="E22" s="77" t="s">
        <v>723</v>
      </c>
      <c r="F22" s="77" t="s">
        <v>724</v>
      </c>
      <c r="G22" s="82" t="s">
        <v>55</v>
      </c>
      <c r="H22" s="83">
        <v>46114</v>
      </c>
      <c r="I22" s="77" t="s">
        <v>715</v>
      </c>
      <c r="J22" s="77"/>
      <c r="K22" s="77"/>
      <c r="L22" s="77"/>
    </row>
    <row r="23" spans="1:12">
      <c r="A23" s="79">
        <v>10210</v>
      </c>
      <c r="B23" s="80" t="s">
        <v>464</v>
      </c>
      <c r="C23" s="81">
        <v>45684</v>
      </c>
      <c r="D23" s="77" t="s">
        <v>704</v>
      </c>
      <c r="E23" s="77" t="s">
        <v>725</v>
      </c>
      <c r="F23" s="77" t="s">
        <v>704</v>
      </c>
      <c r="G23" s="82" t="s">
        <v>55</v>
      </c>
      <c r="H23" s="83">
        <v>46022</v>
      </c>
      <c r="I23" s="77" t="s">
        <v>715</v>
      </c>
      <c r="J23" s="77"/>
      <c r="K23" s="77"/>
      <c r="L23" s="77"/>
    </row>
    <row r="24" spans="1:12">
      <c r="A24" s="79">
        <v>10225</v>
      </c>
      <c r="B24" s="80" t="s">
        <v>492</v>
      </c>
      <c r="C24" s="81">
        <v>45754</v>
      </c>
      <c r="D24" s="77">
        <v>4.7</v>
      </c>
      <c r="E24" s="77" t="s">
        <v>726</v>
      </c>
      <c r="F24" s="77" t="s">
        <v>727</v>
      </c>
      <c r="G24" s="82" t="s">
        <v>55</v>
      </c>
      <c r="H24" s="83">
        <v>46035</v>
      </c>
      <c r="I24" s="77" t="s">
        <v>728</v>
      </c>
      <c r="J24" s="77"/>
      <c r="K24" s="77"/>
      <c r="L24" s="77"/>
    </row>
    <row r="25" spans="1:12">
      <c r="A25" s="79">
        <v>10230</v>
      </c>
      <c r="B25" s="80" t="s">
        <v>502</v>
      </c>
      <c r="C25" s="81">
        <v>45824</v>
      </c>
      <c r="D25" s="77">
        <v>7</v>
      </c>
      <c r="E25" s="77" t="s">
        <v>723</v>
      </c>
      <c r="F25" s="77" t="s">
        <v>729</v>
      </c>
      <c r="G25" s="82" t="s">
        <v>55</v>
      </c>
      <c r="H25" s="83">
        <v>46017</v>
      </c>
      <c r="I25" s="77" t="s">
        <v>728</v>
      </c>
      <c r="J25" s="77"/>
      <c r="K25" s="77"/>
      <c r="L25" s="77"/>
    </row>
    <row r="26" spans="1:12">
      <c r="A26" s="79">
        <v>10236</v>
      </c>
      <c r="B26" s="80" t="s">
        <v>513</v>
      </c>
      <c r="C26" s="81">
        <v>45733</v>
      </c>
      <c r="D26" s="77" t="s">
        <v>704</v>
      </c>
      <c r="E26" s="77" t="s">
        <v>707</v>
      </c>
      <c r="F26" s="77" t="s">
        <v>704</v>
      </c>
      <c r="G26" s="82" t="s">
        <v>55</v>
      </c>
      <c r="H26" s="83">
        <v>46053</v>
      </c>
      <c r="I26" s="77" t="s">
        <v>728</v>
      </c>
      <c r="J26" s="77"/>
      <c r="K26" s="77"/>
      <c r="L26" s="77"/>
    </row>
    <row r="27" spans="1:12">
      <c r="A27" s="79">
        <v>10243</v>
      </c>
      <c r="B27" s="80" t="s">
        <v>526</v>
      </c>
      <c r="C27" s="81">
        <v>45712</v>
      </c>
      <c r="D27" s="77">
        <v>3.5</v>
      </c>
      <c r="E27" s="77" t="s">
        <v>730</v>
      </c>
      <c r="F27" s="77" t="s">
        <v>731</v>
      </c>
      <c r="G27" s="82" t="s">
        <v>55</v>
      </c>
      <c r="H27" s="83">
        <v>46114</v>
      </c>
      <c r="I27" s="77" t="s">
        <v>728</v>
      </c>
      <c r="J27" s="77"/>
      <c r="K27" s="77"/>
      <c r="L27" s="77"/>
    </row>
    <row r="28" spans="1:12">
      <c r="A28" s="84">
        <v>10250</v>
      </c>
      <c r="B28" s="80" t="s">
        <v>547</v>
      </c>
      <c r="C28" s="81">
        <v>45750</v>
      </c>
      <c r="D28" s="77" t="s">
        <v>704</v>
      </c>
      <c r="E28" s="77" t="s">
        <v>732</v>
      </c>
      <c r="F28" s="77" t="s">
        <v>704</v>
      </c>
      <c r="G28" s="82" t="s">
        <v>55</v>
      </c>
      <c r="H28" s="83">
        <v>46017</v>
      </c>
      <c r="I28" s="77" t="s">
        <v>728</v>
      </c>
      <c r="J28" s="77"/>
      <c r="K28" s="77"/>
      <c r="L28" s="77"/>
    </row>
    <row r="29" spans="1:12">
      <c r="A29" s="79">
        <v>10251</v>
      </c>
      <c r="B29" s="80" t="s">
        <v>548</v>
      </c>
      <c r="C29" s="81">
        <v>45447</v>
      </c>
      <c r="D29" s="77" t="s">
        <v>704</v>
      </c>
      <c r="E29" s="77" t="s">
        <v>733</v>
      </c>
      <c r="F29" s="77" t="s">
        <v>704</v>
      </c>
      <c r="G29" s="82" t="s">
        <v>55</v>
      </c>
      <c r="H29" s="83">
        <v>46003</v>
      </c>
      <c r="I29" s="77" t="s">
        <v>728</v>
      </c>
      <c r="J29" s="77"/>
      <c r="K29" s="77"/>
      <c r="L29" s="77"/>
    </row>
    <row r="30" spans="1:12">
      <c r="A30" s="84">
        <v>10253</v>
      </c>
      <c r="B30" s="80" t="s">
        <v>550</v>
      </c>
      <c r="C30" s="81">
        <v>45524</v>
      </c>
      <c r="D30" s="77" t="s">
        <v>704</v>
      </c>
      <c r="E30" s="77" t="s">
        <v>734</v>
      </c>
      <c r="F30" s="77" t="s">
        <v>704</v>
      </c>
      <c r="G30" s="82" t="s">
        <v>55</v>
      </c>
      <c r="H30" s="83" t="s">
        <v>82</v>
      </c>
      <c r="I30" s="77" t="s">
        <v>728</v>
      </c>
      <c r="J30" s="77"/>
      <c r="K30" s="77"/>
      <c r="L30" s="77"/>
    </row>
    <row r="31" spans="1:12">
      <c r="A31" s="84">
        <v>10289</v>
      </c>
      <c r="B31" s="80" t="s">
        <v>615</v>
      </c>
      <c r="C31" s="81">
        <v>45338</v>
      </c>
      <c r="D31" s="77" t="s">
        <v>704</v>
      </c>
      <c r="E31" s="77" t="s">
        <v>709</v>
      </c>
      <c r="F31" s="77" t="s">
        <v>704</v>
      </c>
      <c r="G31" s="82" t="s">
        <v>55</v>
      </c>
      <c r="H31" s="83">
        <v>46003</v>
      </c>
      <c r="I31" s="77" t="s">
        <v>735</v>
      </c>
      <c r="J31" s="77"/>
      <c r="K31" s="77"/>
      <c r="L31" s="77"/>
    </row>
    <row r="32" spans="1:12">
      <c r="A32" s="84">
        <v>10316</v>
      </c>
      <c r="B32" s="80" t="s">
        <v>668</v>
      </c>
      <c r="C32" s="81">
        <v>45019</v>
      </c>
      <c r="D32" s="77" t="s">
        <v>704</v>
      </c>
      <c r="E32" s="77" t="s">
        <v>736</v>
      </c>
      <c r="F32" s="77" t="s">
        <v>704</v>
      </c>
      <c r="G32" s="82" t="s">
        <v>55</v>
      </c>
      <c r="H32" s="83" t="s">
        <v>82</v>
      </c>
      <c r="I32" s="77" t="s">
        <v>728</v>
      </c>
      <c r="J32" s="77"/>
      <c r="K32" s="77"/>
      <c r="L32" s="77"/>
    </row>
    <row r="33" spans="1:12">
      <c r="A33" s="77">
        <v>30001</v>
      </c>
      <c r="B33" s="77" t="s">
        <v>737</v>
      </c>
      <c r="C33" s="81">
        <v>44557</v>
      </c>
      <c r="D33" s="77" t="s">
        <v>704</v>
      </c>
      <c r="E33" s="77" t="s">
        <v>738</v>
      </c>
      <c r="F33" s="77" t="s">
        <v>704</v>
      </c>
      <c r="G33" s="82" t="s">
        <v>739</v>
      </c>
      <c r="H33" s="47">
        <v>45866</v>
      </c>
      <c r="I33" s="77" t="s">
        <v>728</v>
      </c>
      <c r="J33" s="77"/>
      <c r="K33" s="77"/>
      <c r="L33" s="77"/>
    </row>
    <row r="34" spans="1:12">
      <c r="A34" s="77">
        <v>30002</v>
      </c>
      <c r="B34" s="77" t="s">
        <v>740</v>
      </c>
      <c r="C34" s="81">
        <v>45854</v>
      </c>
      <c r="D34" s="77" t="s">
        <v>704</v>
      </c>
      <c r="E34" s="77" t="s">
        <v>741</v>
      </c>
      <c r="F34" s="77" t="s">
        <v>704</v>
      </c>
      <c r="G34" s="82" t="s">
        <v>739</v>
      </c>
      <c r="H34" s="47">
        <v>45869</v>
      </c>
      <c r="I34" s="77" t="s">
        <v>728</v>
      </c>
      <c r="J34" s="77"/>
      <c r="K34" s="77"/>
      <c r="L34" s="77"/>
    </row>
    <row r="35" spans="1:12">
      <c r="A35" s="77">
        <v>30003</v>
      </c>
      <c r="B35" s="77" t="s">
        <v>742</v>
      </c>
      <c r="C35" s="81">
        <v>45449</v>
      </c>
      <c r="D35" s="77" t="s">
        <v>704</v>
      </c>
      <c r="E35" s="77" t="s">
        <v>743</v>
      </c>
      <c r="F35" s="77" t="s">
        <v>704</v>
      </c>
      <c r="G35" s="82" t="s">
        <v>739</v>
      </c>
      <c r="H35" s="47">
        <v>45870</v>
      </c>
      <c r="I35" s="77" t="s">
        <v>744</v>
      </c>
      <c r="J35" s="77"/>
      <c r="K35" s="77"/>
      <c r="L35" s="77"/>
    </row>
    <row r="36" spans="1:12">
      <c r="A36" s="77">
        <v>30004</v>
      </c>
      <c r="B36" s="77" t="s">
        <v>745</v>
      </c>
      <c r="C36" s="81">
        <v>45439</v>
      </c>
      <c r="D36" s="77" t="s">
        <v>704</v>
      </c>
      <c r="E36" s="77" t="s">
        <v>712</v>
      </c>
      <c r="F36" s="77" t="s">
        <v>704</v>
      </c>
      <c r="G36" s="82" t="s">
        <v>739</v>
      </c>
      <c r="H36" s="47">
        <v>45877</v>
      </c>
      <c r="I36" s="77" t="s">
        <v>744</v>
      </c>
      <c r="J36" s="77"/>
      <c r="K36" s="77"/>
      <c r="L36" s="77"/>
    </row>
    <row r="37" spans="1:12">
      <c r="A37" s="77">
        <v>30005</v>
      </c>
      <c r="B37" s="77" t="s">
        <v>746</v>
      </c>
      <c r="C37" s="81">
        <v>45712</v>
      </c>
      <c r="D37" s="77">
        <v>11.8</v>
      </c>
      <c r="E37" s="77" t="s">
        <v>730</v>
      </c>
      <c r="F37" s="77" t="s">
        <v>747</v>
      </c>
      <c r="G37" s="82" t="s">
        <v>739</v>
      </c>
      <c r="H37" s="47">
        <v>45880</v>
      </c>
      <c r="I37" s="77" t="s">
        <v>744</v>
      </c>
      <c r="J37" s="77"/>
      <c r="K37" s="77"/>
      <c r="L37" s="77"/>
    </row>
    <row r="38" spans="1:12">
      <c r="A38" s="77">
        <v>30006</v>
      </c>
      <c r="B38" s="77" t="s">
        <v>748</v>
      </c>
      <c r="C38" s="81">
        <v>45845</v>
      </c>
      <c r="D38" s="77" t="s">
        <v>704</v>
      </c>
      <c r="E38" s="77" t="s">
        <v>749</v>
      </c>
      <c r="F38" s="77" t="s">
        <v>704</v>
      </c>
      <c r="G38" s="82" t="s">
        <v>739</v>
      </c>
      <c r="H38" s="47">
        <v>45880</v>
      </c>
      <c r="I38" s="77" t="s">
        <v>744</v>
      </c>
      <c r="J38" s="77"/>
      <c r="K38" s="77"/>
      <c r="L38" s="77"/>
    </row>
    <row r="39" spans="1:12">
      <c r="A39" s="77">
        <v>30007</v>
      </c>
      <c r="B39" s="77" t="s">
        <v>750</v>
      </c>
      <c r="C39" s="81">
        <v>45873</v>
      </c>
      <c r="D39" s="77" t="s">
        <v>704</v>
      </c>
      <c r="E39" s="77" t="s">
        <v>751</v>
      </c>
      <c r="F39" s="77" t="s">
        <v>704</v>
      </c>
      <c r="G39" s="82" t="s">
        <v>739</v>
      </c>
      <c r="H39" s="47">
        <v>45880</v>
      </c>
      <c r="I39" s="77" t="s">
        <v>744</v>
      </c>
      <c r="J39" s="77"/>
      <c r="K39" s="77"/>
      <c r="L39" s="77"/>
    </row>
    <row r="40" spans="1:12">
      <c r="A40" s="77">
        <v>30008</v>
      </c>
      <c r="B40" s="77" t="s">
        <v>752</v>
      </c>
      <c r="C40" s="85"/>
      <c r="D40" s="77"/>
      <c r="E40" s="77"/>
      <c r="F40" s="77"/>
      <c r="G40" s="82" t="s">
        <v>739</v>
      </c>
      <c r="H40" s="47">
        <v>45880</v>
      </c>
      <c r="I40" s="77"/>
      <c r="J40" s="77"/>
      <c r="K40" s="77"/>
      <c r="L40" s="77"/>
    </row>
    <row r="41" spans="1:12">
      <c r="A41" s="77">
        <v>30009</v>
      </c>
      <c r="B41" s="77" t="s">
        <v>753</v>
      </c>
      <c r="C41" s="81">
        <v>45526</v>
      </c>
      <c r="D41" s="77" t="s">
        <v>704</v>
      </c>
      <c r="E41" s="77" t="s">
        <v>754</v>
      </c>
      <c r="F41" s="77" t="s">
        <v>704</v>
      </c>
      <c r="G41" s="82" t="s">
        <v>739</v>
      </c>
      <c r="H41" s="47">
        <v>45881</v>
      </c>
      <c r="I41" s="77" t="s">
        <v>744</v>
      </c>
      <c r="J41" s="77"/>
      <c r="K41" s="77"/>
      <c r="L41" s="77"/>
    </row>
    <row r="42" spans="1:12">
      <c r="A42" s="77">
        <v>30010</v>
      </c>
      <c r="B42" s="77" t="s">
        <v>755</v>
      </c>
      <c r="C42" s="81">
        <v>45537</v>
      </c>
      <c r="D42" s="77">
        <v>3.7</v>
      </c>
      <c r="E42" s="77" t="s">
        <v>726</v>
      </c>
      <c r="F42" s="77" t="s">
        <v>756</v>
      </c>
      <c r="G42" s="82" t="s">
        <v>739</v>
      </c>
      <c r="H42" s="47">
        <v>45881</v>
      </c>
      <c r="I42" s="77" t="s">
        <v>744</v>
      </c>
      <c r="J42" s="77"/>
      <c r="K42" s="77"/>
      <c r="L42" s="77"/>
    </row>
    <row r="43" spans="1:12">
      <c r="A43" s="77">
        <v>30011</v>
      </c>
      <c r="B43" s="77" t="s">
        <v>757</v>
      </c>
      <c r="C43" s="81">
        <v>45362</v>
      </c>
      <c r="D43" s="77" t="s">
        <v>704</v>
      </c>
      <c r="E43" s="77" t="s">
        <v>693</v>
      </c>
      <c r="F43" s="77" t="s">
        <v>704</v>
      </c>
      <c r="G43" s="82" t="s">
        <v>739</v>
      </c>
      <c r="H43" s="47">
        <v>45883</v>
      </c>
      <c r="I43" s="77" t="s">
        <v>744</v>
      </c>
      <c r="J43" s="77"/>
      <c r="K43" s="77"/>
      <c r="L43" s="77"/>
    </row>
    <row r="44" spans="1:12">
      <c r="A44" s="77">
        <v>30012</v>
      </c>
      <c r="B44" s="77" t="s">
        <v>758</v>
      </c>
      <c r="C44" s="81">
        <v>45729</v>
      </c>
      <c r="D44" s="77" t="s">
        <v>704</v>
      </c>
      <c r="E44" s="77" t="s">
        <v>726</v>
      </c>
      <c r="F44" s="77" t="s">
        <v>704</v>
      </c>
      <c r="G44" s="82" t="s">
        <v>739</v>
      </c>
      <c r="H44" s="47">
        <v>45883</v>
      </c>
      <c r="I44" s="77" t="s">
        <v>744</v>
      </c>
      <c r="J44" s="77"/>
      <c r="K44" s="77"/>
      <c r="L44" s="77"/>
    </row>
    <row r="45" spans="1:12">
      <c r="A45" s="77">
        <v>30013</v>
      </c>
      <c r="B45" s="77" t="s">
        <v>759</v>
      </c>
      <c r="C45" s="85"/>
      <c r="D45" s="77"/>
      <c r="E45" s="77"/>
      <c r="F45" s="77"/>
      <c r="G45" s="82" t="s">
        <v>739</v>
      </c>
      <c r="H45" s="47">
        <v>45888</v>
      </c>
      <c r="I45" s="77"/>
      <c r="J45" s="77"/>
      <c r="K45" s="77"/>
      <c r="L45" s="77"/>
    </row>
    <row r="46" spans="1:12">
      <c r="A46" s="77">
        <v>30014</v>
      </c>
      <c r="B46" s="77" t="s">
        <v>760</v>
      </c>
      <c r="C46" s="81">
        <v>45383</v>
      </c>
      <c r="D46" s="77">
        <v>9.1</v>
      </c>
      <c r="E46" s="77" t="s">
        <v>695</v>
      </c>
      <c r="F46" s="77" t="s">
        <v>761</v>
      </c>
      <c r="G46" s="82" t="s">
        <v>739</v>
      </c>
      <c r="H46" s="47">
        <v>45891</v>
      </c>
      <c r="I46" s="77" t="s">
        <v>744</v>
      </c>
      <c r="J46" s="77"/>
      <c r="K46" s="77"/>
      <c r="L46" s="77"/>
    </row>
    <row r="47" spans="1:12">
      <c r="A47" s="77">
        <v>30015</v>
      </c>
      <c r="B47" s="77" t="s">
        <v>762</v>
      </c>
      <c r="C47" s="81">
        <v>45749</v>
      </c>
      <c r="D47" s="77">
        <v>2.6</v>
      </c>
      <c r="E47" s="77" t="s">
        <v>726</v>
      </c>
      <c r="F47" s="77" t="s">
        <v>763</v>
      </c>
      <c r="G47" s="82" t="s">
        <v>739</v>
      </c>
      <c r="H47" s="47">
        <v>45891</v>
      </c>
      <c r="I47" s="77" t="s">
        <v>744</v>
      </c>
      <c r="J47" s="77"/>
      <c r="K47" s="77"/>
      <c r="L47" s="77"/>
    </row>
    <row r="48" spans="1:12">
      <c r="A48" s="77">
        <v>30016</v>
      </c>
      <c r="B48" s="77" t="s">
        <v>764</v>
      </c>
      <c r="C48" s="81">
        <v>45594</v>
      </c>
      <c r="D48" s="77">
        <v>7</v>
      </c>
      <c r="E48" s="77" t="s">
        <v>765</v>
      </c>
      <c r="F48" s="77" t="s">
        <v>704</v>
      </c>
      <c r="G48" s="82" t="s">
        <v>739</v>
      </c>
      <c r="H48" s="47">
        <v>45898</v>
      </c>
      <c r="I48" s="77" t="s">
        <v>704</v>
      </c>
      <c r="J48" s="77"/>
      <c r="K48" s="77"/>
      <c r="L48" s="77"/>
    </row>
    <row r="49" spans="1:12">
      <c r="A49" s="77">
        <v>30017</v>
      </c>
      <c r="B49" s="77" t="s">
        <v>766</v>
      </c>
      <c r="C49" s="81">
        <v>45677</v>
      </c>
      <c r="D49" s="77" t="s">
        <v>704</v>
      </c>
      <c r="E49" s="77" t="s">
        <v>704</v>
      </c>
      <c r="F49" s="77" t="s">
        <v>767</v>
      </c>
      <c r="G49" s="82" t="s">
        <v>739</v>
      </c>
      <c r="H49" s="47">
        <v>45898</v>
      </c>
      <c r="I49" s="77" t="s">
        <v>744</v>
      </c>
      <c r="J49" s="77"/>
      <c r="K49" s="77"/>
      <c r="L49" s="77"/>
    </row>
    <row r="50" spans="1:12">
      <c r="A50" s="77">
        <v>30018</v>
      </c>
      <c r="B50" s="77" t="s">
        <v>768</v>
      </c>
      <c r="C50" s="81">
        <v>45698</v>
      </c>
      <c r="D50" s="77" t="s">
        <v>704</v>
      </c>
      <c r="E50" s="77" t="s">
        <v>704</v>
      </c>
      <c r="F50" s="77" t="s">
        <v>769</v>
      </c>
      <c r="G50" s="82" t="s">
        <v>739</v>
      </c>
      <c r="H50" s="47">
        <v>45898</v>
      </c>
      <c r="I50" s="77" t="s">
        <v>744</v>
      </c>
      <c r="J50" s="77"/>
      <c r="K50" s="77"/>
      <c r="L50" s="77"/>
    </row>
    <row r="51" spans="1:12">
      <c r="A51" s="77">
        <v>30019</v>
      </c>
      <c r="B51" s="77" t="s">
        <v>770</v>
      </c>
      <c r="C51" s="81">
        <v>45827</v>
      </c>
      <c r="D51" s="77" t="s">
        <v>704</v>
      </c>
      <c r="E51" s="77" t="s">
        <v>771</v>
      </c>
      <c r="F51" s="77" t="s">
        <v>704</v>
      </c>
      <c r="G51" s="82" t="s">
        <v>739</v>
      </c>
      <c r="H51" s="47">
        <v>45898</v>
      </c>
      <c r="I51" s="77" t="s">
        <v>744</v>
      </c>
      <c r="J51" s="77"/>
      <c r="K51" s="77"/>
      <c r="L51" s="77"/>
    </row>
    <row r="52" spans="1:12">
      <c r="A52" s="77">
        <v>30020</v>
      </c>
      <c r="B52" s="77" t="s">
        <v>772</v>
      </c>
      <c r="C52" s="85"/>
      <c r="D52" s="77"/>
      <c r="E52" s="77"/>
      <c r="F52" s="77"/>
      <c r="G52" s="82" t="s">
        <v>739</v>
      </c>
      <c r="H52" s="47">
        <v>45898</v>
      </c>
      <c r="I52" s="77"/>
      <c r="J52" s="77"/>
      <c r="K52" s="77"/>
      <c r="L52" s="77"/>
    </row>
    <row r="53" spans="1:12">
      <c r="A53" s="77">
        <v>30021</v>
      </c>
      <c r="B53" s="77" t="s">
        <v>773</v>
      </c>
      <c r="C53" s="85"/>
      <c r="D53" s="77"/>
      <c r="E53" s="77"/>
      <c r="F53" s="77"/>
      <c r="G53" s="82" t="s">
        <v>739</v>
      </c>
      <c r="H53" s="47">
        <v>45900</v>
      </c>
      <c r="I53" s="77"/>
      <c r="J53" s="77"/>
      <c r="K53" s="77"/>
      <c r="L53" s="77"/>
    </row>
    <row r="54" spans="1:12">
      <c r="A54" s="77">
        <v>30022</v>
      </c>
      <c r="B54" s="77" t="s">
        <v>774</v>
      </c>
      <c r="C54" s="85"/>
      <c r="D54" s="77"/>
      <c r="E54" s="77"/>
      <c r="F54" s="77"/>
      <c r="G54" s="82" t="s">
        <v>739</v>
      </c>
      <c r="H54" s="47">
        <v>45900</v>
      </c>
      <c r="I54" s="77"/>
      <c r="J54" s="77"/>
      <c r="K54" s="77"/>
      <c r="L54" s="77"/>
    </row>
    <row r="55" spans="1:12">
      <c r="A55" s="77">
        <v>30023</v>
      </c>
      <c r="B55" s="77" t="s">
        <v>775</v>
      </c>
      <c r="C55" s="85"/>
      <c r="D55" s="77"/>
      <c r="E55" s="77"/>
      <c r="F55" s="77"/>
      <c r="G55" s="82" t="s">
        <v>739</v>
      </c>
      <c r="H55" s="47">
        <v>45902</v>
      </c>
      <c r="I55" s="77"/>
      <c r="J55" s="77"/>
      <c r="K55" s="77"/>
      <c r="L55" s="77"/>
    </row>
    <row r="56" spans="1:12">
      <c r="A56" s="77">
        <v>30024</v>
      </c>
      <c r="B56" s="77" t="s">
        <v>776</v>
      </c>
      <c r="C56" s="81">
        <v>44725</v>
      </c>
      <c r="D56" s="77" t="s">
        <v>704</v>
      </c>
      <c r="E56" s="77" t="s">
        <v>777</v>
      </c>
      <c r="F56" s="77" t="s">
        <v>704</v>
      </c>
      <c r="G56" s="82" t="s">
        <v>739</v>
      </c>
      <c r="H56" s="47">
        <v>45904</v>
      </c>
      <c r="I56" s="77" t="s">
        <v>744</v>
      </c>
      <c r="J56" s="77"/>
      <c r="K56" s="77"/>
      <c r="L56" s="77"/>
    </row>
    <row r="57" spans="1:12">
      <c r="A57" s="77">
        <v>30025</v>
      </c>
      <c r="B57" s="77" t="s">
        <v>778</v>
      </c>
      <c r="C57" s="81">
        <v>45663</v>
      </c>
      <c r="D57" s="77" t="s">
        <v>704</v>
      </c>
      <c r="E57" s="77" t="s">
        <v>779</v>
      </c>
      <c r="F57" s="77" t="s">
        <v>704</v>
      </c>
      <c r="G57" s="82" t="s">
        <v>739</v>
      </c>
      <c r="H57" s="47">
        <v>45905</v>
      </c>
      <c r="I57" s="77" t="s">
        <v>780</v>
      </c>
      <c r="J57" s="77"/>
      <c r="K57" s="77"/>
      <c r="L57" s="77"/>
    </row>
    <row r="58" spans="1:12">
      <c r="A58" s="77">
        <v>30026</v>
      </c>
      <c r="B58" s="77" t="s">
        <v>781</v>
      </c>
      <c r="C58" s="85"/>
      <c r="D58" s="77"/>
      <c r="E58" s="77"/>
      <c r="F58" s="77"/>
      <c r="G58" s="82" t="s">
        <v>739</v>
      </c>
      <c r="H58" s="47">
        <v>45911</v>
      </c>
      <c r="I58" s="77"/>
      <c r="J58" s="77"/>
      <c r="K58" s="77"/>
      <c r="L58" s="77"/>
    </row>
    <row r="59" spans="1:12">
      <c r="A59" s="77">
        <v>30027</v>
      </c>
      <c r="B59" s="77" t="s">
        <v>782</v>
      </c>
      <c r="C59" s="85"/>
      <c r="D59" s="77"/>
      <c r="E59" s="77"/>
      <c r="F59" s="77"/>
      <c r="G59" s="82" t="s">
        <v>739</v>
      </c>
      <c r="H59" s="47">
        <v>45912</v>
      </c>
      <c r="I59" s="77"/>
      <c r="J59" s="77"/>
      <c r="K59" s="77"/>
      <c r="L59" s="77"/>
    </row>
    <row r="60" spans="1:12">
      <c r="A60" s="77">
        <v>30028</v>
      </c>
      <c r="B60" s="77" t="s">
        <v>783</v>
      </c>
      <c r="C60" s="81">
        <v>45474</v>
      </c>
      <c r="D60" s="77" t="s">
        <v>704</v>
      </c>
      <c r="E60" s="77" t="s">
        <v>695</v>
      </c>
      <c r="F60" s="77" t="s">
        <v>784</v>
      </c>
      <c r="G60" s="82" t="s">
        <v>739</v>
      </c>
      <c r="H60" s="47">
        <v>45912</v>
      </c>
      <c r="I60" s="77" t="s">
        <v>744</v>
      </c>
      <c r="J60" s="77"/>
      <c r="K60" s="77"/>
      <c r="L60" s="77"/>
    </row>
    <row r="61" spans="1:12">
      <c r="A61" s="77">
        <v>30029</v>
      </c>
      <c r="B61" s="77" t="s">
        <v>785</v>
      </c>
      <c r="C61" s="81">
        <v>45798</v>
      </c>
      <c r="D61" s="77" t="s">
        <v>704</v>
      </c>
      <c r="E61" s="77" t="s">
        <v>786</v>
      </c>
      <c r="F61" s="77" t="s">
        <v>704</v>
      </c>
      <c r="G61" s="82" t="s">
        <v>739</v>
      </c>
      <c r="H61" s="47">
        <v>45914</v>
      </c>
      <c r="I61" s="77" t="s">
        <v>780</v>
      </c>
      <c r="J61" s="77"/>
      <c r="K61" s="77"/>
      <c r="L61" s="77"/>
    </row>
    <row r="62" spans="1:12">
      <c r="A62" s="77">
        <v>30030</v>
      </c>
      <c r="B62" s="77" t="s">
        <v>787</v>
      </c>
      <c r="C62" s="85"/>
      <c r="D62" s="77"/>
      <c r="E62" s="77"/>
      <c r="F62" s="77"/>
      <c r="G62" s="82" t="s">
        <v>739</v>
      </c>
      <c r="H62" s="47">
        <v>45916</v>
      </c>
      <c r="I62" s="77"/>
      <c r="J62" s="77"/>
      <c r="K62" s="77"/>
      <c r="L62" s="77"/>
    </row>
    <row r="63" spans="1:12">
      <c r="A63" s="77">
        <v>30031</v>
      </c>
      <c r="B63" s="77" t="s">
        <v>788</v>
      </c>
      <c r="C63" s="81">
        <v>45761</v>
      </c>
      <c r="D63" s="77" t="s">
        <v>704</v>
      </c>
      <c r="E63" s="77" t="s">
        <v>789</v>
      </c>
      <c r="F63" s="77" t="s">
        <v>704</v>
      </c>
      <c r="G63" s="82" t="s">
        <v>739</v>
      </c>
      <c r="H63" s="47">
        <v>45916</v>
      </c>
      <c r="I63" s="77" t="s">
        <v>780</v>
      </c>
      <c r="J63" s="77"/>
      <c r="K63" s="77"/>
      <c r="L63" s="77"/>
    </row>
    <row r="64" spans="1:12">
      <c r="A64" s="77">
        <v>30032</v>
      </c>
      <c r="B64" s="77" t="s">
        <v>790</v>
      </c>
      <c r="C64" s="81">
        <v>43493</v>
      </c>
      <c r="D64" s="77">
        <v>8.1999999999999993</v>
      </c>
      <c r="E64" s="77" t="s">
        <v>726</v>
      </c>
      <c r="F64" s="77" t="s">
        <v>791</v>
      </c>
      <c r="G64" s="82" t="s">
        <v>739</v>
      </c>
      <c r="H64" s="47">
        <v>45919</v>
      </c>
      <c r="I64" s="77" t="s">
        <v>780</v>
      </c>
      <c r="J64" s="77"/>
      <c r="K64" s="77"/>
      <c r="L64" s="77"/>
    </row>
    <row r="65" spans="1:12">
      <c r="A65" s="77">
        <v>30033</v>
      </c>
      <c r="B65" s="77" t="s">
        <v>792</v>
      </c>
      <c r="C65" s="81">
        <v>45665</v>
      </c>
      <c r="D65" s="77" t="s">
        <v>704</v>
      </c>
      <c r="E65" s="77" t="s">
        <v>793</v>
      </c>
      <c r="F65" s="77" t="s">
        <v>704</v>
      </c>
      <c r="G65" s="82" t="s">
        <v>739</v>
      </c>
      <c r="H65" s="47">
        <v>45919</v>
      </c>
      <c r="I65" s="77" t="s">
        <v>794</v>
      </c>
      <c r="J65" s="77"/>
      <c r="K65" s="77"/>
      <c r="L65" s="77"/>
    </row>
    <row r="66" spans="1:12">
      <c r="A66" s="77">
        <v>30034</v>
      </c>
      <c r="B66" s="77" t="s">
        <v>795</v>
      </c>
      <c r="C66" s="81">
        <v>45748</v>
      </c>
      <c r="D66" s="77">
        <v>3.9</v>
      </c>
      <c r="E66" s="77" t="s">
        <v>709</v>
      </c>
      <c r="F66" s="77" t="s">
        <v>709</v>
      </c>
      <c r="G66" s="82" t="s">
        <v>739</v>
      </c>
      <c r="H66" s="47">
        <v>45919</v>
      </c>
      <c r="I66" s="77" t="s">
        <v>780</v>
      </c>
      <c r="J66" s="77"/>
      <c r="K66" s="77"/>
      <c r="L66" s="77"/>
    </row>
    <row r="67" spans="1:12">
      <c r="A67" s="77">
        <v>30035</v>
      </c>
      <c r="B67" s="77" t="s">
        <v>796</v>
      </c>
      <c r="C67" s="85"/>
      <c r="D67" s="77"/>
      <c r="E67" s="77"/>
      <c r="F67" s="77"/>
      <c r="G67" s="82" t="s">
        <v>739</v>
      </c>
      <c r="H67" s="47">
        <v>45922</v>
      </c>
      <c r="I67" s="77"/>
      <c r="J67" s="77"/>
      <c r="K67" s="77"/>
      <c r="L67" s="77"/>
    </row>
    <row r="68" spans="1:12">
      <c r="A68" s="77">
        <v>30036</v>
      </c>
      <c r="B68" s="77" t="s">
        <v>797</v>
      </c>
      <c r="C68" s="81">
        <v>45628</v>
      </c>
      <c r="D68" s="77" t="s">
        <v>704</v>
      </c>
      <c r="E68" s="77" t="s">
        <v>798</v>
      </c>
      <c r="F68" s="77" t="s">
        <v>704</v>
      </c>
      <c r="G68" s="82" t="s">
        <v>739</v>
      </c>
      <c r="H68" s="47">
        <v>45922</v>
      </c>
      <c r="I68" s="77" t="s">
        <v>780</v>
      </c>
      <c r="J68" s="77"/>
      <c r="K68" s="77"/>
      <c r="L68" s="77"/>
    </row>
    <row r="69" spans="1:12">
      <c r="A69" s="77">
        <v>30037</v>
      </c>
      <c r="B69" s="77" t="s">
        <v>799</v>
      </c>
      <c r="C69" s="81">
        <v>45720</v>
      </c>
      <c r="D69" s="77">
        <v>3</v>
      </c>
      <c r="E69" s="77" t="s">
        <v>800</v>
      </c>
      <c r="F69" s="77" t="s">
        <v>800</v>
      </c>
      <c r="G69" s="82" t="s">
        <v>739</v>
      </c>
      <c r="H69" s="47">
        <v>45924</v>
      </c>
      <c r="I69" s="77" t="s">
        <v>780</v>
      </c>
      <c r="J69" s="77"/>
      <c r="K69" s="77"/>
      <c r="L69" s="77"/>
    </row>
    <row r="70" spans="1:12">
      <c r="A70" s="77">
        <v>30038</v>
      </c>
      <c r="B70" s="77" t="s">
        <v>801</v>
      </c>
      <c r="C70" s="81">
        <v>44795</v>
      </c>
      <c r="D70" s="77" t="s">
        <v>704</v>
      </c>
      <c r="E70" s="77" t="s">
        <v>802</v>
      </c>
      <c r="F70" s="77" t="s">
        <v>704</v>
      </c>
      <c r="G70" s="82" t="s">
        <v>739</v>
      </c>
      <c r="H70" s="47">
        <v>45926</v>
      </c>
      <c r="I70" s="77" t="s">
        <v>780</v>
      </c>
      <c r="J70" s="77"/>
      <c r="K70" s="77"/>
      <c r="L70" s="77"/>
    </row>
    <row r="71" spans="1:12">
      <c r="A71" s="77">
        <v>30039</v>
      </c>
      <c r="B71" s="77" t="s">
        <v>803</v>
      </c>
      <c r="C71" s="85"/>
      <c r="D71" s="77"/>
      <c r="E71" s="77"/>
      <c r="F71" s="77"/>
      <c r="G71" s="82" t="s">
        <v>739</v>
      </c>
      <c r="H71" s="47">
        <v>45926</v>
      </c>
      <c r="I71" s="77" t="s">
        <v>780</v>
      </c>
      <c r="J71" s="77"/>
      <c r="K71" s="77"/>
      <c r="L71" s="77"/>
    </row>
    <row r="72" spans="1:12">
      <c r="A72" s="77">
        <v>30040</v>
      </c>
      <c r="B72" s="77" t="s">
        <v>804</v>
      </c>
      <c r="C72" s="81">
        <v>45467</v>
      </c>
      <c r="D72" s="77" t="s">
        <v>704</v>
      </c>
      <c r="E72" s="77" t="s">
        <v>726</v>
      </c>
      <c r="F72" s="77" t="s">
        <v>805</v>
      </c>
      <c r="G72" s="82" t="s">
        <v>739</v>
      </c>
      <c r="H72" s="47">
        <v>45926</v>
      </c>
      <c r="I72" s="77" t="s">
        <v>780</v>
      </c>
      <c r="J72" s="77"/>
      <c r="K72" s="77"/>
      <c r="L72" s="77"/>
    </row>
    <row r="73" spans="1:12">
      <c r="A73" s="77">
        <v>30041</v>
      </c>
      <c r="B73" s="77" t="s">
        <v>806</v>
      </c>
      <c r="C73" s="81">
        <v>45649</v>
      </c>
      <c r="D73" s="77">
        <v>3.4</v>
      </c>
      <c r="E73" s="77" t="s">
        <v>730</v>
      </c>
      <c r="F73" s="77" t="s">
        <v>704</v>
      </c>
      <c r="G73" s="82" t="s">
        <v>739</v>
      </c>
      <c r="H73" s="47">
        <v>45926</v>
      </c>
      <c r="I73" s="77" t="s">
        <v>704</v>
      </c>
      <c r="J73" s="77"/>
      <c r="K73" s="77"/>
      <c r="L73" s="77"/>
    </row>
    <row r="74" spans="1:12">
      <c r="A74" s="77">
        <v>30042</v>
      </c>
      <c r="B74" s="77" t="s">
        <v>807</v>
      </c>
      <c r="C74" s="81">
        <v>45670</v>
      </c>
      <c r="D74" s="77">
        <v>6.8</v>
      </c>
      <c r="E74" s="77" t="s">
        <v>808</v>
      </c>
      <c r="F74" s="77" t="s">
        <v>809</v>
      </c>
      <c r="G74" s="82" t="s">
        <v>739</v>
      </c>
      <c r="H74" s="47">
        <v>45926</v>
      </c>
      <c r="I74" s="77"/>
      <c r="J74" s="77"/>
      <c r="K74" s="77"/>
      <c r="L74" s="77"/>
    </row>
    <row r="75" spans="1:12">
      <c r="A75" s="77">
        <v>30043</v>
      </c>
      <c r="B75" s="77" t="s">
        <v>810</v>
      </c>
      <c r="C75" s="81">
        <v>45789</v>
      </c>
      <c r="D75" s="77" t="s">
        <v>704</v>
      </c>
      <c r="E75" s="77" t="s">
        <v>704</v>
      </c>
      <c r="F75" s="77" t="s">
        <v>811</v>
      </c>
      <c r="G75" s="82" t="s">
        <v>739</v>
      </c>
      <c r="H75" s="47">
        <v>45926</v>
      </c>
      <c r="I75" s="77" t="s">
        <v>780</v>
      </c>
      <c r="J75" s="77"/>
      <c r="K75" s="77"/>
      <c r="L75" s="77"/>
    </row>
    <row r="76" spans="1:12">
      <c r="A76" s="77">
        <v>30044</v>
      </c>
      <c r="B76" s="77" t="s">
        <v>812</v>
      </c>
      <c r="C76" s="81">
        <v>45000</v>
      </c>
      <c r="D76" s="77" t="s">
        <v>704</v>
      </c>
      <c r="E76" s="77" t="s">
        <v>704</v>
      </c>
      <c r="F76" s="77" t="s">
        <v>813</v>
      </c>
      <c r="G76" s="82" t="s">
        <v>739</v>
      </c>
      <c r="H76" s="47">
        <v>45929</v>
      </c>
      <c r="I76" s="77" t="s">
        <v>780</v>
      </c>
      <c r="J76" s="77"/>
      <c r="K76" s="77"/>
      <c r="L76" s="77"/>
    </row>
    <row r="77" spans="1:12">
      <c r="A77" s="77">
        <v>30045</v>
      </c>
      <c r="B77" s="77" t="s">
        <v>814</v>
      </c>
      <c r="C77" s="81">
        <v>45782</v>
      </c>
      <c r="D77" s="77" t="s">
        <v>704</v>
      </c>
      <c r="E77" s="77" t="s">
        <v>815</v>
      </c>
      <c r="F77" s="77" t="s">
        <v>704</v>
      </c>
      <c r="G77" s="82" t="s">
        <v>739</v>
      </c>
      <c r="H77" s="47">
        <v>45929</v>
      </c>
      <c r="I77" s="77" t="s">
        <v>780</v>
      </c>
      <c r="J77" s="77"/>
      <c r="K77" s="77"/>
      <c r="L77" s="77"/>
    </row>
    <row r="78" spans="1:12">
      <c r="A78" s="77">
        <v>30046</v>
      </c>
      <c r="B78" s="77" t="s">
        <v>816</v>
      </c>
      <c r="C78" s="81">
        <v>45541</v>
      </c>
      <c r="D78" s="77" t="s">
        <v>704</v>
      </c>
      <c r="E78" s="77" t="s">
        <v>817</v>
      </c>
      <c r="F78" s="77" t="s">
        <v>704</v>
      </c>
      <c r="G78" s="82" t="s">
        <v>739</v>
      </c>
      <c r="H78" s="47">
        <v>45930</v>
      </c>
      <c r="I78" s="77" t="s">
        <v>794</v>
      </c>
      <c r="J78" s="77" t="s">
        <v>818</v>
      </c>
      <c r="K78" s="77"/>
      <c r="L78" s="77"/>
    </row>
    <row r="79" spans="1:12">
      <c r="A79" s="77">
        <v>30047</v>
      </c>
      <c r="B79" s="77" t="s">
        <v>819</v>
      </c>
      <c r="C79" s="85"/>
      <c r="D79" s="77"/>
      <c r="E79" s="77"/>
      <c r="F79" s="77"/>
      <c r="G79" s="82" t="s">
        <v>739</v>
      </c>
      <c r="H79" s="47">
        <v>45930</v>
      </c>
      <c r="I79" s="77" t="s">
        <v>780</v>
      </c>
      <c r="J79" s="77"/>
      <c r="K79" s="77"/>
      <c r="L79" s="77"/>
    </row>
    <row r="80" spans="1:12">
      <c r="A80" s="77">
        <v>30048</v>
      </c>
      <c r="B80" s="77" t="s">
        <v>820</v>
      </c>
      <c r="C80" s="81">
        <v>45278</v>
      </c>
      <c r="D80" s="77" t="s">
        <v>704</v>
      </c>
      <c r="E80" s="77" t="s">
        <v>726</v>
      </c>
      <c r="F80" s="77" t="s">
        <v>821</v>
      </c>
      <c r="G80" s="82" t="s">
        <v>739</v>
      </c>
      <c r="H80" s="47">
        <v>45936</v>
      </c>
      <c r="I80" s="77" t="s">
        <v>822</v>
      </c>
      <c r="J80" s="77"/>
      <c r="K80" s="77"/>
      <c r="L80" s="77"/>
    </row>
    <row r="81" spans="1:12">
      <c r="A81" s="77">
        <v>30049</v>
      </c>
      <c r="B81" s="77" t="s">
        <v>823</v>
      </c>
      <c r="C81" s="81">
        <v>45036</v>
      </c>
      <c r="D81" s="77">
        <v>5.0999999999999996</v>
      </c>
      <c r="E81" s="77" t="s">
        <v>709</v>
      </c>
      <c r="F81" s="77" t="s">
        <v>824</v>
      </c>
      <c r="G81" s="82" t="s">
        <v>739</v>
      </c>
      <c r="H81" s="47">
        <v>45937</v>
      </c>
      <c r="I81" s="77" t="s">
        <v>794</v>
      </c>
      <c r="J81" s="77"/>
      <c r="K81" s="77"/>
      <c r="L81" s="77"/>
    </row>
    <row r="82" spans="1:12">
      <c r="A82" s="77">
        <v>30050</v>
      </c>
      <c r="B82" s="77" t="s">
        <v>825</v>
      </c>
      <c r="C82" s="81">
        <v>45264</v>
      </c>
      <c r="D82" s="77" t="s">
        <v>704</v>
      </c>
      <c r="E82" s="77" t="s">
        <v>826</v>
      </c>
      <c r="F82" s="77" t="s">
        <v>704</v>
      </c>
      <c r="G82" s="82" t="s">
        <v>739</v>
      </c>
      <c r="H82" s="47">
        <v>45937</v>
      </c>
      <c r="I82" s="77" t="s">
        <v>822</v>
      </c>
      <c r="J82" s="77"/>
      <c r="K82" s="77"/>
      <c r="L82" s="77"/>
    </row>
    <row r="83" spans="1:12">
      <c r="A83" s="77">
        <v>30051</v>
      </c>
      <c r="B83" s="77" t="s">
        <v>827</v>
      </c>
      <c r="C83" s="81">
        <v>45159</v>
      </c>
      <c r="D83" s="77" t="s">
        <v>704</v>
      </c>
      <c r="E83" s="77" t="s">
        <v>707</v>
      </c>
      <c r="F83" s="77" t="s">
        <v>704</v>
      </c>
      <c r="G83" s="82" t="s">
        <v>739</v>
      </c>
      <c r="H83" s="47">
        <v>45938</v>
      </c>
      <c r="I83" s="77" t="s">
        <v>822</v>
      </c>
      <c r="J83" s="77"/>
      <c r="K83" s="77"/>
      <c r="L83" s="77"/>
    </row>
    <row r="84" spans="1:12">
      <c r="A84" s="77">
        <v>30052</v>
      </c>
      <c r="B84" s="77" t="s">
        <v>828</v>
      </c>
      <c r="C84" s="85"/>
      <c r="D84" s="77"/>
      <c r="E84" s="77"/>
      <c r="F84" s="77"/>
      <c r="G84" s="82" t="s">
        <v>739</v>
      </c>
      <c r="H84" s="47">
        <v>45940</v>
      </c>
      <c r="I84" s="77"/>
      <c r="J84" s="77"/>
      <c r="K84" s="77"/>
      <c r="L84" s="77"/>
    </row>
    <row r="85" spans="1:12">
      <c r="A85" s="77">
        <v>30053</v>
      </c>
      <c r="B85" s="77" t="s">
        <v>829</v>
      </c>
      <c r="C85" s="85"/>
      <c r="D85" s="77"/>
      <c r="E85" s="77"/>
      <c r="F85" s="77"/>
      <c r="G85" s="82" t="s">
        <v>739</v>
      </c>
      <c r="H85" s="47">
        <v>45947</v>
      </c>
      <c r="I85" s="77"/>
      <c r="J85" s="77"/>
      <c r="K85" s="77"/>
      <c r="L85" s="77"/>
    </row>
    <row r="86" spans="1:12">
      <c r="A86" s="77">
        <v>30054</v>
      </c>
      <c r="B86" s="77" t="s">
        <v>830</v>
      </c>
      <c r="C86" s="85"/>
      <c r="D86" s="77"/>
      <c r="E86" s="77"/>
      <c r="F86" s="77"/>
      <c r="G86" s="82" t="s">
        <v>739</v>
      </c>
      <c r="H86" s="47">
        <v>45954</v>
      </c>
      <c r="I86" s="77"/>
      <c r="J86" s="77" t="s">
        <v>818</v>
      </c>
      <c r="K86" s="77"/>
      <c r="L86" s="77"/>
    </row>
    <row r="87" spans="1:12">
      <c r="A87" s="77">
        <v>30055</v>
      </c>
      <c r="B87" s="77" t="s">
        <v>831</v>
      </c>
      <c r="C87" s="85"/>
      <c r="D87" s="77"/>
      <c r="E87" s="77"/>
      <c r="F87" s="77"/>
      <c r="G87" s="82" t="s">
        <v>739</v>
      </c>
      <c r="H87" s="47">
        <v>45954</v>
      </c>
      <c r="I87" s="77"/>
      <c r="J87" s="77" t="s">
        <v>832</v>
      </c>
      <c r="K87" s="77"/>
      <c r="L87" s="77"/>
    </row>
    <row r="88" spans="1:12">
      <c r="A88" s="77">
        <v>30056</v>
      </c>
      <c r="B88" s="77" t="s">
        <v>833</v>
      </c>
      <c r="C88" s="77"/>
      <c r="D88" s="77"/>
      <c r="E88" s="77"/>
      <c r="F88" s="77"/>
      <c r="G88" s="82" t="s">
        <v>739</v>
      </c>
      <c r="H88" s="47">
        <v>45954</v>
      </c>
      <c r="I88" s="77"/>
      <c r="J88" s="77"/>
      <c r="K88" s="77"/>
      <c r="L88" s="77"/>
    </row>
    <row r="89" spans="1:12">
      <c r="A89" s="77">
        <v>30057</v>
      </c>
      <c r="B89" s="77" t="s">
        <v>834</v>
      </c>
      <c r="C89" s="81">
        <v>44837</v>
      </c>
      <c r="D89" s="77" t="s">
        <v>704</v>
      </c>
      <c r="E89" s="77" t="s">
        <v>738</v>
      </c>
      <c r="F89" s="77" t="s">
        <v>704</v>
      </c>
      <c r="G89" s="82" t="s">
        <v>739</v>
      </c>
      <c r="H89" s="47">
        <v>45959</v>
      </c>
      <c r="I89" s="77" t="s">
        <v>822</v>
      </c>
      <c r="J89" s="77" t="s">
        <v>835</v>
      </c>
      <c r="K89" s="77"/>
      <c r="L89" s="77"/>
    </row>
    <row r="90" spans="1:12">
      <c r="A90" s="77">
        <v>30058</v>
      </c>
      <c r="B90" s="77" t="s">
        <v>836</v>
      </c>
      <c r="C90" s="85"/>
      <c r="D90" s="77"/>
      <c r="E90" s="77"/>
      <c r="F90" s="77"/>
      <c r="G90" s="82" t="s">
        <v>739</v>
      </c>
      <c r="H90" s="47">
        <v>45959</v>
      </c>
      <c r="I90" s="77"/>
      <c r="J90" s="77"/>
      <c r="K90" s="77"/>
      <c r="L90" s="77"/>
    </row>
    <row r="91" spans="1:12">
      <c r="A91" s="77">
        <v>30059</v>
      </c>
      <c r="B91" s="77" t="s">
        <v>837</v>
      </c>
      <c r="C91" s="81">
        <v>45572</v>
      </c>
      <c r="D91" s="77" t="s">
        <v>704</v>
      </c>
      <c r="E91" s="77" t="s">
        <v>838</v>
      </c>
      <c r="F91" s="77" t="s">
        <v>704</v>
      </c>
      <c r="G91" s="82" t="s">
        <v>739</v>
      </c>
      <c r="H91" s="47">
        <v>45961</v>
      </c>
      <c r="I91" s="77" t="s">
        <v>780</v>
      </c>
      <c r="J91" s="77" t="s">
        <v>839</v>
      </c>
      <c r="K91" s="77"/>
      <c r="L91" s="77"/>
    </row>
    <row r="92" spans="1:12">
      <c r="A92" s="77">
        <v>30060</v>
      </c>
      <c r="B92" s="77" t="s">
        <v>840</v>
      </c>
      <c r="C92" s="81">
        <v>45271</v>
      </c>
      <c r="D92" s="77" t="s">
        <v>704</v>
      </c>
      <c r="E92" s="77" t="s">
        <v>841</v>
      </c>
      <c r="F92" s="77" t="s">
        <v>704</v>
      </c>
      <c r="G92" s="82" t="s">
        <v>739</v>
      </c>
      <c r="H92" s="47">
        <v>45961</v>
      </c>
      <c r="I92" s="77" t="s">
        <v>822</v>
      </c>
      <c r="J92" s="77"/>
      <c r="K92" s="77"/>
      <c r="L92" s="77"/>
    </row>
    <row r="93" spans="1:12">
      <c r="A93" s="77">
        <v>30061</v>
      </c>
      <c r="B93" s="77" t="s">
        <v>842</v>
      </c>
      <c r="C93" s="81">
        <v>44935</v>
      </c>
      <c r="D93" s="77" t="s">
        <v>704</v>
      </c>
      <c r="E93" s="77" t="s">
        <v>709</v>
      </c>
      <c r="F93" s="77" t="s">
        <v>843</v>
      </c>
      <c r="G93" s="82" t="s">
        <v>739</v>
      </c>
      <c r="H93" s="47">
        <v>45919</v>
      </c>
      <c r="I93" s="77" t="s">
        <v>822</v>
      </c>
      <c r="J93" s="77" t="s">
        <v>844</v>
      </c>
      <c r="K93" s="77"/>
      <c r="L93" s="77"/>
    </row>
    <row r="94" spans="1:12">
      <c r="A94" s="77">
        <v>30062</v>
      </c>
      <c r="B94" s="77" t="s">
        <v>845</v>
      </c>
      <c r="C94" s="81">
        <v>45412</v>
      </c>
      <c r="D94" s="77">
        <v>7</v>
      </c>
      <c r="E94" s="77" t="s">
        <v>709</v>
      </c>
      <c r="F94" s="77" t="s">
        <v>846</v>
      </c>
      <c r="G94" s="82" t="s">
        <v>739</v>
      </c>
      <c r="H94" s="47">
        <v>45919</v>
      </c>
      <c r="I94" s="77" t="s">
        <v>794</v>
      </c>
      <c r="J94" s="77" t="s">
        <v>847</v>
      </c>
      <c r="K94" s="77"/>
      <c r="L94" s="77"/>
    </row>
    <row r="95" spans="1:12">
      <c r="A95" s="77">
        <v>30063</v>
      </c>
      <c r="B95" s="77" t="s">
        <v>848</v>
      </c>
      <c r="C95" s="85"/>
      <c r="D95" s="77"/>
      <c r="E95" s="77"/>
      <c r="F95" s="77"/>
      <c r="G95" s="82" t="s">
        <v>739</v>
      </c>
      <c r="H95" s="47">
        <v>45919</v>
      </c>
      <c r="I95" s="77"/>
      <c r="J95" s="77" t="s">
        <v>849</v>
      </c>
      <c r="K95" s="77"/>
      <c r="L95" s="77"/>
    </row>
    <row r="96" spans="1:12">
      <c r="A96" s="77">
        <v>30064</v>
      </c>
      <c r="B96" s="77" t="s">
        <v>850</v>
      </c>
      <c r="C96" s="77"/>
      <c r="D96" s="77"/>
      <c r="E96" s="77"/>
      <c r="F96" s="77"/>
      <c r="G96" s="82" t="s">
        <v>739</v>
      </c>
      <c r="H96" s="47">
        <v>45922</v>
      </c>
      <c r="I96" s="77"/>
      <c r="J96" s="77"/>
      <c r="K96" s="77"/>
      <c r="L96" s="77"/>
    </row>
    <row r="97" spans="1:12">
      <c r="A97" s="77">
        <v>30065</v>
      </c>
      <c r="B97" s="77" t="s">
        <v>851</v>
      </c>
      <c r="C97" s="77"/>
      <c r="D97" s="77"/>
      <c r="E97" s="77"/>
      <c r="F97" s="77"/>
      <c r="G97" s="82" t="s">
        <v>739</v>
      </c>
      <c r="H97" s="47">
        <v>45922</v>
      </c>
      <c r="I97" s="77"/>
      <c r="J97" s="77"/>
      <c r="K97" s="77"/>
      <c r="L97" s="77"/>
    </row>
    <row r="98" spans="1:12">
      <c r="A98" s="77">
        <v>30066</v>
      </c>
      <c r="B98" s="77" t="s">
        <v>852</v>
      </c>
      <c r="C98" s="85"/>
      <c r="D98" s="77"/>
      <c r="E98" s="77"/>
      <c r="F98" s="77"/>
      <c r="G98" s="82" t="s">
        <v>739</v>
      </c>
      <c r="H98" s="47">
        <v>45924</v>
      </c>
      <c r="I98" s="77"/>
      <c r="J98" s="77" t="s">
        <v>853</v>
      </c>
      <c r="K98" s="77"/>
      <c r="L98" s="77"/>
    </row>
    <row r="99" spans="1:12">
      <c r="A99" s="77">
        <v>30067</v>
      </c>
      <c r="B99" s="77" t="s">
        <v>854</v>
      </c>
      <c r="C99" s="85"/>
      <c r="D99" s="77"/>
      <c r="E99" s="77"/>
      <c r="F99" s="77"/>
      <c r="G99" s="82" t="s">
        <v>739</v>
      </c>
      <c r="H99" s="47">
        <v>45926</v>
      </c>
      <c r="I99" s="77"/>
      <c r="J99" s="86" t="s">
        <v>704</v>
      </c>
      <c r="K99" s="77"/>
      <c r="L99" s="77"/>
    </row>
    <row r="100" spans="1:12">
      <c r="A100" s="77">
        <v>30068</v>
      </c>
      <c r="B100" s="77" t="s">
        <v>855</v>
      </c>
      <c r="C100" s="85"/>
      <c r="D100" s="77"/>
      <c r="E100" s="77"/>
      <c r="F100" s="77"/>
      <c r="G100" s="82" t="s">
        <v>739</v>
      </c>
      <c r="H100" s="47">
        <v>45926</v>
      </c>
      <c r="I100" s="77"/>
      <c r="J100" s="77" t="s">
        <v>856</v>
      </c>
      <c r="K100" s="77"/>
      <c r="L100" s="77"/>
    </row>
    <row r="101" spans="1:12">
      <c r="A101" s="77">
        <v>30069</v>
      </c>
      <c r="B101" s="77" t="s">
        <v>857</v>
      </c>
      <c r="C101" s="85"/>
      <c r="D101" s="77"/>
      <c r="E101" s="77"/>
      <c r="F101" s="77"/>
      <c r="G101" s="82" t="s">
        <v>739</v>
      </c>
      <c r="H101" s="47">
        <v>45926</v>
      </c>
      <c r="I101" s="77"/>
      <c r="J101" s="77"/>
      <c r="K101" s="77"/>
      <c r="L101" s="77"/>
    </row>
    <row r="102" spans="1:12">
      <c r="A102" s="77">
        <v>30070</v>
      </c>
      <c r="B102" s="77" t="s">
        <v>858</v>
      </c>
      <c r="C102" s="85"/>
      <c r="D102" s="77"/>
      <c r="E102" s="77"/>
      <c r="F102" s="77"/>
      <c r="G102" s="82" t="s">
        <v>739</v>
      </c>
      <c r="H102" s="47">
        <v>45926</v>
      </c>
      <c r="I102" s="77"/>
      <c r="J102" s="77"/>
      <c r="K102" s="77"/>
      <c r="L102" s="77"/>
    </row>
    <row r="103" spans="1:12">
      <c r="A103" s="77">
        <v>30071</v>
      </c>
      <c r="B103" s="77" t="s">
        <v>859</v>
      </c>
      <c r="C103" s="81">
        <v>45167</v>
      </c>
      <c r="D103" s="77" t="s">
        <v>704</v>
      </c>
      <c r="E103" s="77" t="s">
        <v>860</v>
      </c>
      <c r="F103" s="77" t="s">
        <v>704</v>
      </c>
      <c r="G103" s="82" t="s">
        <v>739</v>
      </c>
      <c r="H103" s="47">
        <v>45926</v>
      </c>
      <c r="I103" s="77" t="s">
        <v>794</v>
      </c>
      <c r="J103" s="77"/>
      <c r="K103" s="77"/>
      <c r="L103" s="77"/>
    </row>
    <row r="104" spans="1:12">
      <c r="A104" s="77">
        <v>30072</v>
      </c>
      <c r="B104" s="77" t="s">
        <v>861</v>
      </c>
      <c r="C104" s="81">
        <v>45252</v>
      </c>
      <c r="D104" s="77" t="s">
        <v>704</v>
      </c>
      <c r="E104" s="77" t="s">
        <v>784</v>
      </c>
      <c r="F104" s="77" t="s">
        <v>704</v>
      </c>
      <c r="G104" s="82" t="s">
        <v>739</v>
      </c>
      <c r="H104" s="47">
        <v>45926</v>
      </c>
      <c r="I104" s="77" t="s">
        <v>794</v>
      </c>
      <c r="J104" s="77" t="s">
        <v>862</v>
      </c>
      <c r="K104" s="77"/>
      <c r="L104" s="77"/>
    </row>
    <row r="105" spans="1:12">
      <c r="A105" s="77">
        <v>30073</v>
      </c>
      <c r="B105" s="77" t="s">
        <v>863</v>
      </c>
      <c r="C105" s="85"/>
      <c r="D105" s="77"/>
      <c r="E105" s="77"/>
      <c r="F105" s="77"/>
      <c r="G105" s="82" t="s">
        <v>739</v>
      </c>
      <c r="H105" s="47">
        <v>45929</v>
      </c>
      <c r="I105" s="77"/>
      <c r="J105" s="77" t="s">
        <v>864</v>
      </c>
      <c r="K105" s="77"/>
      <c r="L105" s="77"/>
    </row>
    <row r="106" spans="1:12">
      <c r="A106" s="77">
        <v>30074</v>
      </c>
      <c r="B106" s="77" t="s">
        <v>865</v>
      </c>
      <c r="C106" s="85"/>
      <c r="D106" s="77"/>
      <c r="E106" s="77"/>
      <c r="F106" s="77"/>
      <c r="G106" s="82" t="s">
        <v>739</v>
      </c>
      <c r="H106" s="47">
        <v>45929</v>
      </c>
      <c r="I106" s="77"/>
      <c r="J106" s="77" t="s">
        <v>866</v>
      </c>
      <c r="K106" s="77"/>
      <c r="L106" s="77"/>
    </row>
    <row r="107" spans="1:12">
      <c r="A107" s="77">
        <v>30075</v>
      </c>
      <c r="B107" s="77" t="s">
        <v>867</v>
      </c>
      <c r="C107" s="81">
        <v>45371</v>
      </c>
      <c r="D107" s="77" t="s">
        <v>704</v>
      </c>
      <c r="E107" s="77" t="s">
        <v>709</v>
      </c>
      <c r="F107" s="77" t="s">
        <v>709</v>
      </c>
      <c r="G107" s="82" t="s">
        <v>739</v>
      </c>
      <c r="H107" s="47">
        <v>45930</v>
      </c>
      <c r="I107" s="77" t="s">
        <v>704</v>
      </c>
      <c r="J107" s="77"/>
      <c r="K107" s="77" t="s">
        <v>868</v>
      </c>
      <c r="L107" s="77"/>
    </row>
    <row r="108" spans="1:12">
      <c r="A108" s="77">
        <v>30076</v>
      </c>
      <c r="B108" s="77" t="s">
        <v>869</v>
      </c>
      <c r="C108" s="85"/>
      <c r="D108" s="77"/>
      <c r="E108" s="77"/>
      <c r="F108" s="77"/>
      <c r="G108" s="82" t="s">
        <v>739</v>
      </c>
      <c r="H108" s="47">
        <v>45930</v>
      </c>
      <c r="I108" s="77"/>
      <c r="J108" s="77" t="s">
        <v>870</v>
      </c>
      <c r="K108" s="77" t="s">
        <v>871</v>
      </c>
      <c r="L108" s="77"/>
    </row>
    <row r="109" spans="1:12">
      <c r="A109" s="77">
        <v>30077</v>
      </c>
      <c r="B109" s="77" t="s">
        <v>872</v>
      </c>
      <c r="C109" s="85"/>
      <c r="D109" s="77"/>
      <c r="E109" s="77"/>
      <c r="F109" s="77"/>
      <c r="G109" s="82" t="s">
        <v>739</v>
      </c>
      <c r="H109" s="47">
        <v>45936</v>
      </c>
      <c r="I109" s="77"/>
      <c r="J109" s="77" t="s">
        <v>873</v>
      </c>
      <c r="K109" s="77" t="s">
        <v>868</v>
      </c>
      <c r="L109" s="77" t="s">
        <v>874</v>
      </c>
    </row>
    <row r="110" spans="1:12">
      <c r="A110" s="77">
        <v>30078</v>
      </c>
      <c r="B110" s="77" t="s">
        <v>875</v>
      </c>
      <c r="C110" s="85"/>
      <c r="D110" s="77"/>
      <c r="E110" s="77"/>
      <c r="F110" s="77"/>
      <c r="G110" s="82" t="s">
        <v>739</v>
      </c>
      <c r="H110" s="47">
        <v>45937</v>
      </c>
      <c r="I110" s="77"/>
      <c r="J110" s="77" t="s">
        <v>853</v>
      </c>
      <c r="K110" s="77" t="s">
        <v>871</v>
      </c>
      <c r="L110" s="77"/>
    </row>
    <row r="111" spans="1:12">
      <c r="A111" s="77">
        <v>30079</v>
      </c>
      <c r="B111" s="77" t="s">
        <v>876</v>
      </c>
      <c r="C111" s="77"/>
      <c r="D111" s="77"/>
      <c r="E111" s="77"/>
      <c r="F111" s="77"/>
      <c r="G111" s="82" t="s">
        <v>739</v>
      </c>
      <c r="H111" s="47">
        <v>45919</v>
      </c>
      <c r="I111" s="77"/>
      <c r="J111" s="77"/>
      <c r="K111" s="77" t="s">
        <v>871</v>
      </c>
      <c r="L111" s="77"/>
    </row>
    <row r="112" spans="1:12">
      <c r="A112" s="77">
        <v>30080</v>
      </c>
      <c r="B112" s="77" t="s">
        <v>877</v>
      </c>
      <c r="C112" s="77"/>
      <c r="D112" s="77"/>
      <c r="E112" s="77"/>
      <c r="F112" s="77"/>
      <c r="G112" s="82" t="s">
        <v>739</v>
      </c>
      <c r="H112" s="47">
        <v>45919</v>
      </c>
      <c r="I112" s="77"/>
      <c r="J112" s="77"/>
      <c r="K112" s="77" t="s">
        <v>868</v>
      </c>
      <c r="L112" s="77"/>
    </row>
    <row r="113" spans="1:12">
      <c r="A113" s="77">
        <v>30081</v>
      </c>
      <c r="B113" s="77" t="s">
        <v>878</v>
      </c>
      <c r="C113" s="85"/>
      <c r="D113" s="77"/>
      <c r="E113" s="77"/>
      <c r="F113" s="77"/>
      <c r="G113" s="82" t="s">
        <v>739</v>
      </c>
      <c r="H113" s="47">
        <v>45919</v>
      </c>
      <c r="I113" s="77"/>
      <c r="J113" s="77" t="s">
        <v>879</v>
      </c>
      <c r="K113" s="77" t="s">
        <v>868</v>
      </c>
      <c r="L113" s="77"/>
    </row>
    <row r="114" spans="1:12">
      <c r="A114" s="77">
        <v>30082</v>
      </c>
      <c r="B114" s="77" t="s">
        <v>880</v>
      </c>
      <c r="C114" s="85"/>
      <c r="D114" s="77"/>
      <c r="E114" s="77"/>
      <c r="F114" s="77"/>
      <c r="G114" s="82" t="s">
        <v>739</v>
      </c>
      <c r="H114" s="47">
        <v>45922</v>
      </c>
      <c r="I114" s="77"/>
      <c r="J114" s="77"/>
      <c r="K114" s="77" t="s">
        <v>868</v>
      </c>
      <c r="L114" s="77"/>
    </row>
    <row r="115" spans="1:12">
      <c r="A115" s="77">
        <v>30083</v>
      </c>
      <c r="B115" s="77" t="s">
        <v>881</v>
      </c>
      <c r="C115" s="85"/>
      <c r="D115" s="77"/>
      <c r="E115" s="77"/>
      <c r="F115" s="77"/>
      <c r="G115" s="82" t="s">
        <v>739</v>
      </c>
      <c r="H115" s="47">
        <v>45922</v>
      </c>
      <c r="I115" s="77"/>
      <c r="J115" s="77" t="s">
        <v>882</v>
      </c>
      <c r="K115" s="77" t="s">
        <v>871</v>
      </c>
      <c r="L115" s="77"/>
    </row>
    <row r="116" spans="1:12">
      <c r="A116" s="77">
        <v>30084</v>
      </c>
      <c r="B116" s="77" t="s">
        <v>883</v>
      </c>
      <c r="C116" s="85"/>
      <c r="D116" s="77"/>
      <c r="E116" s="77"/>
      <c r="F116" s="77"/>
      <c r="G116" s="82" t="s">
        <v>739</v>
      </c>
      <c r="H116" s="47">
        <v>45924</v>
      </c>
      <c r="I116" s="77"/>
      <c r="J116" s="77" t="s">
        <v>884</v>
      </c>
      <c r="K116" s="77" t="s">
        <v>871</v>
      </c>
      <c r="L116" s="77"/>
    </row>
    <row r="117" spans="1:12">
      <c r="A117" s="77">
        <v>30085</v>
      </c>
      <c r="B117" s="77" t="s">
        <v>885</v>
      </c>
      <c r="C117" s="85"/>
      <c r="D117" s="77"/>
      <c r="E117" s="77"/>
      <c r="F117" s="77"/>
      <c r="G117" s="82" t="s">
        <v>739</v>
      </c>
      <c r="H117" s="47">
        <v>45926</v>
      </c>
      <c r="I117" s="77"/>
      <c r="J117" s="77" t="s">
        <v>886</v>
      </c>
      <c r="K117" s="77" t="s">
        <v>868</v>
      </c>
      <c r="L117" s="77"/>
    </row>
    <row r="118" spans="1:12">
      <c r="A118" s="77">
        <v>30086</v>
      </c>
      <c r="B118" s="77" t="s">
        <v>887</v>
      </c>
      <c r="C118" s="85"/>
      <c r="D118" s="77"/>
      <c r="E118" s="77"/>
      <c r="F118" s="77"/>
      <c r="G118" s="82" t="s">
        <v>739</v>
      </c>
      <c r="H118" s="47">
        <v>45926</v>
      </c>
      <c r="I118" s="77"/>
      <c r="J118" s="77" t="s">
        <v>888</v>
      </c>
      <c r="K118" s="77" t="s">
        <v>868</v>
      </c>
      <c r="L118" s="77"/>
    </row>
    <row r="119" spans="1:12">
      <c r="A119" s="77">
        <v>30087</v>
      </c>
      <c r="B119" s="77" t="s">
        <v>889</v>
      </c>
      <c r="C119" s="77"/>
      <c r="D119" s="77"/>
      <c r="E119" s="77"/>
      <c r="F119" s="77"/>
      <c r="G119" s="82" t="s">
        <v>739</v>
      </c>
      <c r="H119" s="47">
        <v>45926</v>
      </c>
      <c r="I119" s="77"/>
      <c r="J119" s="77"/>
      <c r="K119" s="77"/>
      <c r="L119" s="77"/>
    </row>
    <row r="120" spans="1:12">
      <c r="A120" s="77">
        <v>30088</v>
      </c>
      <c r="B120" s="77" t="s">
        <v>890</v>
      </c>
      <c r="C120" s="77"/>
      <c r="D120" s="77"/>
      <c r="E120" s="77"/>
      <c r="F120" s="77"/>
      <c r="G120" s="82" t="s">
        <v>739</v>
      </c>
      <c r="H120" s="47">
        <v>45926</v>
      </c>
      <c r="I120" s="87"/>
      <c r="J120" s="77"/>
      <c r="K120" s="77"/>
      <c r="L120" s="77"/>
    </row>
    <row r="121" spans="1:12">
      <c r="A121" s="77">
        <v>30089</v>
      </c>
      <c r="B121" s="77" t="s">
        <v>891</v>
      </c>
      <c r="C121" s="77"/>
      <c r="D121" s="77"/>
      <c r="E121" s="77"/>
      <c r="F121" s="77"/>
      <c r="G121" s="82" t="s">
        <v>739</v>
      </c>
      <c r="H121" s="47">
        <v>45926</v>
      </c>
      <c r="I121" s="77"/>
      <c r="J121" s="77"/>
      <c r="K121" s="77" t="s">
        <v>871</v>
      </c>
      <c r="L121" s="77"/>
    </row>
    <row r="122" spans="1:12">
      <c r="A122" s="77">
        <v>30090</v>
      </c>
      <c r="B122" s="77" t="s">
        <v>892</v>
      </c>
      <c r="C122" s="85"/>
      <c r="D122" s="77"/>
      <c r="E122" s="77"/>
      <c r="F122" s="77"/>
      <c r="G122" s="82" t="s">
        <v>739</v>
      </c>
      <c r="H122" s="47">
        <v>45926</v>
      </c>
      <c r="I122" s="77"/>
      <c r="J122" s="77" t="s">
        <v>893</v>
      </c>
      <c r="K122" s="77" t="s">
        <v>871</v>
      </c>
      <c r="L122" s="77"/>
    </row>
    <row r="123" spans="1:12">
      <c r="A123" s="77">
        <v>30091</v>
      </c>
      <c r="B123" s="77" t="s">
        <v>894</v>
      </c>
      <c r="C123" s="85"/>
      <c r="D123" s="77"/>
      <c r="E123" s="77"/>
      <c r="F123" s="77"/>
      <c r="G123" s="82" t="s">
        <v>739</v>
      </c>
      <c r="H123" s="47">
        <v>45929</v>
      </c>
      <c r="I123" s="77"/>
      <c r="J123" s="77" t="s">
        <v>853</v>
      </c>
      <c r="K123" s="77" t="s">
        <v>871</v>
      </c>
      <c r="L123" s="77"/>
    </row>
    <row r="124" spans="1:12">
      <c r="A124" s="77">
        <v>30092</v>
      </c>
      <c r="B124" s="77" t="s">
        <v>895</v>
      </c>
      <c r="C124" s="77"/>
      <c r="D124" s="77"/>
      <c r="E124" s="77"/>
      <c r="F124" s="77"/>
      <c r="G124" s="82" t="s">
        <v>739</v>
      </c>
      <c r="H124" s="47">
        <v>45929</v>
      </c>
      <c r="I124" s="77"/>
      <c r="J124" s="77"/>
      <c r="K124" s="77"/>
      <c r="L124" s="77"/>
    </row>
    <row r="125" spans="1:12">
      <c r="A125" s="77">
        <v>30093</v>
      </c>
      <c r="B125" s="77" t="s">
        <v>896</v>
      </c>
      <c r="C125" s="77"/>
      <c r="D125" s="77"/>
      <c r="E125" s="77"/>
      <c r="F125" s="77"/>
      <c r="G125" s="82" t="s">
        <v>739</v>
      </c>
      <c r="H125" s="47">
        <v>45930</v>
      </c>
      <c r="I125" s="77"/>
      <c r="J125" s="77"/>
      <c r="K125" s="77"/>
      <c r="L125" s="77"/>
    </row>
    <row r="126" spans="1:12">
      <c r="A126" s="77">
        <v>30094</v>
      </c>
      <c r="B126" s="77" t="s">
        <v>897</v>
      </c>
      <c r="C126" s="77"/>
      <c r="D126" s="77"/>
      <c r="E126" s="77"/>
      <c r="F126" s="77"/>
      <c r="G126" s="82" t="s">
        <v>739</v>
      </c>
      <c r="H126" s="47">
        <v>45930</v>
      </c>
      <c r="I126" s="77"/>
      <c r="J126" s="77"/>
      <c r="K126" s="77"/>
      <c r="L126" s="77"/>
    </row>
    <row r="127" spans="1:12">
      <c r="A127" s="77">
        <v>30095</v>
      </c>
      <c r="B127" s="77" t="s">
        <v>898</v>
      </c>
      <c r="C127" s="77"/>
      <c r="D127" s="77"/>
      <c r="E127" s="77"/>
      <c r="F127" s="77"/>
      <c r="G127" s="82" t="s">
        <v>739</v>
      </c>
      <c r="H127" s="47">
        <v>45936</v>
      </c>
      <c r="I127" s="77"/>
      <c r="J127" s="77"/>
      <c r="K127" s="77"/>
      <c r="L127" s="77"/>
    </row>
    <row r="128" spans="1:12">
      <c r="A128" s="77">
        <v>30096</v>
      </c>
      <c r="B128" s="77" t="s">
        <v>899</v>
      </c>
      <c r="C128" s="77"/>
      <c r="D128" s="77"/>
      <c r="E128" s="77"/>
      <c r="F128" s="77"/>
      <c r="G128" s="82" t="s">
        <v>739</v>
      </c>
      <c r="H128" s="47">
        <v>45937</v>
      </c>
      <c r="I128" s="77"/>
      <c r="J128" s="77"/>
      <c r="K128" s="77"/>
      <c r="L128" s="77"/>
    </row>
    <row r="129" spans="1:12">
      <c r="A129" s="77">
        <v>30097</v>
      </c>
      <c r="B129" s="77" t="s">
        <v>900</v>
      </c>
      <c r="C129" s="77"/>
      <c r="D129" s="77"/>
      <c r="E129" s="77"/>
      <c r="F129" s="77"/>
      <c r="G129" s="82" t="s">
        <v>739</v>
      </c>
      <c r="H129" s="47">
        <v>45919</v>
      </c>
      <c r="I129" s="77"/>
      <c r="J129" s="77"/>
      <c r="K129" s="77"/>
      <c r="L129" s="77"/>
    </row>
    <row r="130" spans="1:12">
      <c r="A130" s="77">
        <v>30098</v>
      </c>
      <c r="B130" s="77" t="s">
        <v>901</v>
      </c>
      <c r="C130" s="77"/>
      <c r="D130" s="77"/>
      <c r="E130" s="77"/>
      <c r="F130" s="77"/>
      <c r="G130" s="82" t="s">
        <v>739</v>
      </c>
      <c r="H130" s="47">
        <v>45919</v>
      </c>
      <c r="I130" s="77"/>
      <c r="J130" s="77"/>
      <c r="K130" s="77"/>
      <c r="L130" s="77"/>
    </row>
    <row r="131" spans="1:12">
      <c r="A131" s="77">
        <v>30099</v>
      </c>
      <c r="B131" s="77" t="s">
        <v>902</v>
      </c>
      <c r="C131" s="77"/>
      <c r="D131" s="77"/>
      <c r="E131" s="77"/>
      <c r="F131" s="77"/>
      <c r="G131" s="82" t="s">
        <v>739</v>
      </c>
      <c r="H131" s="47">
        <v>45919</v>
      </c>
      <c r="I131" s="77"/>
      <c r="J131" s="77"/>
      <c r="K131" s="77"/>
      <c r="L131" s="77"/>
    </row>
    <row r="132" spans="1:12">
      <c r="A132" s="77">
        <v>30100</v>
      </c>
      <c r="B132" s="77" t="s">
        <v>903</v>
      </c>
      <c r="C132" s="77"/>
      <c r="D132" s="77"/>
      <c r="E132" s="77"/>
      <c r="F132" s="77"/>
      <c r="G132" s="82" t="s">
        <v>739</v>
      </c>
      <c r="H132" s="47">
        <v>45922</v>
      </c>
      <c r="I132" s="77"/>
      <c r="J132" s="77"/>
      <c r="K132" s="77"/>
      <c r="L132" s="77"/>
    </row>
    <row r="133" spans="1:12">
      <c r="A133" s="77">
        <v>30101</v>
      </c>
      <c r="B133" s="77" t="s">
        <v>904</v>
      </c>
      <c r="C133" s="77"/>
      <c r="D133" s="77"/>
      <c r="E133" s="77"/>
      <c r="F133" s="77"/>
      <c r="G133" s="82" t="s">
        <v>739</v>
      </c>
      <c r="H133" s="47">
        <v>45922</v>
      </c>
      <c r="I133" s="77"/>
      <c r="J133" s="77"/>
      <c r="K133" s="77"/>
      <c r="L133" s="77"/>
    </row>
    <row r="134" spans="1:12">
      <c r="A134" s="77">
        <v>30102</v>
      </c>
      <c r="B134" s="77" t="s">
        <v>905</v>
      </c>
      <c r="C134" s="77"/>
      <c r="D134" s="77"/>
      <c r="E134" s="77"/>
      <c r="F134" s="77"/>
      <c r="G134" s="82" t="s">
        <v>739</v>
      </c>
      <c r="H134" s="47">
        <v>45924</v>
      </c>
      <c r="I134" s="77"/>
      <c r="J134" s="77"/>
      <c r="K134" s="77"/>
      <c r="L134" s="77"/>
    </row>
    <row r="135" spans="1:12">
      <c r="A135" s="77">
        <v>30103</v>
      </c>
      <c r="B135" s="77" t="s">
        <v>906</v>
      </c>
      <c r="C135" s="77"/>
      <c r="D135" s="77"/>
      <c r="E135" s="77"/>
      <c r="F135" s="77"/>
      <c r="G135" s="82" t="s">
        <v>739</v>
      </c>
      <c r="H135" s="47">
        <v>45926</v>
      </c>
      <c r="I135" s="77"/>
      <c r="J135" s="77"/>
      <c r="K135" s="77"/>
      <c r="L135" s="77"/>
    </row>
    <row r="136" spans="1:12">
      <c r="A136" s="77">
        <v>30104</v>
      </c>
      <c r="B136" s="77" t="s">
        <v>907</v>
      </c>
      <c r="C136" s="77"/>
      <c r="D136" s="77"/>
      <c r="E136" s="77"/>
      <c r="F136" s="77"/>
      <c r="G136" s="82" t="s">
        <v>739</v>
      </c>
      <c r="H136" s="47">
        <v>45926</v>
      </c>
      <c r="I136" s="77"/>
      <c r="J136" s="77"/>
      <c r="K136" s="77"/>
      <c r="L136" s="77"/>
    </row>
    <row r="137" spans="1:12">
      <c r="A137" s="77">
        <v>30105</v>
      </c>
      <c r="B137" s="77" t="s">
        <v>908</v>
      </c>
      <c r="C137" s="77"/>
      <c r="D137" s="77"/>
      <c r="E137" s="77"/>
      <c r="F137" s="77"/>
      <c r="G137" s="82" t="s">
        <v>739</v>
      </c>
      <c r="H137" s="47">
        <v>45926</v>
      </c>
      <c r="I137" s="77"/>
      <c r="J137" s="77"/>
      <c r="K137" s="77"/>
      <c r="L137" s="77"/>
    </row>
    <row r="138" spans="1:12">
      <c r="A138" s="77">
        <v>30106</v>
      </c>
      <c r="B138" s="77" t="s">
        <v>909</v>
      </c>
      <c r="C138" s="77"/>
      <c r="D138" s="77"/>
      <c r="E138" s="77"/>
      <c r="F138" s="77"/>
      <c r="G138" s="82" t="s">
        <v>739</v>
      </c>
      <c r="H138" s="47">
        <v>45926</v>
      </c>
      <c r="I138" s="77"/>
      <c r="J138" s="77"/>
      <c r="K138" s="77"/>
      <c r="L138" s="77"/>
    </row>
    <row r="139" spans="1:12">
      <c r="A139" s="77">
        <v>30107</v>
      </c>
      <c r="B139" s="77" t="s">
        <v>910</v>
      </c>
      <c r="C139" s="77"/>
      <c r="D139" s="77"/>
      <c r="E139" s="77"/>
      <c r="F139" s="77"/>
      <c r="G139" s="82" t="s">
        <v>739</v>
      </c>
      <c r="H139" s="47">
        <v>45926</v>
      </c>
      <c r="I139" s="77"/>
      <c r="J139" s="77"/>
      <c r="K139" s="77"/>
      <c r="L139" s="77"/>
    </row>
    <row r="140" spans="1:12">
      <c r="A140" s="77">
        <v>30108</v>
      </c>
      <c r="B140" s="77" t="s">
        <v>911</v>
      </c>
      <c r="C140" s="77"/>
      <c r="D140" s="77"/>
      <c r="E140" s="77"/>
      <c r="F140" s="77"/>
      <c r="G140" s="82" t="s">
        <v>739</v>
      </c>
      <c r="H140" s="47">
        <v>45926</v>
      </c>
      <c r="I140" s="77"/>
      <c r="J140" s="77"/>
      <c r="K140" s="77"/>
      <c r="L140" s="77"/>
    </row>
    <row r="141" spans="1:12">
      <c r="A141" s="77">
        <v>30109</v>
      </c>
      <c r="B141" s="77" t="s">
        <v>912</v>
      </c>
      <c r="C141" s="77"/>
      <c r="D141" s="77"/>
      <c r="E141" s="77"/>
      <c r="F141" s="77"/>
      <c r="G141" s="82" t="s">
        <v>739</v>
      </c>
      <c r="H141" s="47">
        <v>45929</v>
      </c>
      <c r="I141" s="77"/>
      <c r="J141" s="77"/>
      <c r="K141" s="77"/>
      <c r="L141" s="77"/>
    </row>
    <row r="142" spans="1:12">
      <c r="A142" s="77">
        <v>30110</v>
      </c>
      <c r="B142" s="77" t="s">
        <v>913</v>
      </c>
      <c r="C142" s="77"/>
      <c r="D142" s="77"/>
      <c r="E142" s="77"/>
      <c r="F142" s="77"/>
      <c r="G142" s="82" t="s">
        <v>739</v>
      </c>
      <c r="H142" s="47">
        <v>45929</v>
      </c>
      <c r="I142" s="77"/>
      <c r="J142" s="77"/>
      <c r="K142" s="77"/>
      <c r="L142" s="77"/>
    </row>
    <row r="143" spans="1:12">
      <c r="A143" s="77">
        <v>30111</v>
      </c>
      <c r="B143" s="77" t="s">
        <v>914</v>
      </c>
      <c r="C143" s="77"/>
      <c r="D143" s="77"/>
      <c r="E143" s="77"/>
      <c r="F143" s="77"/>
      <c r="G143" s="82" t="s">
        <v>739</v>
      </c>
      <c r="H143" s="47">
        <v>45930</v>
      </c>
      <c r="I143" s="77"/>
      <c r="J143" s="77"/>
      <c r="K143" s="77"/>
      <c r="L143" s="77"/>
    </row>
    <row r="144" spans="1:12">
      <c r="A144" s="77">
        <v>30112</v>
      </c>
      <c r="B144" s="77" t="s">
        <v>915</v>
      </c>
      <c r="C144" s="77"/>
      <c r="D144" s="77"/>
      <c r="E144" s="77"/>
      <c r="F144" s="77"/>
      <c r="G144" s="82" t="s">
        <v>739</v>
      </c>
      <c r="H144" s="47">
        <v>45930</v>
      </c>
      <c r="I144" s="77"/>
      <c r="J144" s="77"/>
      <c r="K144" s="77"/>
      <c r="L144" s="77"/>
    </row>
    <row r="145" spans="1:12">
      <c r="A145" s="77">
        <v>30113</v>
      </c>
      <c r="B145" s="77" t="s">
        <v>916</v>
      </c>
      <c r="C145" s="77"/>
      <c r="D145" s="77"/>
      <c r="E145" s="77"/>
      <c r="F145" s="77"/>
      <c r="G145" s="82" t="s">
        <v>739</v>
      </c>
      <c r="H145" s="47">
        <v>45936</v>
      </c>
      <c r="I145" s="77"/>
      <c r="J145" s="77"/>
      <c r="K145" s="77"/>
      <c r="L145" s="77"/>
    </row>
    <row r="146" spans="1:12">
      <c r="A146" s="77">
        <v>30114</v>
      </c>
      <c r="B146" s="77" t="s">
        <v>917</v>
      </c>
      <c r="C146" s="77"/>
      <c r="D146" s="77"/>
      <c r="E146" s="77"/>
      <c r="F146" s="77"/>
      <c r="G146" s="82" t="s">
        <v>739</v>
      </c>
      <c r="H146" s="47">
        <v>45926</v>
      </c>
      <c r="I146" s="77"/>
      <c r="J146" s="77"/>
      <c r="K146" s="77"/>
      <c r="L146" s="77"/>
    </row>
    <row r="147" spans="1:12">
      <c r="A147" s="77">
        <v>30115</v>
      </c>
      <c r="B147" s="77" t="s">
        <v>918</v>
      </c>
      <c r="C147" s="77"/>
      <c r="D147" s="77"/>
      <c r="E147" s="77"/>
      <c r="F147" s="77"/>
      <c r="G147" s="82" t="s">
        <v>739</v>
      </c>
      <c r="H147" s="47">
        <v>45926</v>
      </c>
      <c r="I147" s="77"/>
      <c r="J147" s="77"/>
      <c r="K147" s="77"/>
      <c r="L147" s="77"/>
    </row>
    <row r="148" spans="1:12">
      <c r="A148" s="77">
        <v>30116</v>
      </c>
      <c r="B148" s="77" t="s">
        <v>919</v>
      </c>
      <c r="C148" s="77"/>
      <c r="D148" s="77"/>
      <c r="E148" s="77"/>
      <c r="F148" s="77"/>
      <c r="G148" s="82" t="s">
        <v>739</v>
      </c>
      <c r="H148" s="47">
        <v>45929</v>
      </c>
      <c r="I148" s="77"/>
      <c r="J148" s="77"/>
      <c r="K148" s="77"/>
      <c r="L148" s="77"/>
    </row>
    <row r="149" spans="1:12">
      <c r="A149" s="77">
        <v>30117</v>
      </c>
      <c r="B149" s="77" t="s">
        <v>920</v>
      </c>
      <c r="C149" s="77"/>
      <c r="D149" s="77"/>
      <c r="E149" s="77"/>
      <c r="F149" s="77"/>
      <c r="G149" s="82" t="s">
        <v>739</v>
      </c>
      <c r="H149" s="47">
        <v>45929</v>
      </c>
      <c r="I149" s="77"/>
      <c r="J149" s="77"/>
      <c r="K149" s="77"/>
      <c r="L149" s="77"/>
    </row>
    <row r="150" spans="1:12">
      <c r="A150" s="77">
        <v>30118</v>
      </c>
      <c r="B150" s="77" t="s">
        <v>921</v>
      </c>
      <c r="C150" s="77"/>
      <c r="D150" s="77"/>
      <c r="E150" s="77"/>
      <c r="F150" s="77"/>
      <c r="G150" s="82" t="s">
        <v>739</v>
      </c>
      <c r="H150" s="47">
        <v>45930</v>
      </c>
      <c r="I150" s="77"/>
      <c r="J150" s="77"/>
      <c r="K150" s="77"/>
      <c r="L150" s="77"/>
    </row>
    <row r="151" spans="1:12">
      <c r="A151" s="77">
        <v>30119</v>
      </c>
      <c r="B151" s="77" t="s">
        <v>922</v>
      </c>
      <c r="C151" s="77"/>
      <c r="D151" s="77"/>
      <c r="E151" s="77"/>
      <c r="F151" s="77"/>
      <c r="G151" s="82" t="s">
        <v>739</v>
      </c>
      <c r="H151" s="47">
        <v>45930</v>
      </c>
      <c r="I151" s="77"/>
      <c r="J151" s="77"/>
      <c r="K151" s="77"/>
      <c r="L151" s="77"/>
    </row>
    <row r="152" spans="1:12">
      <c r="A152" s="77">
        <v>30120</v>
      </c>
      <c r="B152" s="77" t="s">
        <v>923</v>
      </c>
      <c r="C152" s="77"/>
      <c r="D152" s="77"/>
      <c r="E152" s="77"/>
      <c r="F152" s="77"/>
      <c r="G152" s="82" t="s">
        <v>739</v>
      </c>
      <c r="H152" s="47">
        <v>45936</v>
      </c>
      <c r="I152" s="77"/>
      <c r="J152" s="77"/>
      <c r="K152" s="77"/>
      <c r="L152" s="77"/>
    </row>
  </sheetData>
  <conditionalFormatting sqref="A33:A152">
    <cfRule type="duplicateValues" dxfId="36" priority="695"/>
  </conditionalFormatting>
  <conditionalFormatting sqref="A33:A152">
    <cfRule type="duplicateValues" dxfId="35" priority="421"/>
  </conditionalFormatting>
  <conditionalFormatting sqref="A1 A33:A1048576">
    <cfRule type="duplicateValues" dxfId="34" priority="44"/>
  </conditionalFormatting>
  <conditionalFormatting sqref="A1 A33:A1048576">
    <cfRule type="duplicateValues" dxfId="33" priority="27"/>
  </conditionalFormatting>
  <conditionalFormatting sqref="B141:B142">
    <cfRule type="expression" dxfId="32" priority="17">
      <formula>$S141="Yes"</formula>
    </cfRule>
    <cfRule type="expression" dxfId="31" priority="20">
      <formula>$H141="Resigned"</formula>
    </cfRule>
  </conditionalFormatting>
  <conditionalFormatting sqref="B145 B149 A153:B1048576 B152">
    <cfRule type="duplicateValues" dxfId="30" priority="239"/>
  </conditionalFormatting>
  <conditionalFormatting sqref="B137:B139">
    <cfRule type="duplicateValues" dxfId="29" priority="28"/>
  </conditionalFormatting>
  <conditionalFormatting sqref="B142">
    <cfRule type="duplicateValues" dxfId="28" priority="22"/>
  </conditionalFormatting>
  <conditionalFormatting sqref="G1:G1048576">
    <cfRule type="containsText" dxfId="27" priority="59" operator="containsText" text="Relieved">
      <formula>NOT(ISERROR(SEARCH("Relieved",G1)))</formula>
    </cfRule>
    <cfRule type="containsText" dxfId="26" priority="60" operator="containsText" text="Resigned">
      <formula>NOT(ISERROR(SEARCH("Resigned",G1)))</formula>
    </cfRule>
  </conditionalFormatting>
  <conditionalFormatting sqref="A2:A32">
    <cfRule type="duplicateValues" dxfId="25" priority="6"/>
  </conditionalFormatting>
  <conditionalFormatting sqref="A30:A32 A28 A20:A22 A17 A13:A14 A10:A11 A8 A3:A4">
    <cfRule type="expression" dxfId="24" priority="7">
      <formula>$S3="Yes"</formula>
    </cfRule>
  </conditionalFormatting>
  <conditionalFormatting sqref="A2:A10">
    <cfRule type="expression" dxfId="23" priority="5">
      <formula>$S2="Yes"</formula>
    </cfRule>
  </conditionalFormatting>
  <conditionalFormatting sqref="B2:B10">
    <cfRule type="expression" dxfId="22" priority="4">
      <formula>$S2="Yes"</formula>
    </cfRule>
  </conditionalFormatting>
  <conditionalFormatting sqref="A30:A32 A28 A20:A22 A17 A13:A14 A10:A11 A8 A3:A4">
    <cfRule type="duplicateValues" dxfId="21" priority="8"/>
  </conditionalFormatting>
  <conditionalFormatting sqref="A2:A32">
    <cfRule type="duplicateValues" dxfId="20" priority="9"/>
  </conditionalFormatting>
  <conditionalFormatting sqref="A2:A32">
    <cfRule type="duplicateValues" dxfId="19" priority="10"/>
  </conditionalFormatting>
  <conditionalFormatting sqref="A11:B32">
    <cfRule type="expression" dxfId="18" priority="3">
      <formula>$S11="Yes"</formula>
    </cfRule>
  </conditionalFormatting>
  <conditionalFormatting sqref="B31:B32">
    <cfRule type="duplicateValues" dxfId="17" priority="2"/>
  </conditionalFormatting>
  <conditionalFormatting sqref="H2:H32">
    <cfRule type="expression" dxfId="16" priority="1">
      <formula>$S2="Yes"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E1915-768E-4431-B74D-22006949211C}">
  <dimension ref="A1:F393"/>
  <sheetViews>
    <sheetView workbookViewId="0">
      <selection activeCell="B1" sqref="B1"/>
    </sheetView>
  </sheetViews>
  <sheetFormatPr defaultRowHeight="14.45"/>
  <cols>
    <col min="1" max="1" width="9.140625" bestFit="1" customWidth="1"/>
    <col min="2" max="2" width="36.140625" bestFit="1" customWidth="1"/>
    <col min="3" max="3" width="40.7109375" bestFit="1" customWidth="1"/>
    <col min="4" max="4" width="9.140625" style="8" bestFit="1" customWidth="1"/>
    <col min="5" max="5" width="28.7109375" style="8" customWidth="1"/>
    <col min="6" max="6" width="255.7109375" bestFit="1" customWidth="1"/>
  </cols>
  <sheetData>
    <row r="1" spans="1:6">
      <c r="A1" s="39" t="s">
        <v>924</v>
      </c>
      <c r="B1" s="38" t="s">
        <v>925</v>
      </c>
      <c r="C1" s="38" t="s">
        <v>926</v>
      </c>
      <c r="D1" s="38" t="s">
        <v>927</v>
      </c>
      <c r="E1" s="38" t="s">
        <v>928</v>
      </c>
      <c r="F1" s="38" t="s">
        <v>929</v>
      </c>
    </row>
    <row r="2" spans="1:6">
      <c r="A2" s="30">
        <v>10001</v>
      </c>
      <c r="B2" s="74" t="s">
        <v>77</v>
      </c>
      <c r="C2" s="24" t="s">
        <v>754</v>
      </c>
      <c r="D2" s="24" t="s">
        <v>853</v>
      </c>
      <c r="E2" s="1" t="s">
        <v>723</v>
      </c>
      <c r="F2" s="3" t="s">
        <v>930</v>
      </c>
    </row>
    <row r="3" spans="1:6">
      <c r="A3" s="24">
        <v>10002</v>
      </c>
      <c r="B3" s="74" t="s">
        <v>83</v>
      </c>
      <c r="C3" s="24" t="s">
        <v>931</v>
      </c>
      <c r="D3" s="24" t="s">
        <v>932</v>
      </c>
      <c r="E3" s="1" t="s">
        <v>723</v>
      </c>
      <c r="F3" s="3" t="s">
        <v>933</v>
      </c>
    </row>
    <row r="4" spans="1:6">
      <c r="A4" s="24">
        <v>10003</v>
      </c>
      <c r="B4" s="74" t="s">
        <v>86</v>
      </c>
      <c r="C4" s="24" t="s">
        <v>934</v>
      </c>
      <c r="D4" s="24" t="s">
        <v>853</v>
      </c>
      <c r="E4" s="1" t="s">
        <v>723</v>
      </c>
      <c r="F4" s="3" t="s">
        <v>935</v>
      </c>
    </row>
    <row r="5" spans="1:6">
      <c r="A5" s="30">
        <v>10004</v>
      </c>
      <c r="B5" s="74" t="s">
        <v>90</v>
      </c>
      <c r="C5" s="24" t="s">
        <v>931</v>
      </c>
      <c r="D5" s="24" t="s">
        <v>936</v>
      </c>
      <c r="E5" s="1" t="s">
        <v>730</v>
      </c>
      <c r="F5" s="3" t="s">
        <v>937</v>
      </c>
    </row>
    <row r="6" spans="1:6">
      <c r="A6" s="24">
        <v>10005</v>
      </c>
      <c r="B6" s="74" t="s">
        <v>93</v>
      </c>
      <c r="C6" s="24" t="s">
        <v>754</v>
      </c>
      <c r="D6" s="24" t="s">
        <v>866</v>
      </c>
      <c r="E6" s="1" t="s">
        <v>723</v>
      </c>
      <c r="F6" s="3" t="s">
        <v>938</v>
      </c>
    </row>
    <row r="7" spans="1:6">
      <c r="A7" s="24">
        <v>10006</v>
      </c>
      <c r="B7" s="74" t="s">
        <v>98</v>
      </c>
      <c r="C7" s="24" t="s">
        <v>939</v>
      </c>
      <c r="D7" s="24" t="s">
        <v>853</v>
      </c>
      <c r="E7" s="1" t="s">
        <v>723</v>
      </c>
      <c r="F7" s="3" t="s">
        <v>940</v>
      </c>
    </row>
    <row r="8" spans="1:6">
      <c r="A8" s="30">
        <v>10007</v>
      </c>
      <c r="B8" s="74" t="s">
        <v>101</v>
      </c>
      <c r="C8" s="24" t="s">
        <v>941</v>
      </c>
      <c r="D8" s="24" t="s">
        <v>866</v>
      </c>
      <c r="E8" s="1" t="s">
        <v>723</v>
      </c>
      <c r="F8" s="3" t="s">
        <v>942</v>
      </c>
    </row>
    <row r="9" spans="1:6">
      <c r="A9" s="24">
        <v>10008</v>
      </c>
      <c r="B9" s="74" t="s">
        <v>102</v>
      </c>
      <c r="C9" s="24" t="s">
        <v>711</v>
      </c>
      <c r="D9" s="24" t="s">
        <v>853</v>
      </c>
      <c r="E9" s="1" t="s">
        <v>711</v>
      </c>
      <c r="F9" s="3" t="s">
        <v>943</v>
      </c>
    </row>
    <row r="10" spans="1:6">
      <c r="A10" s="24">
        <v>10009</v>
      </c>
      <c r="B10" s="74" t="s">
        <v>105</v>
      </c>
      <c r="C10" s="24" t="s">
        <v>777</v>
      </c>
      <c r="D10" s="24" t="s">
        <v>853</v>
      </c>
      <c r="E10" s="1" t="s">
        <v>723</v>
      </c>
      <c r="F10" s="3" t="s">
        <v>944</v>
      </c>
    </row>
    <row r="11" spans="1:6">
      <c r="A11" s="30">
        <v>10010</v>
      </c>
      <c r="B11" s="74" t="s">
        <v>108</v>
      </c>
      <c r="C11" s="24" t="s">
        <v>931</v>
      </c>
      <c r="D11" s="24" t="s">
        <v>853</v>
      </c>
      <c r="E11" s="1" t="s">
        <v>723</v>
      </c>
      <c r="F11" s="3" t="s">
        <v>945</v>
      </c>
    </row>
    <row r="12" spans="1:6">
      <c r="A12" s="24">
        <v>10011</v>
      </c>
      <c r="B12" s="74" t="s">
        <v>109</v>
      </c>
      <c r="C12" s="24" t="s">
        <v>946</v>
      </c>
      <c r="D12" s="24" t="s">
        <v>853</v>
      </c>
      <c r="E12" s="1" t="s">
        <v>723</v>
      </c>
      <c r="F12" s="3" t="s">
        <v>947</v>
      </c>
    </row>
    <row r="13" spans="1:6">
      <c r="A13" s="24">
        <v>10012</v>
      </c>
      <c r="B13" s="74" t="s">
        <v>112</v>
      </c>
      <c r="C13" s="24" t="s">
        <v>777</v>
      </c>
      <c r="D13" s="24" t="s">
        <v>849</v>
      </c>
      <c r="E13" s="1" t="s">
        <v>723</v>
      </c>
      <c r="F13" s="3" t="s">
        <v>948</v>
      </c>
    </row>
    <row r="14" spans="1:6">
      <c r="A14" s="30">
        <v>10013</v>
      </c>
      <c r="B14" s="74" t="s">
        <v>113</v>
      </c>
      <c r="C14" s="24" t="s">
        <v>843</v>
      </c>
      <c r="D14" s="24" t="s">
        <v>853</v>
      </c>
      <c r="E14" s="1" t="s">
        <v>846</v>
      </c>
      <c r="F14" s="3" t="s">
        <v>949</v>
      </c>
    </row>
    <row r="15" spans="1:6">
      <c r="A15" s="24">
        <v>10014</v>
      </c>
      <c r="B15" s="74" t="s">
        <v>117</v>
      </c>
      <c r="C15" s="24" t="s">
        <v>950</v>
      </c>
      <c r="D15" s="41" t="s">
        <v>951</v>
      </c>
      <c r="E15" s="1" t="s">
        <v>705</v>
      </c>
      <c r="F15" s="3"/>
    </row>
    <row r="16" spans="1:6">
      <c r="A16" s="24">
        <v>10015</v>
      </c>
      <c r="B16" s="74" t="s">
        <v>120</v>
      </c>
      <c r="C16" s="24" t="s">
        <v>798</v>
      </c>
      <c r="D16" s="24" t="s">
        <v>866</v>
      </c>
      <c r="E16" s="1" t="s">
        <v>723</v>
      </c>
      <c r="F16" s="3" t="s">
        <v>952</v>
      </c>
    </row>
    <row r="17" spans="1:6">
      <c r="A17" s="30">
        <v>10016</v>
      </c>
      <c r="B17" s="74" t="s">
        <v>123</v>
      </c>
      <c r="C17" s="24" t="s">
        <v>953</v>
      </c>
      <c r="D17" s="24" t="s">
        <v>954</v>
      </c>
      <c r="E17" s="1" t="s">
        <v>705</v>
      </c>
      <c r="F17" s="3" t="s">
        <v>955</v>
      </c>
    </row>
    <row r="18" spans="1:6">
      <c r="A18" s="24">
        <v>10017</v>
      </c>
      <c r="B18" s="74" t="s">
        <v>126</v>
      </c>
      <c r="C18" s="24" t="s">
        <v>843</v>
      </c>
      <c r="D18" s="24" t="s">
        <v>956</v>
      </c>
      <c r="E18" s="1" t="s">
        <v>957</v>
      </c>
      <c r="F18" s="3" t="s">
        <v>958</v>
      </c>
    </row>
    <row r="19" spans="1:6">
      <c r="A19" s="24">
        <v>10018</v>
      </c>
      <c r="B19" s="74" t="s">
        <v>127</v>
      </c>
      <c r="C19" s="24" t="s">
        <v>959</v>
      </c>
      <c r="D19" s="24" t="s">
        <v>866</v>
      </c>
      <c r="E19" s="1"/>
      <c r="F19" s="3" t="s">
        <v>960</v>
      </c>
    </row>
    <row r="20" spans="1:6">
      <c r="A20" s="30">
        <v>10019</v>
      </c>
      <c r="B20" s="74" t="s">
        <v>128</v>
      </c>
      <c r="C20" s="24" t="s">
        <v>961</v>
      </c>
      <c r="D20" s="24" t="s">
        <v>853</v>
      </c>
      <c r="E20" s="1" t="s">
        <v>723</v>
      </c>
      <c r="F20" s="3" t="s">
        <v>962</v>
      </c>
    </row>
    <row r="21" spans="1:6">
      <c r="A21" s="24">
        <v>10020</v>
      </c>
      <c r="B21" s="74" t="s">
        <v>131</v>
      </c>
      <c r="C21" s="24" t="s">
        <v>817</v>
      </c>
      <c r="D21" s="24" t="s">
        <v>936</v>
      </c>
      <c r="E21" s="1" t="s">
        <v>846</v>
      </c>
      <c r="F21" s="3" t="s">
        <v>963</v>
      </c>
    </row>
    <row r="22" spans="1:6">
      <c r="A22" s="24">
        <v>10021</v>
      </c>
      <c r="B22" s="74" t="s">
        <v>134</v>
      </c>
      <c r="C22" s="24" t="s">
        <v>707</v>
      </c>
      <c r="D22" s="41" t="s">
        <v>964</v>
      </c>
      <c r="E22" s="1"/>
      <c r="F22" s="3"/>
    </row>
    <row r="23" spans="1:6">
      <c r="A23" s="30">
        <v>10022</v>
      </c>
      <c r="B23" s="74" t="s">
        <v>137</v>
      </c>
      <c r="C23" s="24" t="s">
        <v>711</v>
      </c>
      <c r="D23" s="24" t="s">
        <v>954</v>
      </c>
      <c r="E23" s="1"/>
      <c r="F23" s="3" t="s">
        <v>965</v>
      </c>
    </row>
    <row r="24" spans="1:6">
      <c r="A24" s="24">
        <v>10023</v>
      </c>
      <c r="B24" s="74" t="s">
        <v>140</v>
      </c>
      <c r="C24" s="24" t="s">
        <v>777</v>
      </c>
      <c r="D24" s="24" t="s">
        <v>966</v>
      </c>
      <c r="E24" s="1" t="s">
        <v>730</v>
      </c>
      <c r="F24" s="3" t="s">
        <v>967</v>
      </c>
    </row>
    <row r="25" spans="1:6">
      <c r="A25" s="24">
        <v>10024</v>
      </c>
      <c r="B25" s="74" t="s">
        <v>141</v>
      </c>
      <c r="C25" s="24" t="s">
        <v>968</v>
      </c>
      <c r="D25" s="24" t="s">
        <v>932</v>
      </c>
      <c r="E25" s="1" t="s">
        <v>969</v>
      </c>
      <c r="F25" s="3" t="s">
        <v>970</v>
      </c>
    </row>
    <row r="26" spans="1:6">
      <c r="A26" s="30">
        <v>10025</v>
      </c>
      <c r="B26" s="74" t="s">
        <v>145</v>
      </c>
      <c r="C26" s="24" t="s">
        <v>777</v>
      </c>
      <c r="D26" s="24" t="s">
        <v>932</v>
      </c>
      <c r="E26" s="1" t="s">
        <v>971</v>
      </c>
      <c r="F26" s="3" t="s">
        <v>972</v>
      </c>
    </row>
    <row r="27" spans="1:6">
      <c r="A27" s="24">
        <v>10026</v>
      </c>
      <c r="B27" s="74" t="s">
        <v>146</v>
      </c>
      <c r="C27" s="24" t="s">
        <v>707</v>
      </c>
      <c r="D27" s="24" t="s">
        <v>954</v>
      </c>
      <c r="E27" s="1" t="s">
        <v>846</v>
      </c>
      <c r="F27" s="3" t="s">
        <v>973</v>
      </c>
    </row>
    <row r="28" spans="1:6">
      <c r="A28" s="24">
        <v>10027</v>
      </c>
      <c r="B28" s="74" t="s">
        <v>150</v>
      </c>
      <c r="C28" s="24" t="s">
        <v>931</v>
      </c>
      <c r="D28" s="24" t="s">
        <v>954</v>
      </c>
      <c r="E28" s="1" t="s">
        <v>846</v>
      </c>
      <c r="F28" s="3" t="s">
        <v>974</v>
      </c>
    </row>
    <row r="29" spans="1:6">
      <c r="A29" s="30">
        <v>10028</v>
      </c>
      <c r="B29" s="74" t="s">
        <v>151</v>
      </c>
      <c r="C29" s="24" t="s">
        <v>975</v>
      </c>
      <c r="D29" s="24" t="s">
        <v>976</v>
      </c>
      <c r="E29" s="1" t="s">
        <v>695</v>
      </c>
      <c r="F29" s="3" t="s">
        <v>977</v>
      </c>
    </row>
    <row r="30" spans="1:6">
      <c r="A30" s="24">
        <v>10029</v>
      </c>
      <c r="B30" s="74" t="s">
        <v>153</v>
      </c>
      <c r="C30" s="24" t="s">
        <v>798</v>
      </c>
      <c r="D30" s="24" t="s">
        <v>853</v>
      </c>
      <c r="E30" s="1" t="s">
        <v>723</v>
      </c>
      <c r="F30" s="3" t="s">
        <v>978</v>
      </c>
    </row>
    <row r="31" spans="1:6">
      <c r="A31" s="24">
        <v>10030</v>
      </c>
      <c r="B31" s="74" t="s">
        <v>156</v>
      </c>
      <c r="C31" s="24" t="s">
        <v>860</v>
      </c>
      <c r="D31" s="24" t="s">
        <v>979</v>
      </c>
      <c r="E31" s="1" t="s">
        <v>695</v>
      </c>
      <c r="F31" s="3" t="s">
        <v>980</v>
      </c>
    </row>
    <row r="32" spans="1:6">
      <c r="A32" s="30">
        <v>10031</v>
      </c>
      <c r="B32" s="74" t="s">
        <v>159</v>
      </c>
      <c r="C32" s="24" t="s">
        <v>777</v>
      </c>
      <c r="D32" s="24" t="s">
        <v>981</v>
      </c>
      <c r="E32" s="1" t="s">
        <v>730</v>
      </c>
      <c r="F32" s="3" t="s">
        <v>982</v>
      </c>
    </row>
    <row r="33" spans="1:6">
      <c r="A33" s="24">
        <v>10032</v>
      </c>
      <c r="B33" s="74" t="s">
        <v>161</v>
      </c>
      <c r="C33" s="24" t="s">
        <v>983</v>
      </c>
      <c r="D33" s="24" t="s">
        <v>853</v>
      </c>
      <c r="E33" s="1" t="s">
        <v>969</v>
      </c>
      <c r="F33" s="3" t="s">
        <v>984</v>
      </c>
    </row>
    <row r="34" spans="1:6">
      <c r="A34" s="24">
        <v>10033</v>
      </c>
      <c r="B34" s="74" t="s">
        <v>164</v>
      </c>
      <c r="C34" s="24" t="s">
        <v>985</v>
      </c>
      <c r="D34" s="24" t="s">
        <v>853</v>
      </c>
      <c r="E34" s="1" t="s">
        <v>705</v>
      </c>
      <c r="F34" s="3" t="s">
        <v>986</v>
      </c>
    </row>
    <row r="35" spans="1:6">
      <c r="A35" s="30">
        <v>10034</v>
      </c>
      <c r="B35" s="74" t="s">
        <v>168</v>
      </c>
      <c r="C35" s="24" t="s">
        <v>941</v>
      </c>
      <c r="D35" s="24" t="s">
        <v>987</v>
      </c>
      <c r="E35" s="1" t="s">
        <v>711</v>
      </c>
      <c r="F35" s="3" t="s">
        <v>988</v>
      </c>
    </row>
    <row r="36" spans="1:6">
      <c r="A36" s="24">
        <v>10035</v>
      </c>
      <c r="B36" s="74" t="s">
        <v>171</v>
      </c>
      <c r="C36" s="24" t="s">
        <v>959</v>
      </c>
      <c r="D36" s="24" t="s">
        <v>989</v>
      </c>
      <c r="E36" s="1" t="s">
        <v>705</v>
      </c>
      <c r="F36" s="3" t="s">
        <v>990</v>
      </c>
    </row>
    <row r="37" spans="1:6">
      <c r="A37" s="24">
        <v>10036</v>
      </c>
      <c r="B37" s="74" t="s">
        <v>174</v>
      </c>
      <c r="C37" s="24" t="s">
        <v>826</v>
      </c>
      <c r="D37" s="24" t="s">
        <v>853</v>
      </c>
      <c r="E37" s="1" t="s">
        <v>730</v>
      </c>
      <c r="F37" s="3" t="s">
        <v>991</v>
      </c>
    </row>
    <row r="38" spans="1:6">
      <c r="A38" s="30">
        <v>10037</v>
      </c>
      <c r="B38" s="74" t="s">
        <v>177</v>
      </c>
      <c r="C38" s="24" t="s">
        <v>798</v>
      </c>
      <c r="D38" s="24" t="s">
        <v>981</v>
      </c>
      <c r="E38" s="1" t="s">
        <v>723</v>
      </c>
      <c r="F38" s="3" t="s">
        <v>992</v>
      </c>
    </row>
    <row r="39" spans="1:6">
      <c r="A39" s="24">
        <v>10038</v>
      </c>
      <c r="B39" s="74" t="s">
        <v>178</v>
      </c>
      <c r="C39" s="24" t="s">
        <v>993</v>
      </c>
      <c r="D39" s="24" t="s">
        <v>954</v>
      </c>
      <c r="E39" s="1" t="s">
        <v>969</v>
      </c>
      <c r="F39" s="3" t="s">
        <v>994</v>
      </c>
    </row>
    <row r="40" spans="1:6">
      <c r="A40" s="24">
        <v>10039</v>
      </c>
      <c r="B40" s="74" t="s">
        <v>181</v>
      </c>
      <c r="C40" s="24" t="s">
        <v>777</v>
      </c>
      <c r="D40" s="24" t="s">
        <v>853</v>
      </c>
      <c r="E40" s="1" t="s">
        <v>723</v>
      </c>
      <c r="F40" s="3" t="s">
        <v>995</v>
      </c>
    </row>
    <row r="41" spans="1:6">
      <c r="A41" s="30">
        <v>10040</v>
      </c>
      <c r="B41" s="74" t="s">
        <v>184</v>
      </c>
      <c r="C41" s="24" t="s">
        <v>777</v>
      </c>
      <c r="D41" s="24" t="s">
        <v>936</v>
      </c>
      <c r="E41" s="1" t="s">
        <v>723</v>
      </c>
      <c r="F41" s="3" t="s">
        <v>996</v>
      </c>
    </row>
    <row r="42" spans="1:6">
      <c r="A42" s="24">
        <v>10041</v>
      </c>
      <c r="B42" s="74" t="s">
        <v>187</v>
      </c>
      <c r="C42" s="24" t="s">
        <v>997</v>
      </c>
      <c r="D42" s="24" t="s">
        <v>849</v>
      </c>
      <c r="E42" s="1" t="s">
        <v>711</v>
      </c>
      <c r="F42" s="3" t="s">
        <v>998</v>
      </c>
    </row>
    <row r="43" spans="1:6">
      <c r="A43" s="24">
        <v>10042</v>
      </c>
      <c r="B43" s="74" t="s">
        <v>190</v>
      </c>
      <c r="C43" s="24" t="s">
        <v>999</v>
      </c>
      <c r="D43" s="24" t="s">
        <v>932</v>
      </c>
      <c r="E43" s="1" t="s">
        <v>969</v>
      </c>
      <c r="F43" s="3" t="s">
        <v>1000</v>
      </c>
    </row>
    <row r="44" spans="1:6">
      <c r="A44" s="30">
        <v>10043</v>
      </c>
      <c r="B44" s="74" t="s">
        <v>191</v>
      </c>
      <c r="C44" s="24" t="s">
        <v>931</v>
      </c>
      <c r="D44" s="24" t="s">
        <v>866</v>
      </c>
      <c r="E44" s="1" t="s">
        <v>723</v>
      </c>
      <c r="F44" s="3" t="s">
        <v>1001</v>
      </c>
    </row>
    <row r="45" spans="1:6">
      <c r="A45" s="24">
        <v>10044</v>
      </c>
      <c r="B45" s="74" t="s">
        <v>192</v>
      </c>
      <c r="C45" s="24" t="s">
        <v>983</v>
      </c>
      <c r="D45" s="24" t="s">
        <v>954</v>
      </c>
      <c r="E45" s="1" t="s">
        <v>969</v>
      </c>
      <c r="F45" s="3" t="s">
        <v>1002</v>
      </c>
    </row>
    <row r="46" spans="1:6">
      <c r="A46" s="24">
        <v>10045</v>
      </c>
      <c r="B46" s="74" t="s">
        <v>195</v>
      </c>
      <c r="C46" s="24" t="s">
        <v>711</v>
      </c>
      <c r="D46" s="24" t="s">
        <v>936</v>
      </c>
      <c r="E46" s="1" t="s">
        <v>711</v>
      </c>
      <c r="F46" s="3" t="s">
        <v>1003</v>
      </c>
    </row>
    <row r="47" spans="1:6">
      <c r="A47" s="30">
        <v>10046</v>
      </c>
      <c r="B47" s="74" t="s">
        <v>198</v>
      </c>
      <c r="C47" s="24" t="s">
        <v>798</v>
      </c>
      <c r="D47" s="24" t="s">
        <v>853</v>
      </c>
      <c r="E47" s="1" t="s">
        <v>723</v>
      </c>
      <c r="F47" s="3" t="s">
        <v>1004</v>
      </c>
    </row>
    <row r="48" spans="1:6">
      <c r="A48" s="24">
        <v>10047</v>
      </c>
      <c r="B48" s="74" t="s">
        <v>201</v>
      </c>
      <c r="C48" s="24" t="s">
        <v>931</v>
      </c>
      <c r="D48" s="24" t="s">
        <v>853</v>
      </c>
      <c r="E48" s="1" t="s">
        <v>730</v>
      </c>
      <c r="F48" s="3" t="s">
        <v>1005</v>
      </c>
    </row>
    <row r="49" spans="1:6">
      <c r="A49" s="24">
        <v>10048</v>
      </c>
      <c r="B49" s="74" t="s">
        <v>202</v>
      </c>
      <c r="C49" s="24" t="s">
        <v>777</v>
      </c>
      <c r="D49" s="24" t="s">
        <v>853</v>
      </c>
      <c r="E49" s="1" t="s">
        <v>723</v>
      </c>
      <c r="F49" s="3" t="s">
        <v>1006</v>
      </c>
    </row>
    <row r="50" spans="1:6">
      <c r="A50" s="30">
        <v>10049</v>
      </c>
      <c r="B50" s="74" t="s">
        <v>203</v>
      </c>
      <c r="C50" s="24" t="s">
        <v>1007</v>
      </c>
      <c r="D50" s="24" t="s">
        <v>856</v>
      </c>
      <c r="E50" s="1" t="s">
        <v>846</v>
      </c>
      <c r="F50" s="3" t="s">
        <v>1008</v>
      </c>
    </row>
    <row r="51" spans="1:6">
      <c r="A51" s="24">
        <v>10050</v>
      </c>
      <c r="B51" s="74" t="s">
        <v>204</v>
      </c>
      <c r="C51" s="24" t="s">
        <v>709</v>
      </c>
      <c r="D51" s="24" t="s">
        <v>853</v>
      </c>
      <c r="E51" s="1" t="s">
        <v>1009</v>
      </c>
      <c r="F51" s="3" t="s">
        <v>1010</v>
      </c>
    </row>
    <row r="52" spans="1:6">
      <c r="A52" s="24">
        <v>10051</v>
      </c>
      <c r="B52" s="74" t="s">
        <v>205</v>
      </c>
      <c r="C52" s="24" t="s">
        <v>709</v>
      </c>
      <c r="D52" s="24" t="s">
        <v>853</v>
      </c>
      <c r="E52" s="1" t="s">
        <v>846</v>
      </c>
      <c r="F52" s="3" t="s">
        <v>1011</v>
      </c>
    </row>
    <row r="53" spans="1:6">
      <c r="A53" s="30">
        <v>10052</v>
      </c>
      <c r="B53" s="74" t="s">
        <v>206</v>
      </c>
      <c r="C53" s="24" t="s">
        <v>798</v>
      </c>
      <c r="D53" s="24" t="s">
        <v>1012</v>
      </c>
      <c r="E53" s="1" t="s">
        <v>723</v>
      </c>
      <c r="F53" s="3" t="s">
        <v>1013</v>
      </c>
    </row>
    <row r="54" spans="1:6">
      <c r="A54" s="24">
        <v>10053</v>
      </c>
      <c r="B54" s="74" t="s">
        <v>207</v>
      </c>
      <c r="C54" s="24" t="s">
        <v>1014</v>
      </c>
      <c r="D54" s="24" t="s">
        <v>853</v>
      </c>
      <c r="E54" s="1" t="s">
        <v>846</v>
      </c>
      <c r="F54" s="3" t="s">
        <v>1015</v>
      </c>
    </row>
    <row r="55" spans="1:6">
      <c r="A55" s="24">
        <v>10054</v>
      </c>
      <c r="B55" s="74" t="s">
        <v>210</v>
      </c>
      <c r="C55" s="24" t="s">
        <v>738</v>
      </c>
      <c r="D55" s="24" t="s">
        <v>936</v>
      </c>
      <c r="E55" s="1" t="s">
        <v>705</v>
      </c>
      <c r="F55" s="3" t="s">
        <v>1016</v>
      </c>
    </row>
    <row r="56" spans="1:6">
      <c r="A56" s="30">
        <v>10055</v>
      </c>
      <c r="B56" s="74" t="s">
        <v>211</v>
      </c>
      <c r="C56" s="24" t="s">
        <v>707</v>
      </c>
      <c r="D56" s="24" t="s">
        <v>866</v>
      </c>
      <c r="E56" s="1" t="s">
        <v>846</v>
      </c>
      <c r="F56" s="3" t="s">
        <v>1017</v>
      </c>
    </row>
    <row r="57" spans="1:6">
      <c r="A57" s="24">
        <v>10056</v>
      </c>
      <c r="B57" s="74" t="s">
        <v>214</v>
      </c>
      <c r="C57" s="24" t="s">
        <v>709</v>
      </c>
      <c r="D57" s="24" t="s">
        <v>853</v>
      </c>
      <c r="E57" s="1" t="s">
        <v>726</v>
      </c>
      <c r="F57" s="3" t="s">
        <v>1018</v>
      </c>
    </row>
    <row r="58" spans="1:6">
      <c r="A58" s="24">
        <v>10057</v>
      </c>
      <c r="B58" s="74" t="s">
        <v>216</v>
      </c>
      <c r="C58" s="24" t="s">
        <v>707</v>
      </c>
      <c r="D58" s="24" t="s">
        <v>853</v>
      </c>
      <c r="E58" s="1" t="s">
        <v>1009</v>
      </c>
      <c r="F58" s="3" t="s">
        <v>1019</v>
      </c>
    </row>
    <row r="59" spans="1:6">
      <c r="A59" s="30">
        <v>10058</v>
      </c>
      <c r="B59" s="74" t="s">
        <v>217</v>
      </c>
      <c r="C59" s="24" t="s">
        <v>826</v>
      </c>
      <c r="D59" s="24" t="s">
        <v>853</v>
      </c>
      <c r="E59" s="1" t="s">
        <v>723</v>
      </c>
      <c r="F59" s="3" t="s">
        <v>1020</v>
      </c>
    </row>
    <row r="60" spans="1:6">
      <c r="A60" s="24">
        <v>10059</v>
      </c>
      <c r="B60" s="74" t="s">
        <v>220</v>
      </c>
      <c r="C60" s="24" t="s">
        <v>959</v>
      </c>
      <c r="D60" s="24" t="s">
        <v>936</v>
      </c>
      <c r="E60" s="1" t="s">
        <v>711</v>
      </c>
      <c r="F60" s="3" t="s">
        <v>1021</v>
      </c>
    </row>
    <row r="61" spans="1:6">
      <c r="A61" s="24">
        <v>10060</v>
      </c>
      <c r="B61" s="74" t="s">
        <v>223</v>
      </c>
      <c r="C61" s="24" t="s">
        <v>798</v>
      </c>
      <c r="D61" s="24" t="s">
        <v>847</v>
      </c>
      <c r="E61" s="1" t="s">
        <v>1022</v>
      </c>
      <c r="F61" s="3" t="s">
        <v>1023</v>
      </c>
    </row>
    <row r="62" spans="1:6">
      <c r="A62" s="30">
        <v>10061</v>
      </c>
      <c r="B62" s="74" t="s">
        <v>224</v>
      </c>
      <c r="C62" s="24" t="s">
        <v>983</v>
      </c>
      <c r="D62" s="24" t="s">
        <v>932</v>
      </c>
      <c r="E62" s="1" t="s">
        <v>969</v>
      </c>
      <c r="F62" s="3" t="s">
        <v>1024</v>
      </c>
    </row>
    <row r="63" spans="1:6">
      <c r="A63" s="24">
        <v>10062</v>
      </c>
      <c r="B63" s="74" t="s">
        <v>226</v>
      </c>
      <c r="C63" s="24" t="s">
        <v>798</v>
      </c>
      <c r="D63" s="24" t="s">
        <v>853</v>
      </c>
      <c r="E63" s="1" t="s">
        <v>723</v>
      </c>
      <c r="F63" s="3" t="s">
        <v>1025</v>
      </c>
    </row>
    <row r="64" spans="1:6">
      <c r="A64" s="24">
        <v>10063</v>
      </c>
      <c r="B64" s="74" t="s">
        <v>230</v>
      </c>
      <c r="C64" s="24" t="s">
        <v>798</v>
      </c>
      <c r="D64" s="24" t="s">
        <v>936</v>
      </c>
      <c r="E64" s="1" t="s">
        <v>730</v>
      </c>
      <c r="F64" s="3" t="s">
        <v>1026</v>
      </c>
    </row>
    <row r="65" spans="1:6">
      <c r="A65" s="30">
        <v>10064</v>
      </c>
      <c r="B65" s="74" t="s">
        <v>231</v>
      </c>
      <c r="C65" s="24" t="s">
        <v>826</v>
      </c>
      <c r="D65" s="24" t="s">
        <v>936</v>
      </c>
      <c r="E65" s="1" t="s">
        <v>723</v>
      </c>
      <c r="F65" s="3" t="s">
        <v>1027</v>
      </c>
    </row>
    <row r="66" spans="1:6">
      <c r="A66" s="24">
        <v>10065</v>
      </c>
      <c r="B66" s="74" t="s">
        <v>232</v>
      </c>
      <c r="C66" s="24" t="s">
        <v>705</v>
      </c>
      <c r="D66" s="24" t="s">
        <v>853</v>
      </c>
      <c r="E66" s="1" t="s">
        <v>726</v>
      </c>
      <c r="F66" s="3" t="s">
        <v>1028</v>
      </c>
    </row>
    <row r="67" spans="1:6">
      <c r="A67" s="24">
        <v>10066</v>
      </c>
      <c r="B67" s="74" t="s">
        <v>233</v>
      </c>
      <c r="C67" s="24" t="s">
        <v>826</v>
      </c>
      <c r="D67" s="24" t="s">
        <v>853</v>
      </c>
      <c r="E67" s="1" t="s">
        <v>1022</v>
      </c>
      <c r="F67" s="3" t="s">
        <v>1029</v>
      </c>
    </row>
    <row r="68" spans="1:6">
      <c r="A68" s="30">
        <v>10067</v>
      </c>
      <c r="B68" s="74" t="s">
        <v>235</v>
      </c>
      <c r="C68" s="24" t="s">
        <v>798</v>
      </c>
      <c r="D68" s="24" t="s">
        <v>849</v>
      </c>
      <c r="E68" s="1" t="s">
        <v>723</v>
      </c>
      <c r="F68" s="3" t="s">
        <v>1030</v>
      </c>
    </row>
    <row r="69" spans="1:6">
      <c r="A69" s="24">
        <v>10068</v>
      </c>
      <c r="B69" s="74" t="s">
        <v>236</v>
      </c>
      <c r="C69" s="24" t="s">
        <v>798</v>
      </c>
      <c r="D69" s="24" t="s">
        <v>954</v>
      </c>
      <c r="E69" s="1" t="s">
        <v>723</v>
      </c>
      <c r="F69" s="3" t="s">
        <v>1031</v>
      </c>
    </row>
    <row r="70" spans="1:6">
      <c r="A70" s="24">
        <v>10069</v>
      </c>
      <c r="B70" s="74" t="s">
        <v>237</v>
      </c>
      <c r="C70" s="24" t="s">
        <v>959</v>
      </c>
      <c r="D70" s="24" t="s">
        <v>1032</v>
      </c>
      <c r="E70" s="1" t="s">
        <v>846</v>
      </c>
      <c r="F70" s="3" t="s">
        <v>1033</v>
      </c>
    </row>
    <row r="71" spans="1:6">
      <c r="A71" s="30">
        <v>10070</v>
      </c>
      <c r="B71" s="74" t="s">
        <v>240</v>
      </c>
      <c r="C71" s="24" t="s">
        <v>1034</v>
      </c>
      <c r="D71" s="24" t="s">
        <v>853</v>
      </c>
      <c r="E71" s="1" t="s">
        <v>971</v>
      </c>
      <c r="F71" s="3" t="s">
        <v>1035</v>
      </c>
    </row>
    <row r="72" spans="1:6">
      <c r="A72" s="24">
        <v>10071</v>
      </c>
      <c r="B72" s="74" t="s">
        <v>241</v>
      </c>
      <c r="C72" s="24" t="s">
        <v>975</v>
      </c>
      <c r="D72" s="24" t="s">
        <v>866</v>
      </c>
      <c r="E72" s="1" t="s">
        <v>695</v>
      </c>
      <c r="F72" s="3" t="s">
        <v>1036</v>
      </c>
    </row>
    <row r="73" spans="1:6">
      <c r="A73" s="24">
        <v>10072</v>
      </c>
      <c r="B73" s="74" t="s">
        <v>242</v>
      </c>
      <c r="C73" s="24" t="s">
        <v>1034</v>
      </c>
      <c r="D73" s="24" t="s">
        <v>853</v>
      </c>
      <c r="E73" s="1" t="s">
        <v>1037</v>
      </c>
      <c r="F73" s="3" t="s">
        <v>1038</v>
      </c>
    </row>
    <row r="74" spans="1:6">
      <c r="A74" s="30">
        <v>10073</v>
      </c>
      <c r="B74" s="74" t="s">
        <v>243</v>
      </c>
      <c r="C74" s="24" t="s">
        <v>798</v>
      </c>
      <c r="D74" s="24" t="s">
        <v>1039</v>
      </c>
      <c r="E74" s="1" t="s">
        <v>723</v>
      </c>
      <c r="F74" s="3" t="s">
        <v>1040</v>
      </c>
    </row>
    <row r="75" spans="1:6">
      <c r="A75" s="24">
        <v>10074</v>
      </c>
      <c r="B75" s="74" t="s">
        <v>246</v>
      </c>
      <c r="C75" s="24" t="s">
        <v>712</v>
      </c>
      <c r="D75" s="24" t="s">
        <v>1041</v>
      </c>
      <c r="E75" s="1" t="s">
        <v>723</v>
      </c>
      <c r="F75" s="3" t="s">
        <v>1042</v>
      </c>
    </row>
    <row r="76" spans="1:6">
      <c r="A76" s="24">
        <v>10075</v>
      </c>
      <c r="B76" s="74" t="s">
        <v>247</v>
      </c>
      <c r="C76" s="24" t="s">
        <v>798</v>
      </c>
      <c r="D76" s="24" t="s">
        <v>1043</v>
      </c>
      <c r="E76" s="1" t="s">
        <v>723</v>
      </c>
      <c r="F76" s="3" t="s">
        <v>1044</v>
      </c>
    </row>
    <row r="77" spans="1:6">
      <c r="A77" s="30">
        <v>10076</v>
      </c>
      <c r="B77" s="74" t="s">
        <v>248</v>
      </c>
      <c r="C77" s="24" t="s">
        <v>826</v>
      </c>
      <c r="D77" s="24" t="s">
        <v>1045</v>
      </c>
      <c r="E77" s="1" t="s">
        <v>723</v>
      </c>
      <c r="F77" s="3" t="s">
        <v>1046</v>
      </c>
    </row>
    <row r="78" spans="1:6">
      <c r="A78" s="24">
        <v>10077</v>
      </c>
      <c r="B78" s="74" t="s">
        <v>249</v>
      </c>
      <c r="C78" s="24" t="s">
        <v>826</v>
      </c>
      <c r="D78" s="24" t="s">
        <v>853</v>
      </c>
      <c r="E78" s="1" t="s">
        <v>723</v>
      </c>
      <c r="F78" s="3" t="s">
        <v>1047</v>
      </c>
    </row>
    <row r="79" spans="1:6">
      <c r="A79" s="24">
        <v>10078</v>
      </c>
      <c r="B79" s="74" t="s">
        <v>250</v>
      </c>
      <c r="C79" s="24" t="s">
        <v>738</v>
      </c>
      <c r="D79" s="24" t="s">
        <v>1048</v>
      </c>
      <c r="E79" s="1" t="s">
        <v>705</v>
      </c>
      <c r="F79" s="3" t="s">
        <v>1049</v>
      </c>
    </row>
    <row r="80" spans="1:6">
      <c r="A80" s="30">
        <v>10079</v>
      </c>
      <c r="B80" s="74" t="s">
        <v>251</v>
      </c>
      <c r="C80" s="24" t="s">
        <v>798</v>
      </c>
      <c r="D80" s="24" t="s">
        <v>853</v>
      </c>
      <c r="E80" s="1" t="s">
        <v>723</v>
      </c>
      <c r="F80" s="3" t="s">
        <v>1050</v>
      </c>
    </row>
    <row r="81" spans="1:6">
      <c r="A81" s="24">
        <v>10080</v>
      </c>
      <c r="B81" s="74" t="s">
        <v>254</v>
      </c>
      <c r="C81" s="24" t="s">
        <v>738</v>
      </c>
      <c r="D81" s="24" t="s">
        <v>1051</v>
      </c>
      <c r="E81" s="1" t="s">
        <v>705</v>
      </c>
      <c r="F81" s="3" t="s">
        <v>1052</v>
      </c>
    </row>
    <row r="82" spans="1:6">
      <c r="A82" s="24">
        <v>10081</v>
      </c>
      <c r="B82" s="74" t="s">
        <v>256</v>
      </c>
      <c r="C82" s="24" t="s">
        <v>983</v>
      </c>
      <c r="D82" s="24" t="s">
        <v>936</v>
      </c>
      <c r="E82" s="1" t="s">
        <v>1053</v>
      </c>
      <c r="F82" s="3" t="s">
        <v>1054</v>
      </c>
    </row>
    <row r="83" spans="1:6">
      <c r="A83" s="30">
        <v>10082</v>
      </c>
      <c r="B83" s="74" t="s">
        <v>259</v>
      </c>
      <c r="C83" s="24" t="s">
        <v>798</v>
      </c>
      <c r="D83" s="24" t="s">
        <v>853</v>
      </c>
      <c r="E83" s="1" t="s">
        <v>730</v>
      </c>
      <c r="F83" s="3" t="s">
        <v>1055</v>
      </c>
    </row>
    <row r="84" spans="1:6">
      <c r="A84" s="24">
        <v>10083</v>
      </c>
      <c r="B84" s="74" t="s">
        <v>260</v>
      </c>
      <c r="C84" s="24" t="s">
        <v>798</v>
      </c>
      <c r="D84" s="24" t="s">
        <v>936</v>
      </c>
      <c r="E84" s="1" t="s">
        <v>730</v>
      </c>
      <c r="F84" s="3" t="s">
        <v>1056</v>
      </c>
    </row>
    <row r="85" spans="1:6">
      <c r="A85" s="24">
        <v>10084</v>
      </c>
      <c r="B85" s="74" t="s">
        <v>261</v>
      </c>
      <c r="C85" s="24" t="s">
        <v>1057</v>
      </c>
      <c r="D85" s="24" t="s">
        <v>1058</v>
      </c>
      <c r="E85" s="1" t="s">
        <v>1053</v>
      </c>
      <c r="F85" s="3" t="s">
        <v>1059</v>
      </c>
    </row>
    <row r="86" spans="1:6">
      <c r="A86" s="30">
        <v>10085</v>
      </c>
      <c r="B86" s="74" t="s">
        <v>262</v>
      </c>
      <c r="C86" s="24" t="s">
        <v>826</v>
      </c>
      <c r="D86" s="24" t="s">
        <v>853</v>
      </c>
      <c r="E86" s="1" t="s">
        <v>723</v>
      </c>
      <c r="F86" s="3" t="s">
        <v>1060</v>
      </c>
    </row>
    <row r="87" spans="1:6">
      <c r="A87" s="24">
        <v>10086</v>
      </c>
      <c r="B87" s="74" t="s">
        <v>265</v>
      </c>
      <c r="C87" s="24" t="s">
        <v>993</v>
      </c>
      <c r="D87" s="24" t="s">
        <v>936</v>
      </c>
      <c r="E87" s="1" t="s">
        <v>969</v>
      </c>
      <c r="F87" s="3" t="s">
        <v>1061</v>
      </c>
    </row>
    <row r="88" spans="1:6">
      <c r="A88" s="24">
        <v>10087</v>
      </c>
      <c r="B88" s="74" t="s">
        <v>266</v>
      </c>
      <c r="C88" s="24" t="s">
        <v>709</v>
      </c>
      <c r="D88" s="24" t="s">
        <v>1062</v>
      </c>
      <c r="E88" s="1" t="s">
        <v>1053</v>
      </c>
      <c r="F88" s="3" t="s">
        <v>1063</v>
      </c>
    </row>
    <row r="89" spans="1:6">
      <c r="A89" s="30">
        <v>10088</v>
      </c>
      <c r="B89" s="74" t="s">
        <v>269</v>
      </c>
      <c r="C89" s="24" t="s">
        <v>707</v>
      </c>
      <c r="D89" s="24" t="s">
        <v>853</v>
      </c>
      <c r="E89" s="1" t="s">
        <v>969</v>
      </c>
      <c r="F89" s="3" t="s">
        <v>1064</v>
      </c>
    </row>
    <row r="90" spans="1:6">
      <c r="A90" s="24">
        <v>10089</v>
      </c>
      <c r="B90" s="74" t="s">
        <v>270</v>
      </c>
      <c r="C90" s="24" t="s">
        <v>707</v>
      </c>
      <c r="D90" s="24" t="s">
        <v>1048</v>
      </c>
      <c r="E90" s="1" t="s">
        <v>846</v>
      </c>
      <c r="F90" s="3" t="s">
        <v>1065</v>
      </c>
    </row>
    <row r="91" spans="1:6">
      <c r="A91" s="24">
        <v>10090</v>
      </c>
      <c r="B91" s="74" t="s">
        <v>273</v>
      </c>
      <c r="C91" s="24" t="s">
        <v>709</v>
      </c>
      <c r="D91" s="24" t="s">
        <v>1043</v>
      </c>
      <c r="E91" s="1" t="s">
        <v>846</v>
      </c>
      <c r="F91" s="3" t="s">
        <v>1066</v>
      </c>
    </row>
    <row r="92" spans="1:6">
      <c r="A92" s="30">
        <v>10091</v>
      </c>
      <c r="B92" s="74" t="s">
        <v>274</v>
      </c>
      <c r="C92" s="24" t="s">
        <v>712</v>
      </c>
      <c r="D92" s="24" t="s">
        <v>853</v>
      </c>
      <c r="E92" s="1" t="s">
        <v>723</v>
      </c>
      <c r="F92" s="3" t="s">
        <v>1067</v>
      </c>
    </row>
    <row r="93" spans="1:6">
      <c r="A93" s="24">
        <v>10092</v>
      </c>
      <c r="B93" s="74" t="s">
        <v>275</v>
      </c>
      <c r="C93" s="24" t="s">
        <v>1068</v>
      </c>
      <c r="D93" s="24" t="s">
        <v>853</v>
      </c>
      <c r="E93" s="1" t="s">
        <v>1053</v>
      </c>
      <c r="F93" s="3" t="s">
        <v>1069</v>
      </c>
    </row>
    <row r="94" spans="1:6">
      <c r="A94" s="24">
        <v>10093</v>
      </c>
      <c r="B94" s="74" t="s">
        <v>276</v>
      </c>
      <c r="C94" s="24" t="s">
        <v>1034</v>
      </c>
      <c r="D94" s="24" t="s">
        <v>853</v>
      </c>
      <c r="E94" s="1" t="s">
        <v>846</v>
      </c>
      <c r="F94" s="3" t="s">
        <v>1070</v>
      </c>
    </row>
    <row r="95" spans="1:6">
      <c r="A95" s="30">
        <v>10094</v>
      </c>
      <c r="B95" s="74" t="s">
        <v>277</v>
      </c>
      <c r="C95" s="24" t="s">
        <v>1034</v>
      </c>
      <c r="D95" s="24" t="s">
        <v>866</v>
      </c>
      <c r="E95" s="1" t="s">
        <v>846</v>
      </c>
      <c r="F95" s="3" t="s">
        <v>1071</v>
      </c>
    </row>
    <row r="96" spans="1:6">
      <c r="A96" s="24">
        <v>10095</v>
      </c>
      <c r="B96" s="74" t="s">
        <v>278</v>
      </c>
      <c r="C96" s="24" t="s">
        <v>718</v>
      </c>
      <c r="D96" s="24" t="s">
        <v>1072</v>
      </c>
      <c r="E96" s="1" t="s">
        <v>846</v>
      </c>
      <c r="F96" s="3" t="s">
        <v>1073</v>
      </c>
    </row>
    <row r="97" spans="1:6">
      <c r="A97" s="24">
        <v>10096</v>
      </c>
      <c r="B97" s="74" t="s">
        <v>279</v>
      </c>
      <c r="C97" s="24" t="s">
        <v>712</v>
      </c>
      <c r="D97" s="24" t="s">
        <v>853</v>
      </c>
      <c r="E97" s="1" t="s">
        <v>723</v>
      </c>
      <c r="F97" s="3" t="s">
        <v>1074</v>
      </c>
    </row>
    <row r="98" spans="1:6">
      <c r="A98" s="30">
        <v>10097</v>
      </c>
      <c r="B98" s="74" t="s">
        <v>280</v>
      </c>
      <c r="C98" s="24" t="s">
        <v>1034</v>
      </c>
      <c r="D98" s="24" t="s">
        <v>853</v>
      </c>
      <c r="E98" s="1" t="s">
        <v>846</v>
      </c>
      <c r="F98" s="3" t="s">
        <v>1075</v>
      </c>
    </row>
    <row r="99" spans="1:6">
      <c r="A99" s="24">
        <v>10098</v>
      </c>
      <c r="B99" s="74" t="s">
        <v>283</v>
      </c>
      <c r="C99" s="24" t="s">
        <v>707</v>
      </c>
      <c r="D99" s="24" t="s">
        <v>853</v>
      </c>
      <c r="E99" s="1" t="s">
        <v>969</v>
      </c>
      <c r="F99" s="3" t="s">
        <v>1076</v>
      </c>
    </row>
    <row r="100" spans="1:6">
      <c r="A100" s="24">
        <v>10099</v>
      </c>
      <c r="B100" s="74" t="s">
        <v>286</v>
      </c>
      <c r="C100" s="24" t="s">
        <v>709</v>
      </c>
      <c r="D100" s="24" t="s">
        <v>849</v>
      </c>
      <c r="E100" s="1" t="s">
        <v>723</v>
      </c>
      <c r="F100" s="3" t="s">
        <v>1077</v>
      </c>
    </row>
    <row r="101" spans="1:6">
      <c r="A101" s="30">
        <v>10100</v>
      </c>
      <c r="B101" s="74" t="s">
        <v>288</v>
      </c>
      <c r="C101" s="24" t="s">
        <v>843</v>
      </c>
      <c r="D101" s="24" t="s">
        <v>1078</v>
      </c>
      <c r="E101" s="1" t="s">
        <v>1053</v>
      </c>
      <c r="F101" s="3" t="s">
        <v>1079</v>
      </c>
    </row>
    <row r="102" spans="1:6">
      <c r="A102" s="24">
        <v>10101</v>
      </c>
      <c r="B102" s="74" t="s">
        <v>289</v>
      </c>
      <c r="C102" s="24" t="s">
        <v>707</v>
      </c>
      <c r="D102" s="24" t="s">
        <v>1080</v>
      </c>
      <c r="E102" s="1"/>
      <c r="F102" s="3" t="s">
        <v>1081</v>
      </c>
    </row>
    <row r="103" spans="1:6">
      <c r="A103" s="24">
        <v>10102</v>
      </c>
      <c r="B103" s="74" t="s">
        <v>292</v>
      </c>
      <c r="C103" s="24" t="s">
        <v>826</v>
      </c>
      <c r="D103" s="24" t="s">
        <v>1082</v>
      </c>
      <c r="E103" s="1" t="s">
        <v>723</v>
      </c>
      <c r="F103" s="3" t="s">
        <v>1083</v>
      </c>
    </row>
    <row r="104" spans="1:6">
      <c r="A104" s="30">
        <v>10103</v>
      </c>
      <c r="B104" s="74" t="s">
        <v>294</v>
      </c>
      <c r="C104" s="24" t="s">
        <v>843</v>
      </c>
      <c r="D104" s="24" t="s">
        <v>849</v>
      </c>
      <c r="E104" s="1" t="s">
        <v>846</v>
      </c>
      <c r="F104" s="3" t="s">
        <v>1084</v>
      </c>
    </row>
    <row r="105" spans="1:6">
      <c r="A105" s="24">
        <v>10104</v>
      </c>
      <c r="B105" s="74" t="s">
        <v>295</v>
      </c>
      <c r="C105" s="24" t="s">
        <v>826</v>
      </c>
      <c r="D105" s="24" t="s">
        <v>1072</v>
      </c>
      <c r="E105" s="1" t="s">
        <v>723</v>
      </c>
      <c r="F105" s="3" t="s">
        <v>1085</v>
      </c>
    </row>
    <row r="106" spans="1:6">
      <c r="A106" s="24">
        <v>10105</v>
      </c>
      <c r="B106" s="74" t="s">
        <v>296</v>
      </c>
      <c r="C106" s="24" t="s">
        <v>959</v>
      </c>
      <c r="D106" s="24" t="s">
        <v>853</v>
      </c>
      <c r="E106" s="1"/>
      <c r="F106" s="3" t="s">
        <v>1086</v>
      </c>
    </row>
    <row r="107" spans="1:6">
      <c r="A107" s="30">
        <v>10106</v>
      </c>
      <c r="B107" s="74" t="s">
        <v>299</v>
      </c>
      <c r="C107" s="24" t="s">
        <v>860</v>
      </c>
      <c r="D107" s="24" t="s">
        <v>853</v>
      </c>
      <c r="E107" s="1" t="s">
        <v>695</v>
      </c>
      <c r="F107" s="3" t="s">
        <v>1087</v>
      </c>
    </row>
    <row r="108" spans="1:6">
      <c r="A108" s="24">
        <v>10107</v>
      </c>
      <c r="B108" s="74" t="s">
        <v>302</v>
      </c>
      <c r="C108" s="24" t="s">
        <v>777</v>
      </c>
      <c r="D108" s="24" t="s">
        <v>936</v>
      </c>
      <c r="E108" s="1" t="s">
        <v>723</v>
      </c>
      <c r="F108" s="3" t="s">
        <v>1088</v>
      </c>
    </row>
    <row r="109" spans="1:6">
      <c r="A109" s="24">
        <v>10108</v>
      </c>
      <c r="B109" s="74" t="s">
        <v>306</v>
      </c>
      <c r="C109" s="24" t="s">
        <v>997</v>
      </c>
      <c r="D109" s="24" t="s">
        <v>932</v>
      </c>
      <c r="E109" s="1" t="s">
        <v>711</v>
      </c>
      <c r="F109" s="3" t="s">
        <v>1089</v>
      </c>
    </row>
    <row r="110" spans="1:6">
      <c r="A110" s="30">
        <v>10109</v>
      </c>
      <c r="B110" s="74" t="s">
        <v>307</v>
      </c>
      <c r="C110" s="24" t="s">
        <v>798</v>
      </c>
      <c r="D110" s="24" t="s">
        <v>1080</v>
      </c>
      <c r="E110" s="1" t="s">
        <v>730</v>
      </c>
      <c r="F110" s="3" t="s">
        <v>1090</v>
      </c>
    </row>
    <row r="111" spans="1:6">
      <c r="A111" s="24">
        <v>10110</v>
      </c>
      <c r="B111" s="74" t="s">
        <v>308</v>
      </c>
      <c r="C111" s="24" t="s">
        <v>961</v>
      </c>
      <c r="D111" s="24" t="s">
        <v>866</v>
      </c>
      <c r="E111" s="1" t="s">
        <v>723</v>
      </c>
      <c r="F111" s="3" t="s">
        <v>1091</v>
      </c>
    </row>
    <row r="112" spans="1:6">
      <c r="A112" s="24">
        <v>10111</v>
      </c>
      <c r="B112" s="74" t="s">
        <v>309</v>
      </c>
      <c r="C112" s="24" t="s">
        <v>777</v>
      </c>
      <c r="D112" s="24" t="s">
        <v>853</v>
      </c>
      <c r="E112" s="1" t="s">
        <v>730</v>
      </c>
      <c r="F112" s="3" t="s">
        <v>1092</v>
      </c>
    </row>
    <row r="113" spans="1:6">
      <c r="A113" s="30">
        <v>10112</v>
      </c>
      <c r="B113" s="74" t="s">
        <v>310</v>
      </c>
      <c r="C113" s="24" t="s">
        <v>813</v>
      </c>
      <c r="D113" s="24" t="s">
        <v>853</v>
      </c>
      <c r="E113" s="1" t="s">
        <v>730</v>
      </c>
      <c r="F113" s="3" t="s">
        <v>1093</v>
      </c>
    </row>
    <row r="114" spans="1:6">
      <c r="A114" s="24">
        <v>10113</v>
      </c>
      <c r="B114" s="74" t="s">
        <v>313</v>
      </c>
      <c r="C114" s="24" t="s">
        <v>709</v>
      </c>
      <c r="D114" s="24" t="s">
        <v>853</v>
      </c>
      <c r="E114" s="1" t="s">
        <v>846</v>
      </c>
      <c r="F114" s="3" t="s">
        <v>1094</v>
      </c>
    </row>
    <row r="115" spans="1:6">
      <c r="A115" s="24">
        <v>10114</v>
      </c>
      <c r="B115" s="74" t="s">
        <v>314</v>
      </c>
      <c r="C115" s="24" t="s">
        <v>813</v>
      </c>
      <c r="D115" s="24" t="s">
        <v>853</v>
      </c>
      <c r="E115" s="1" t="s">
        <v>723</v>
      </c>
      <c r="F115" s="3" t="s">
        <v>1095</v>
      </c>
    </row>
    <row r="116" spans="1:6">
      <c r="A116" s="30">
        <v>10115</v>
      </c>
      <c r="B116" s="74" t="s">
        <v>315</v>
      </c>
      <c r="C116" s="24" t="s">
        <v>1096</v>
      </c>
      <c r="D116" s="24" t="s">
        <v>853</v>
      </c>
      <c r="E116" s="1" t="s">
        <v>1097</v>
      </c>
      <c r="F116" s="3" t="s">
        <v>1098</v>
      </c>
    </row>
    <row r="117" spans="1:6">
      <c r="A117" s="24">
        <v>10116</v>
      </c>
      <c r="B117" s="74" t="s">
        <v>316</v>
      </c>
      <c r="C117" s="24" t="s">
        <v>712</v>
      </c>
      <c r="D117" s="24" t="s">
        <v>1099</v>
      </c>
      <c r="E117" s="1" t="s">
        <v>730</v>
      </c>
      <c r="F117" s="3" t="s">
        <v>1100</v>
      </c>
    </row>
    <row r="118" spans="1:6">
      <c r="A118" s="24">
        <v>10117</v>
      </c>
      <c r="B118" s="74" t="s">
        <v>317</v>
      </c>
      <c r="C118" s="24" t="s">
        <v>709</v>
      </c>
      <c r="D118" s="24" t="s">
        <v>1080</v>
      </c>
      <c r="E118" s="1" t="s">
        <v>846</v>
      </c>
      <c r="F118" s="3" t="s">
        <v>1101</v>
      </c>
    </row>
    <row r="119" spans="1:6">
      <c r="A119" s="30">
        <v>10118</v>
      </c>
      <c r="B119" s="74" t="s">
        <v>318</v>
      </c>
      <c r="C119" s="24" t="s">
        <v>711</v>
      </c>
      <c r="D119" s="24" t="s">
        <v>1102</v>
      </c>
      <c r="E119" s="1" t="s">
        <v>695</v>
      </c>
      <c r="F119" s="3" t="s">
        <v>1103</v>
      </c>
    </row>
    <row r="120" spans="1:6">
      <c r="A120" s="24">
        <v>10119</v>
      </c>
      <c r="B120" s="74" t="s">
        <v>319</v>
      </c>
      <c r="C120" s="24" t="s">
        <v>798</v>
      </c>
      <c r="D120" s="24" t="s">
        <v>1104</v>
      </c>
      <c r="E120" s="1" t="s">
        <v>723</v>
      </c>
      <c r="F120" s="3" t="s">
        <v>1105</v>
      </c>
    </row>
    <row r="121" spans="1:6">
      <c r="A121" s="24">
        <v>10120</v>
      </c>
      <c r="B121" s="74" t="s">
        <v>320</v>
      </c>
      <c r="C121" s="24" t="s">
        <v>798</v>
      </c>
      <c r="D121" s="24" t="s">
        <v>932</v>
      </c>
      <c r="E121" s="1" t="s">
        <v>730</v>
      </c>
      <c r="F121" s="3" t="s">
        <v>1106</v>
      </c>
    </row>
    <row r="122" spans="1:6">
      <c r="A122" s="30">
        <v>10121</v>
      </c>
      <c r="B122" s="74" t="s">
        <v>321</v>
      </c>
      <c r="C122" s="24" t="s">
        <v>718</v>
      </c>
      <c r="D122" s="24" t="s">
        <v>954</v>
      </c>
      <c r="E122" s="1" t="s">
        <v>705</v>
      </c>
      <c r="F122" s="3" t="s">
        <v>1107</v>
      </c>
    </row>
    <row r="123" spans="1:6">
      <c r="A123" s="24">
        <v>10122</v>
      </c>
      <c r="B123" s="74" t="s">
        <v>322</v>
      </c>
      <c r="C123" s="24" t="s">
        <v>826</v>
      </c>
      <c r="D123" s="24" t="s">
        <v>1108</v>
      </c>
      <c r="E123" s="1" t="s">
        <v>730</v>
      </c>
      <c r="F123" s="3" t="s">
        <v>1109</v>
      </c>
    </row>
    <row r="124" spans="1:6">
      <c r="A124" s="24">
        <v>10123</v>
      </c>
      <c r="B124" s="74" t="s">
        <v>323</v>
      </c>
      <c r="C124" s="24" t="s">
        <v>738</v>
      </c>
      <c r="D124" s="24" t="s">
        <v>954</v>
      </c>
      <c r="E124" s="1" t="s">
        <v>705</v>
      </c>
      <c r="F124" s="3" t="s">
        <v>1110</v>
      </c>
    </row>
    <row r="125" spans="1:6">
      <c r="A125" s="30">
        <v>10124</v>
      </c>
      <c r="B125" s="74" t="s">
        <v>324</v>
      </c>
      <c r="C125" s="24" t="s">
        <v>1096</v>
      </c>
      <c r="D125" s="24" t="s">
        <v>936</v>
      </c>
      <c r="E125" s="1" t="s">
        <v>1097</v>
      </c>
      <c r="F125" s="3" t="s">
        <v>1111</v>
      </c>
    </row>
    <row r="126" spans="1:6">
      <c r="A126" s="24">
        <v>10125</v>
      </c>
      <c r="B126" s="74" t="s">
        <v>325</v>
      </c>
      <c r="C126" s="24" t="s">
        <v>1112</v>
      </c>
      <c r="D126" s="24" t="s">
        <v>1113</v>
      </c>
      <c r="E126" s="1" t="s">
        <v>723</v>
      </c>
      <c r="F126" s="3" t="s">
        <v>1114</v>
      </c>
    </row>
    <row r="127" spans="1:6">
      <c r="A127" s="24">
        <v>10126</v>
      </c>
      <c r="B127" s="74" t="s">
        <v>328</v>
      </c>
      <c r="C127" s="24" t="s">
        <v>826</v>
      </c>
      <c r="D127" s="24" t="s">
        <v>853</v>
      </c>
      <c r="E127" s="1" t="s">
        <v>730</v>
      </c>
      <c r="F127" s="3" t="s">
        <v>1115</v>
      </c>
    </row>
    <row r="128" spans="1:6">
      <c r="A128" s="30">
        <v>10127</v>
      </c>
      <c r="B128" s="74" t="s">
        <v>329</v>
      </c>
      <c r="C128" s="24" t="s">
        <v>817</v>
      </c>
      <c r="D128" s="24" t="s">
        <v>1072</v>
      </c>
      <c r="E128" s="1" t="s">
        <v>1116</v>
      </c>
      <c r="F128" s="3" t="s">
        <v>1117</v>
      </c>
    </row>
    <row r="129" spans="1:6">
      <c r="A129" s="24">
        <v>10128</v>
      </c>
      <c r="B129" s="74" t="s">
        <v>332</v>
      </c>
      <c r="C129" s="24" t="s">
        <v>1118</v>
      </c>
      <c r="D129" s="24" t="s">
        <v>853</v>
      </c>
      <c r="E129" s="1" t="s">
        <v>846</v>
      </c>
      <c r="F129" s="3" t="s">
        <v>1119</v>
      </c>
    </row>
    <row r="130" spans="1:6">
      <c r="A130" s="24">
        <v>10129</v>
      </c>
      <c r="B130" s="74" t="s">
        <v>335</v>
      </c>
      <c r="C130" s="24" t="s">
        <v>993</v>
      </c>
      <c r="D130" s="24" t="s">
        <v>936</v>
      </c>
      <c r="E130" s="1" t="s">
        <v>969</v>
      </c>
      <c r="F130" s="3" t="s">
        <v>1120</v>
      </c>
    </row>
    <row r="131" spans="1:6">
      <c r="A131" s="30">
        <v>10130</v>
      </c>
      <c r="B131" s="74" t="s">
        <v>338</v>
      </c>
      <c r="C131" s="24" t="s">
        <v>777</v>
      </c>
      <c r="D131" s="24" t="s">
        <v>936</v>
      </c>
      <c r="E131" s="1" t="s">
        <v>723</v>
      </c>
      <c r="F131" s="3" t="s">
        <v>1121</v>
      </c>
    </row>
    <row r="132" spans="1:6">
      <c r="A132" s="24">
        <v>10131</v>
      </c>
      <c r="B132" s="74" t="s">
        <v>339</v>
      </c>
      <c r="C132" s="24" t="s">
        <v>826</v>
      </c>
      <c r="D132" s="24" t="s">
        <v>866</v>
      </c>
      <c r="E132" s="1" t="s">
        <v>723</v>
      </c>
      <c r="F132" s="3" t="s">
        <v>1122</v>
      </c>
    </row>
    <row r="133" spans="1:6">
      <c r="A133" s="24">
        <v>10132</v>
      </c>
      <c r="B133" s="74" t="s">
        <v>342</v>
      </c>
      <c r="C133" s="24" t="s">
        <v>707</v>
      </c>
      <c r="D133" s="24" t="s">
        <v>853</v>
      </c>
      <c r="E133" s="1" t="s">
        <v>1053</v>
      </c>
      <c r="F133" s="3" t="s">
        <v>1123</v>
      </c>
    </row>
    <row r="134" spans="1:6">
      <c r="A134" s="30">
        <v>10133</v>
      </c>
      <c r="B134" s="74" t="s">
        <v>343</v>
      </c>
      <c r="C134" s="24" t="s">
        <v>693</v>
      </c>
      <c r="D134" s="24" t="s">
        <v>853</v>
      </c>
      <c r="E134" s="1" t="s">
        <v>969</v>
      </c>
      <c r="F134" s="3" t="s">
        <v>1124</v>
      </c>
    </row>
    <row r="135" spans="1:6">
      <c r="A135" s="24">
        <v>10134</v>
      </c>
      <c r="B135" s="74" t="s">
        <v>346</v>
      </c>
      <c r="C135" s="24" t="s">
        <v>997</v>
      </c>
      <c r="D135" s="24" t="s">
        <v>1125</v>
      </c>
      <c r="E135" s="1" t="s">
        <v>1126</v>
      </c>
      <c r="F135" s="3" t="s">
        <v>1127</v>
      </c>
    </row>
    <row r="136" spans="1:6">
      <c r="A136" s="24">
        <v>10135</v>
      </c>
      <c r="B136" s="74" t="s">
        <v>349</v>
      </c>
      <c r="C136" s="24" t="s">
        <v>1128</v>
      </c>
      <c r="D136" s="24" t="s">
        <v>853</v>
      </c>
      <c r="E136" s="1"/>
      <c r="F136" s="3" t="s">
        <v>1129</v>
      </c>
    </row>
    <row r="137" spans="1:6">
      <c r="A137" s="30">
        <v>10136</v>
      </c>
      <c r="B137" s="74" t="s">
        <v>352</v>
      </c>
      <c r="C137" s="24" t="s">
        <v>693</v>
      </c>
      <c r="D137" s="24" t="s">
        <v>1130</v>
      </c>
      <c r="E137" s="1" t="s">
        <v>1009</v>
      </c>
      <c r="F137" s="3" t="s">
        <v>1131</v>
      </c>
    </row>
    <row r="138" spans="1:6">
      <c r="A138" s="24">
        <v>10137</v>
      </c>
      <c r="B138" s="74" t="s">
        <v>353</v>
      </c>
      <c r="C138" s="24" t="s">
        <v>711</v>
      </c>
      <c r="D138" s="24" t="s">
        <v>954</v>
      </c>
      <c r="E138" s="1" t="s">
        <v>1126</v>
      </c>
      <c r="F138" s="3" t="s">
        <v>1132</v>
      </c>
    </row>
    <row r="139" spans="1:6">
      <c r="A139" s="24">
        <v>10138</v>
      </c>
      <c r="B139" s="74" t="s">
        <v>354</v>
      </c>
      <c r="C139" s="24" t="s">
        <v>709</v>
      </c>
      <c r="D139" s="24" t="s">
        <v>1133</v>
      </c>
      <c r="E139" s="1" t="s">
        <v>1134</v>
      </c>
      <c r="F139" s="3" t="s">
        <v>1135</v>
      </c>
    </row>
    <row r="140" spans="1:6">
      <c r="A140" s="30">
        <v>10139</v>
      </c>
      <c r="B140" s="74" t="s">
        <v>357</v>
      </c>
      <c r="C140" s="24" t="s">
        <v>709</v>
      </c>
      <c r="D140" s="24" t="s">
        <v>866</v>
      </c>
      <c r="E140" s="1" t="s">
        <v>971</v>
      </c>
      <c r="F140" s="3" t="s">
        <v>1136</v>
      </c>
    </row>
    <row r="141" spans="1:6">
      <c r="A141" s="24">
        <v>10140</v>
      </c>
      <c r="B141" s="74" t="s">
        <v>358</v>
      </c>
      <c r="C141" s="24" t="s">
        <v>993</v>
      </c>
      <c r="D141" s="24" t="s">
        <v>1137</v>
      </c>
      <c r="E141" s="1" t="s">
        <v>969</v>
      </c>
      <c r="F141" s="3" t="s">
        <v>1138</v>
      </c>
    </row>
    <row r="142" spans="1:6">
      <c r="A142" s="24">
        <v>10141</v>
      </c>
      <c r="B142" s="74" t="s">
        <v>359</v>
      </c>
      <c r="C142" s="24" t="s">
        <v>798</v>
      </c>
      <c r="D142" s="24" t="s">
        <v>1139</v>
      </c>
      <c r="E142" s="1" t="s">
        <v>730</v>
      </c>
      <c r="F142" s="3" t="s">
        <v>1140</v>
      </c>
    </row>
    <row r="143" spans="1:6">
      <c r="A143" s="30">
        <v>10142</v>
      </c>
      <c r="B143" s="74" t="s">
        <v>360</v>
      </c>
      <c r="C143" s="24" t="s">
        <v>983</v>
      </c>
      <c r="D143" s="24" t="s">
        <v>849</v>
      </c>
      <c r="E143" s="1" t="s">
        <v>969</v>
      </c>
      <c r="F143" s="3" t="s">
        <v>1141</v>
      </c>
    </row>
    <row r="144" spans="1:6">
      <c r="A144" s="24">
        <v>10143</v>
      </c>
      <c r="B144" s="74" t="s">
        <v>361</v>
      </c>
      <c r="C144" s="24" t="s">
        <v>707</v>
      </c>
      <c r="D144" s="24" t="s">
        <v>853</v>
      </c>
      <c r="E144" s="1" t="s">
        <v>846</v>
      </c>
      <c r="F144" s="3" t="s">
        <v>1142</v>
      </c>
    </row>
    <row r="145" spans="1:6">
      <c r="A145" s="24">
        <v>10144</v>
      </c>
      <c r="B145" s="74" t="s">
        <v>362</v>
      </c>
      <c r="C145" s="24" t="s">
        <v>695</v>
      </c>
      <c r="D145" s="24" t="s">
        <v>853</v>
      </c>
      <c r="E145" s="1" t="s">
        <v>1126</v>
      </c>
      <c r="F145" s="3" t="s">
        <v>1143</v>
      </c>
    </row>
    <row r="146" spans="1:6">
      <c r="A146" s="30">
        <v>10145</v>
      </c>
      <c r="B146" s="74" t="s">
        <v>363</v>
      </c>
      <c r="C146" s="24" t="s">
        <v>707</v>
      </c>
      <c r="D146" s="24" t="s">
        <v>849</v>
      </c>
      <c r="E146" s="1" t="s">
        <v>1009</v>
      </c>
      <c r="F146" s="3" t="s">
        <v>1144</v>
      </c>
    </row>
    <row r="147" spans="1:6">
      <c r="A147" s="24">
        <v>10146</v>
      </c>
      <c r="B147" s="74" t="s">
        <v>365</v>
      </c>
      <c r="C147" s="24" t="s">
        <v>1145</v>
      </c>
      <c r="D147" s="24" t="s">
        <v>853</v>
      </c>
      <c r="E147" s="1" t="s">
        <v>695</v>
      </c>
      <c r="F147" s="3" t="s">
        <v>1146</v>
      </c>
    </row>
    <row r="148" spans="1:6">
      <c r="A148" s="24">
        <v>10147</v>
      </c>
      <c r="B148" s="74" t="s">
        <v>366</v>
      </c>
      <c r="C148" s="24" t="s">
        <v>707</v>
      </c>
      <c r="D148" s="24" t="s">
        <v>1080</v>
      </c>
      <c r="E148" s="1" t="s">
        <v>846</v>
      </c>
      <c r="F148" s="3" t="s">
        <v>1147</v>
      </c>
    </row>
    <row r="149" spans="1:6">
      <c r="A149" s="30">
        <v>10148</v>
      </c>
      <c r="B149" s="74" t="s">
        <v>368</v>
      </c>
      <c r="C149" s="24" t="s">
        <v>843</v>
      </c>
      <c r="D149" s="24" t="s">
        <v>853</v>
      </c>
      <c r="E149" s="1" t="s">
        <v>846</v>
      </c>
      <c r="F149" s="3" t="s">
        <v>1148</v>
      </c>
    </row>
    <row r="150" spans="1:6">
      <c r="A150" s="24">
        <v>10149</v>
      </c>
      <c r="B150" s="74" t="s">
        <v>371</v>
      </c>
      <c r="C150" s="24" t="s">
        <v>1007</v>
      </c>
      <c r="D150" s="24" t="s">
        <v>932</v>
      </c>
      <c r="E150" s="1" t="s">
        <v>1009</v>
      </c>
      <c r="F150" s="3" t="s">
        <v>1149</v>
      </c>
    </row>
    <row r="151" spans="1:6">
      <c r="A151" s="24">
        <v>10150</v>
      </c>
      <c r="B151" s="74" t="s">
        <v>375</v>
      </c>
      <c r="C151" s="24" t="s">
        <v>709</v>
      </c>
      <c r="D151" s="24" t="s">
        <v>853</v>
      </c>
      <c r="E151" s="1" t="s">
        <v>1037</v>
      </c>
      <c r="F151" s="3" t="s">
        <v>1150</v>
      </c>
    </row>
    <row r="152" spans="1:6">
      <c r="A152" s="30">
        <v>10151</v>
      </c>
      <c r="B152" s="74" t="s">
        <v>376</v>
      </c>
      <c r="C152" s="24" t="s">
        <v>693</v>
      </c>
      <c r="D152" s="24" t="s">
        <v>853</v>
      </c>
      <c r="E152" s="1" t="s">
        <v>1009</v>
      </c>
      <c r="F152" s="3" t="s">
        <v>1151</v>
      </c>
    </row>
    <row r="153" spans="1:6">
      <c r="A153" s="24">
        <v>10152</v>
      </c>
      <c r="B153" s="74" t="s">
        <v>377</v>
      </c>
      <c r="C153" s="24" t="s">
        <v>843</v>
      </c>
      <c r="D153" s="24" t="s">
        <v>853</v>
      </c>
      <c r="E153" s="1" t="s">
        <v>846</v>
      </c>
      <c r="F153" s="3" t="s">
        <v>1152</v>
      </c>
    </row>
    <row r="154" spans="1:6">
      <c r="A154" s="24">
        <v>10153</v>
      </c>
      <c r="B154" s="74" t="s">
        <v>378</v>
      </c>
      <c r="C154" s="24" t="s">
        <v>707</v>
      </c>
      <c r="D154" s="24" t="s">
        <v>853</v>
      </c>
      <c r="E154" s="1" t="s">
        <v>1153</v>
      </c>
      <c r="F154" s="3" t="s">
        <v>1154</v>
      </c>
    </row>
    <row r="155" spans="1:6">
      <c r="A155" s="30">
        <v>10154</v>
      </c>
      <c r="B155" s="74" t="s">
        <v>379</v>
      </c>
      <c r="C155" s="24" t="s">
        <v>826</v>
      </c>
      <c r="D155" s="24" t="s">
        <v>866</v>
      </c>
      <c r="E155" s="1" t="s">
        <v>730</v>
      </c>
      <c r="F155" s="3" t="s">
        <v>1155</v>
      </c>
    </row>
    <row r="156" spans="1:6">
      <c r="A156" s="24">
        <v>10155</v>
      </c>
      <c r="B156" s="74" t="s">
        <v>380</v>
      </c>
      <c r="C156" s="24" t="s">
        <v>709</v>
      </c>
      <c r="D156" s="24" t="s">
        <v>1048</v>
      </c>
      <c r="E156" s="1" t="s">
        <v>846</v>
      </c>
      <c r="F156" s="3" t="s">
        <v>1156</v>
      </c>
    </row>
    <row r="157" spans="1:6">
      <c r="A157" s="24">
        <v>10156</v>
      </c>
      <c r="B157" s="74" t="s">
        <v>381</v>
      </c>
      <c r="C157" s="24" t="s">
        <v>975</v>
      </c>
      <c r="D157" s="24" t="s">
        <v>1078</v>
      </c>
      <c r="E157" s="1" t="s">
        <v>695</v>
      </c>
      <c r="F157" s="3" t="s">
        <v>1157</v>
      </c>
    </row>
    <row r="158" spans="1:6">
      <c r="A158" s="30">
        <v>10157</v>
      </c>
      <c r="B158" s="74" t="s">
        <v>382</v>
      </c>
      <c r="C158" s="24" t="s">
        <v>711</v>
      </c>
      <c r="D158" s="24" t="s">
        <v>849</v>
      </c>
      <c r="E158" s="1" t="s">
        <v>695</v>
      </c>
      <c r="F158" s="3" t="s">
        <v>1158</v>
      </c>
    </row>
    <row r="159" spans="1:6">
      <c r="A159" s="24">
        <v>10158</v>
      </c>
      <c r="B159" s="74" t="s">
        <v>385</v>
      </c>
      <c r="C159" s="24" t="s">
        <v>993</v>
      </c>
      <c r="D159" s="24" t="s">
        <v>853</v>
      </c>
      <c r="E159" s="1" t="s">
        <v>969</v>
      </c>
      <c r="F159" s="3" t="s">
        <v>1159</v>
      </c>
    </row>
    <row r="160" spans="1:6">
      <c r="A160" s="24">
        <v>10159</v>
      </c>
      <c r="B160" s="74" t="s">
        <v>386</v>
      </c>
      <c r="C160" s="24" t="s">
        <v>993</v>
      </c>
      <c r="D160" s="24" t="s">
        <v>1160</v>
      </c>
      <c r="E160" s="1" t="s">
        <v>969</v>
      </c>
      <c r="F160" s="3" t="s">
        <v>1161</v>
      </c>
    </row>
    <row r="161" spans="1:6">
      <c r="A161" s="30">
        <v>10160</v>
      </c>
      <c r="B161" s="74" t="s">
        <v>388</v>
      </c>
      <c r="C161" s="24" t="s">
        <v>709</v>
      </c>
      <c r="D161" s="24" t="s">
        <v>1080</v>
      </c>
      <c r="E161" s="1" t="s">
        <v>971</v>
      </c>
      <c r="F161" s="3" t="s">
        <v>1162</v>
      </c>
    </row>
    <row r="162" spans="1:6">
      <c r="A162" s="24">
        <v>10161</v>
      </c>
      <c r="B162" s="74" t="s">
        <v>389</v>
      </c>
      <c r="C162" s="24" t="s">
        <v>843</v>
      </c>
      <c r="D162" s="24" t="s">
        <v>853</v>
      </c>
      <c r="E162" s="1" t="s">
        <v>846</v>
      </c>
      <c r="F162" s="3" t="s">
        <v>1163</v>
      </c>
    </row>
    <row r="163" spans="1:6">
      <c r="A163" s="24">
        <v>10162</v>
      </c>
      <c r="B163" s="74" t="s">
        <v>390</v>
      </c>
      <c r="C163" s="24" t="s">
        <v>707</v>
      </c>
      <c r="D163" s="24" t="s">
        <v>1164</v>
      </c>
      <c r="E163" s="1" t="s">
        <v>846</v>
      </c>
      <c r="F163" s="3" t="s">
        <v>1165</v>
      </c>
    </row>
    <row r="164" spans="1:6">
      <c r="A164" s="30">
        <v>10163</v>
      </c>
      <c r="B164" s="74" t="s">
        <v>391</v>
      </c>
      <c r="C164" s="24" t="s">
        <v>826</v>
      </c>
      <c r="D164" s="24" t="s">
        <v>853</v>
      </c>
      <c r="E164" s="1" t="s">
        <v>730</v>
      </c>
      <c r="F164" s="3" t="s">
        <v>1166</v>
      </c>
    </row>
    <row r="165" spans="1:6">
      <c r="A165" s="24">
        <v>10164</v>
      </c>
      <c r="B165" s="74" t="s">
        <v>392</v>
      </c>
      <c r="C165" s="24" t="s">
        <v>826</v>
      </c>
      <c r="D165" s="24" t="s">
        <v>1167</v>
      </c>
      <c r="E165" s="1" t="s">
        <v>723</v>
      </c>
      <c r="F165" s="3" t="s">
        <v>1168</v>
      </c>
    </row>
    <row r="166" spans="1:6">
      <c r="A166" s="24">
        <v>10165</v>
      </c>
      <c r="B166" s="74" t="s">
        <v>393</v>
      </c>
      <c r="C166" s="24" t="s">
        <v>975</v>
      </c>
      <c r="D166" s="24" t="s">
        <v>853</v>
      </c>
      <c r="E166" s="1" t="s">
        <v>695</v>
      </c>
      <c r="F166" s="3" t="s">
        <v>1169</v>
      </c>
    </row>
    <row r="167" spans="1:6">
      <c r="A167" s="30">
        <v>10166</v>
      </c>
      <c r="B167" s="74" t="s">
        <v>394</v>
      </c>
      <c r="C167" s="24" t="s">
        <v>1170</v>
      </c>
      <c r="D167" s="24" t="s">
        <v>1102</v>
      </c>
      <c r="E167" s="1" t="s">
        <v>1171</v>
      </c>
      <c r="F167" s="3" t="s">
        <v>1172</v>
      </c>
    </row>
    <row r="168" spans="1:6">
      <c r="A168" s="24">
        <v>10167</v>
      </c>
      <c r="B168" s="74" t="s">
        <v>397</v>
      </c>
      <c r="C168" s="24" t="s">
        <v>705</v>
      </c>
      <c r="D168" s="24" t="s">
        <v>954</v>
      </c>
      <c r="E168" s="1" t="s">
        <v>705</v>
      </c>
      <c r="F168" s="3" t="s">
        <v>1173</v>
      </c>
    </row>
    <row r="169" spans="1:6">
      <c r="A169" s="24">
        <v>10168</v>
      </c>
      <c r="B169" s="74" t="s">
        <v>399</v>
      </c>
      <c r="C169" s="24" t="s">
        <v>718</v>
      </c>
      <c r="D169" s="24" t="s">
        <v>1102</v>
      </c>
      <c r="E169" s="1" t="s">
        <v>1097</v>
      </c>
      <c r="F169" s="3" t="s">
        <v>1174</v>
      </c>
    </row>
    <row r="170" spans="1:6">
      <c r="A170" s="30">
        <v>10169</v>
      </c>
      <c r="B170" s="74" t="s">
        <v>400</v>
      </c>
      <c r="C170" s="24" t="s">
        <v>777</v>
      </c>
      <c r="D170" s="24" t="s">
        <v>866</v>
      </c>
      <c r="E170" s="1" t="s">
        <v>730</v>
      </c>
      <c r="F170" s="3" t="s">
        <v>1175</v>
      </c>
    </row>
    <row r="171" spans="1:6">
      <c r="A171" s="24">
        <v>10170</v>
      </c>
      <c r="B171" s="74" t="s">
        <v>401</v>
      </c>
      <c r="C171" s="24" t="s">
        <v>975</v>
      </c>
      <c r="D171" s="24" t="s">
        <v>866</v>
      </c>
      <c r="E171" s="1" t="s">
        <v>695</v>
      </c>
      <c r="F171" s="3" t="s">
        <v>1176</v>
      </c>
    </row>
    <row r="172" spans="1:6">
      <c r="A172" s="24">
        <v>10171</v>
      </c>
      <c r="B172" s="74" t="s">
        <v>402</v>
      </c>
      <c r="C172" s="24" t="s">
        <v>693</v>
      </c>
      <c r="D172" s="24" t="s">
        <v>853</v>
      </c>
      <c r="E172" s="1" t="s">
        <v>969</v>
      </c>
      <c r="F172" s="3" t="s">
        <v>1177</v>
      </c>
    </row>
    <row r="173" spans="1:6">
      <c r="A173" s="30">
        <v>10172</v>
      </c>
      <c r="B173" s="74" t="s">
        <v>405</v>
      </c>
      <c r="C173" s="24" t="s">
        <v>707</v>
      </c>
      <c r="D173" s="24" t="s">
        <v>866</v>
      </c>
      <c r="E173" s="1" t="s">
        <v>1134</v>
      </c>
      <c r="F173" s="3" t="s">
        <v>1178</v>
      </c>
    </row>
    <row r="174" spans="1:6">
      <c r="A174" s="24">
        <v>10173</v>
      </c>
      <c r="B174" s="74" t="s">
        <v>408</v>
      </c>
      <c r="C174" s="24" t="s">
        <v>1179</v>
      </c>
      <c r="D174" s="24" t="s">
        <v>1180</v>
      </c>
      <c r="E174" s="1" t="s">
        <v>846</v>
      </c>
      <c r="F174" s="3" t="s">
        <v>1181</v>
      </c>
    </row>
    <row r="175" spans="1:6">
      <c r="A175" s="24">
        <v>10174</v>
      </c>
      <c r="B175" s="74" t="s">
        <v>409</v>
      </c>
      <c r="C175" s="24" t="s">
        <v>718</v>
      </c>
      <c r="D175" s="24" t="s">
        <v>954</v>
      </c>
      <c r="E175" s="1" t="s">
        <v>705</v>
      </c>
      <c r="F175" s="3" t="s">
        <v>1182</v>
      </c>
    </row>
    <row r="176" spans="1:6">
      <c r="A176" s="30">
        <v>10175</v>
      </c>
      <c r="B176" s="74" t="s">
        <v>412</v>
      </c>
      <c r="C176" s="24" t="s">
        <v>709</v>
      </c>
      <c r="D176" s="24" t="s">
        <v>853</v>
      </c>
      <c r="E176" s="1" t="s">
        <v>1134</v>
      </c>
      <c r="F176" s="3" t="s">
        <v>1183</v>
      </c>
    </row>
    <row r="177" spans="1:6">
      <c r="A177" s="24">
        <v>10176</v>
      </c>
      <c r="B177" s="74" t="s">
        <v>413</v>
      </c>
      <c r="C177" s="24" t="s">
        <v>709</v>
      </c>
      <c r="D177" s="24" t="s">
        <v>853</v>
      </c>
      <c r="E177" s="1" t="s">
        <v>846</v>
      </c>
      <c r="F177" s="3" t="s">
        <v>1184</v>
      </c>
    </row>
    <row r="178" spans="1:6">
      <c r="A178" s="24">
        <v>10177</v>
      </c>
      <c r="B178" s="74" t="s">
        <v>414</v>
      </c>
      <c r="C178" s="24" t="s">
        <v>693</v>
      </c>
      <c r="D178" s="24" t="s">
        <v>853</v>
      </c>
      <c r="E178" s="1" t="s">
        <v>969</v>
      </c>
      <c r="F178" s="3" t="s">
        <v>1185</v>
      </c>
    </row>
    <row r="179" spans="1:6">
      <c r="A179" s="30">
        <v>10178</v>
      </c>
      <c r="B179" s="74" t="s">
        <v>415</v>
      </c>
      <c r="C179" s="24" t="s">
        <v>777</v>
      </c>
      <c r="D179" s="24" t="s">
        <v>853</v>
      </c>
      <c r="E179" s="1" t="s">
        <v>730</v>
      </c>
      <c r="F179" s="3" t="s">
        <v>1186</v>
      </c>
    </row>
    <row r="180" spans="1:6">
      <c r="A180" s="24">
        <v>10179</v>
      </c>
      <c r="B180" s="74" t="s">
        <v>416</v>
      </c>
      <c r="C180" s="24" t="s">
        <v>826</v>
      </c>
      <c r="D180" s="24" t="s">
        <v>853</v>
      </c>
      <c r="E180" s="1" t="s">
        <v>730</v>
      </c>
      <c r="F180" s="3" t="s">
        <v>1187</v>
      </c>
    </row>
    <row r="181" spans="1:6">
      <c r="A181" s="24">
        <v>10180</v>
      </c>
      <c r="B181" s="74" t="s">
        <v>417</v>
      </c>
      <c r="C181" s="24" t="s">
        <v>693</v>
      </c>
      <c r="D181" s="24" t="s">
        <v>853</v>
      </c>
      <c r="E181" s="1" t="s">
        <v>749</v>
      </c>
      <c r="F181" s="3" t="s">
        <v>1188</v>
      </c>
    </row>
    <row r="182" spans="1:6">
      <c r="A182" s="30">
        <v>10181</v>
      </c>
      <c r="B182" s="74" t="s">
        <v>420</v>
      </c>
      <c r="C182" s="24" t="s">
        <v>693</v>
      </c>
      <c r="D182" s="24" t="s">
        <v>853</v>
      </c>
      <c r="E182" s="1" t="s">
        <v>1189</v>
      </c>
      <c r="F182" s="3" t="s">
        <v>1190</v>
      </c>
    </row>
    <row r="183" spans="1:6">
      <c r="A183" s="24">
        <v>10182</v>
      </c>
      <c r="B183" s="74" t="s">
        <v>421</v>
      </c>
      <c r="C183" s="24" t="s">
        <v>709</v>
      </c>
      <c r="D183" s="24" t="s">
        <v>1191</v>
      </c>
      <c r="E183" s="1" t="s">
        <v>846</v>
      </c>
      <c r="F183" s="3" t="s">
        <v>1192</v>
      </c>
    </row>
    <row r="184" spans="1:6">
      <c r="A184" s="24">
        <v>10183</v>
      </c>
      <c r="B184" s="74" t="s">
        <v>422</v>
      </c>
      <c r="C184" s="24" t="s">
        <v>707</v>
      </c>
      <c r="D184" s="24" t="s">
        <v>1078</v>
      </c>
      <c r="E184" s="1" t="s">
        <v>971</v>
      </c>
      <c r="F184" s="3" t="s">
        <v>1193</v>
      </c>
    </row>
    <row r="185" spans="1:6">
      <c r="A185" s="30">
        <v>10184</v>
      </c>
      <c r="B185" s="74" t="s">
        <v>425</v>
      </c>
      <c r="C185" s="24" t="s">
        <v>707</v>
      </c>
      <c r="D185" s="24" t="s">
        <v>1194</v>
      </c>
      <c r="E185" s="1" t="s">
        <v>1053</v>
      </c>
      <c r="F185" s="3" t="s">
        <v>1195</v>
      </c>
    </row>
    <row r="186" spans="1:6">
      <c r="A186" s="24">
        <v>10185</v>
      </c>
      <c r="B186" s="74" t="s">
        <v>426</v>
      </c>
      <c r="C186" s="24" t="s">
        <v>826</v>
      </c>
      <c r="D186" s="24" t="s">
        <v>936</v>
      </c>
      <c r="E186" s="1" t="s">
        <v>723</v>
      </c>
      <c r="F186" s="3" t="s">
        <v>1196</v>
      </c>
    </row>
    <row r="187" spans="1:6">
      <c r="A187" s="24">
        <v>10186</v>
      </c>
      <c r="B187" s="74" t="s">
        <v>427</v>
      </c>
      <c r="C187" s="24" t="s">
        <v>709</v>
      </c>
      <c r="D187" s="24" t="s">
        <v>853</v>
      </c>
      <c r="E187" s="1" t="s">
        <v>749</v>
      </c>
      <c r="F187" s="3" t="s">
        <v>1197</v>
      </c>
    </row>
    <row r="188" spans="1:6">
      <c r="A188" s="30">
        <v>10187</v>
      </c>
      <c r="B188" s="74" t="s">
        <v>430</v>
      </c>
      <c r="C188" s="24" t="s">
        <v>1198</v>
      </c>
      <c r="D188" s="24" t="s">
        <v>849</v>
      </c>
      <c r="E188" s="1" t="s">
        <v>1126</v>
      </c>
      <c r="F188" s="3" t="s">
        <v>1199</v>
      </c>
    </row>
    <row r="189" spans="1:6">
      <c r="A189" s="24">
        <v>10188</v>
      </c>
      <c r="B189" s="74" t="s">
        <v>431</v>
      </c>
      <c r="C189" s="24" t="s">
        <v>826</v>
      </c>
      <c r="D189" s="41" t="s">
        <v>1200</v>
      </c>
      <c r="E189" s="1" t="s">
        <v>730</v>
      </c>
      <c r="F189" s="3"/>
    </row>
    <row r="190" spans="1:6">
      <c r="A190" s="24">
        <v>10189</v>
      </c>
      <c r="B190" s="74" t="s">
        <v>432</v>
      </c>
      <c r="C190" s="24" t="s">
        <v>1096</v>
      </c>
      <c r="D190" s="24" t="s">
        <v>1201</v>
      </c>
      <c r="E190" s="1"/>
      <c r="F190" s="3" t="s">
        <v>1202</v>
      </c>
    </row>
    <row r="191" spans="1:6">
      <c r="A191" s="30">
        <v>10190</v>
      </c>
      <c r="B191" s="74" t="s">
        <v>435</v>
      </c>
      <c r="C191" s="24" t="s">
        <v>709</v>
      </c>
      <c r="D191" s="24" t="s">
        <v>849</v>
      </c>
      <c r="E191" s="1" t="s">
        <v>1053</v>
      </c>
      <c r="F191" s="3" t="s">
        <v>1203</v>
      </c>
    </row>
    <row r="192" spans="1:6">
      <c r="A192" s="24">
        <v>10191</v>
      </c>
      <c r="B192" s="74" t="s">
        <v>436</v>
      </c>
      <c r="C192" s="24" t="s">
        <v>808</v>
      </c>
      <c r="D192" s="24" t="s">
        <v>853</v>
      </c>
      <c r="E192" s="1" t="s">
        <v>1053</v>
      </c>
      <c r="F192" s="3" t="s">
        <v>1204</v>
      </c>
    </row>
    <row r="193" spans="1:6">
      <c r="A193" s="24">
        <v>10192</v>
      </c>
      <c r="B193" s="74" t="s">
        <v>437</v>
      </c>
      <c r="C193" s="24" t="s">
        <v>1205</v>
      </c>
      <c r="D193" s="24" t="s">
        <v>936</v>
      </c>
      <c r="E193" s="1" t="s">
        <v>1171</v>
      </c>
      <c r="F193" s="3" t="s">
        <v>1206</v>
      </c>
    </row>
    <row r="194" spans="1:6">
      <c r="A194" s="30">
        <v>10193</v>
      </c>
      <c r="B194" s="74" t="s">
        <v>439</v>
      </c>
      <c r="C194" s="24" t="s">
        <v>1112</v>
      </c>
      <c r="D194" s="24" t="s">
        <v>853</v>
      </c>
      <c r="E194" s="1" t="s">
        <v>1171</v>
      </c>
      <c r="F194" s="3" t="s">
        <v>1207</v>
      </c>
    </row>
    <row r="195" spans="1:6">
      <c r="A195" s="24">
        <v>10194</v>
      </c>
      <c r="B195" s="74" t="s">
        <v>440</v>
      </c>
      <c r="C195" s="24" t="s">
        <v>707</v>
      </c>
      <c r="D195" s="24" t="s">
        <v>849</v>
      </c>
      <c r="E195" s="1" t="s">
        <v>726</v>
      </c>
      <c r="F195" s="3" t="s">
        <v>1208</v>
      </c>
    </row>
    <row r="196" spans="1:6">
      <c r="A196" s="24">
        <v>10195</v>
      </c>
      <c r="B196" s="74" t="s">
        <v>441</v>
      </c>
      <c r="C196" s="24" t="s">
        <v>1209</v>
      </c>
      <c r="D196" s="24" t="s">
        <v>1210</v>
      </c>
      <c r="E196" s="1"/>
      <c r="F196" s="3" t="s">
        <v>1211</v>
      </c>
    </row>
    <row r="197" spans="1:6">
      <c r="A197" s="30">
        <v>10196</v>
      </c>
      <c r="B197" s="74" t="s">
        <v>442</v>
      </c>
      <c r="C197" s="24" t="s">
        <v>709</v>
      </c>
      <c r="D197" s="24" t="s">
        <v>954</v>
      </c>
      <c r="E197" s="1" t="s">
        <v>971</v>
      </c>
      <c r="F197" s="3" t="s">
        <v>1212</v>
      </c>
    </row>
    <row r="198" spans="1:6">
      <c r="A198" s="24">
        <v>10197</v>
      </c>
      <c r="B198" s="74" t="s">
        <v>445</v>
      </c>
      <c r="C198" s="24" t="s">
        <v>802</v>
      </c>
      <c r="D198" s="24" t="s">
        <v>954</v>
      </c>
      <c r="E198" s="1" t="s">
        <v>969</v>
      </c>
      <c r="F198" s="3" t="s">
        <v>1213</v>
      </c>
    </row>
    <row r="199" spans="1:6">
      <c r="A199" s="24">
        <v>10198</v>
      </c>
      <c r="B199" s="74" t="s">
        <v>446</v>
      </c>
      <c r="C199" s="24" t="s">
        <v>802</v>
      </c>
      <c r="D199" s="24" t="s">
        <v>853</v>
      </c>
      <c r="E199" s="1" t="s">
        <v>969</v>
      </c>
      <c r="F199" s="3" t="s">
        <v>1214</v>
      </c>
    </row>
    <row r="200" spans="1:6">
      <c r="A200" s="30">
        <v>10199</v>
      </c>
      <c r="B200" s="74" t="s">
        <v>447</v>
      </c>
      <c r="C200" s="24" t="s">
        <v>709</v>
      </c>
      <c r="D200" s="24" t="s">
        <v>853</v>
      </c>
      <c r="E200" s="1" t="s">
        <v>846</v>
      </c>
      <c r="F200" s="3" t="s">
        <v>1215</v>
      </c>
    </row>
    <row r="201" spans="1:6">
      <c r="A201" s="24">
        <v>10200</v>
      </c>
      <c r="B201" s="74" t="s">
        <v>448</v>
      </c>
      <c r="C201" s="24" t="s">
        <v>712</v>
      </c>
      <c r="D201" s="24" t="s">
        <v>853</v>
      </c>
      <c r="E201" s="1" t="s">
        <v>723</v>
      </c>
      <c r="F201" s="3" t="s">
        <v>1216</v>
      </c>
    </row>
    <row r="202" spans="1:6">
      <c r="A202" s="24">
        <v>10201</v>
      </c>
      <c r="B202" s="74" t="s">
        <v>449</v>
      </c>
      <c r="C202" s="24" t="s">
        <v>1217</v>
      </c>
      <c r="D202" s="41" t="s">
        <v>1078</v>
      </c>
      <c r="E202" s="1" t="s">
        <v>1126</v>
      </c>
      <c r="F202" s="3"/>
    </row>
    <row r="203" spans="1:6">
      <c r="A203" s="30">
        <v>10202</v>
      </c>
      <c r="B203" s="74" t="s">
        <v>452</v>
      </c>
      <c r="C203" s="24" t="s">
        <v>975</v>
      </c>
      <c r="D203" s="24" t="s">
        <v>856</v>
      </c>
      <c r="E203" s="1" t="s">
        <v>695</v>
      </c>
      <c r="F203" s="3" t="s">
        <v>1218</v>
      </c>
    </row>
    <row r="204" spans="1:6">
      <c r="A204" s="24">
        <v>10203</v>
      </c>
      <c r="B204" s="74" t="s">
        <v>453</v>
      </c>
      <c r="C204" s="24" t="s">
        <v>1096</v>
      </c>
      <c r="D204" s="24" t="s">
        <v>1164</v>
      </c>
      <c r="E204" s="1" t="s">
        <v>1097</v>
      </c>
      <c r="F204" s="3" t="s">
        <v>1219</v>
      </c>
    </row>
    <row r="205" spans="1:6">
      <c r="A205" s="24">
        <v>10204</v>
      </c>
      <c r="B205" s="74" t="s">
        <v>454</v>
      </c>
      <c r="C205" s="24" t="s">
        <v>718</v>
      </c>
      <c r="D205" s="24" t="s">
        <v>1220</v>
      </c>
      <c r="E205" s="1" t="s">
        <v>1097</v>
      </c>
      <c r="F205" s="3" t="s">
        <v>1221</v>
      </c>
    </row>
    <row r="206" spans="1:6">
      <c r="A206" s="30">
        <v>10205</v>
      </c>
      <c r="B206" s="74" t="s">
        <v>455</v>
      </c>
      <c r="C206" s="24" t="s">
        <v>709</v>
      </c>
      <c r="D206" s="24" t="s">
        <v>849</v>
      </c>
      <c r="E206" s="1" t="s">
        <v>1009</v>
      </c>
      <c r="F206" s="3" t="s">
        <v>1222</v>
      </c>
    </row>
    <row r="207" spans="1:6">
      <c r="A207" s="24">
        <v>10206</v>
      </c>
      <c r="B207" s="74" t="s">
        <v>458</v>
      </c>
      <c r="C207" s="24" t="s">
        <v>860</v>
      </c>
      <c r="D207" s="24" t="s">
        <v>1220</v>
      </c>
      <c r="E207" s="1" t="s">
        <v>695</v>
      </c>
      <c r="F207" s="3" t="s">
        <v>1223</v>
      </c>
    </row>
    <row r="208" spans="1:6">
      <c r="A208" s="24">
        <v>10207</v>
      </c>
      <c r="B208" s="74" t="s">
        <v>459</v>
      </c>
      <c r="C208" s="24" t="s">
        <v>707</v>
      </c>
      <c r="D208" s="24" t="s">
        <v>1224</v>
      </c>
      <c r="E208" s="1" t="s">
        <v>1009</v>
      </c>
      <c r="F208" s="3" t="s">
        <v>1225</v>
      </c>
    </row>
    <row r="209" spans="1:6">
      <c r="A209" s="30">
        <v>10208</v>
      </c>
      <c r="B209" s="74" t="s">
        <v>462</v>
      </c>
      <c r="C209" s="24" t="s">
        <v>709</v>
      </c>
      <c r="D209" s="24" t="s">
        <v>1226</v>
      </c>
      <c r="E209" s="1" t="s">
        <v>846</v>
      </c>
      <c r="F209" s="3" t="s">
        <v>1227</v>
      </c>
    </row>
    <row r="210" spans="1:6">
      <c r="A210" s="24">
        <v>10209</v>
      </c>
      <c r="B210" s="74" t="s">
        <v>463</v>
      </c>
      <c r="C210" s="24" t="s">
        <v>993</v>
      </c>
      <c r="D210" s="24" t="s">
        <v>954</v>
      </c>
      <c r="E210" s="1" t="s">
        <v>969</v>
      </c>
      <c r="F210" s="3" t="s">
        <v>1228</v>
      </c>
    </row>
    <row r="211" spans="1:6">
      <c r="A211" s="24">
        <v>10210</v>
      </c>
      <c r="B211" s="74" t="s">
        <v>464</v>
      </c>
      <c r="C211" s="24" t="s">
        <v>707</v>
      </c>
      <c r="D211" s="24" t="s">
        <v>1229</v>
      </c>
      <c r="E211" s="1" t="s">
        <v>1009</v>
      </c>
      <c r="F211" s="3" t="s">
        <v>1230</v>
      </c>
    </row>
    <row r="212" spans="1:6">
      <c r="A212" s="30">
        <v>10211</v>
      </c>
      <c r="B212" s="74" t="s">
        <v>465</v>
      </c>
      <c r="C212" s="24" t="s">
        <v>1209</v>
      </c>
      <c r="D212" s="24" t="s">
        <v>853</v>
      </c>
      <c r="E212" s="1" t="s">
        <v>1171</v>
      </c>
      <c r="F212" s="3" t="s">
        <v>1231</v>
      </c>
    </row>
    <row r="213" spans="1:6">
      <c r="A213" s="24">
        <v>10212</v>
      </c>
      <c r="B213" s="74" t="s">
        <v>466</v>
      </c>
      <c r="C213" s="24" t="s">
        <v>1205</v>
      </c>
      <c r="D213" s="24" t="s">
        <v>1232</v>
      </c>
      <c r="E213" s="1" t="s">
        <v>1171</v>
      </c>
      <c r="F213" s="3" t="s">
        <v>1233</v>
      </c>
    </row>
    <row r="214" spans="1:6">
      <c r="A214" s="24">
        <v>10213</v>
      </c>
      <c r="B214" s="74" t="s">
        <v>469</v>
      </c>
      <c r="C214" s="24" t="s">
        <v>707</v>
      </c>
      <c r="D214" s="24" t="s">
        <v>839</v>
      </c>
      <c r="E214" s="1" t="s">
        <v>846</v>
      </c>
      <c r="F214" s="3" t="s">
        <v>1234</v>
      </c>
    </row>
    <row r="215" spans="1:6">
      <c r="A215" s="30">
        <v>10214</v>
      </c>
      <c r="B215" s="74" t="s">
        <v>470</v>
      </c>
      <c r="C215" s="24" t="s">
        <v>707</v>
      </c>
      <c r="D215" s="24" t="s">
        <v>1235</v>
      </c>
      <c r="E215" s="1" t="s">
        <v>1236</v>
      </c>
      <c r="F215" s="3" t="s">
        <v>1237</v>
      </c>
    </row>
    <row r="216" spans="1:6">
      <c r="A216" s="24">
        <v>10215</v>
      </c>
      <c r="B216" s="74" t="s">
        <v>471</v>
      </c>
      <c r="C216" s="24" t="s">
        <v>709</v>
      </c>
      <c r="D216" s="24" t="s">
        <v>1238</v>
      </c>
      <c r="E216" s="1" t="s">
        <v>846</v>
      </c>
      <c r="F216" s="3" t="s">
        <v>1239</v>
      </c>
    </row>
    <row r="217" spans="1:6">
      <c r="A217" s="24">
        <v>10216</v>
      </c>
      <c r="B217" s="74" t="s">
        <v>474</v>
      </c>
      <c r="C217" s="24" t="s">
        <v>709</v>
      </c>
      <c r="D217" s="24" t="s">
        <v>1080</v>
      </c>
      <c r="E217" s="1" t="s">
        <v>971</v>
      </c>
      <c r="F217" s="3" t="s">
        <v>1240</v>
      </c>
    </row>
    <row r="218" spans="1:6">
      <c r="A218" s="30">
        <v>10217</v>
      </c>
      <c r="B218" s="74" t="s">
        <v>475</v>
      </c>
      <c r="C218" s="24" t="s">
        <v>695</v>
      </c>
      <c r="D218" s="24" t="s">
        <v>1241</v>
      </c>
      <c r="E218" s="1" t="s">
        <v>695</v>
      </c>
      <c r="F218" s="3" t="s">
        <v>1242</v>
      </c>
    </row>
    <row r="219" spans="1:6">
      <c r="A219" s="24">
        <v>10218</v>
      </c>
      <c r="B219" s="74" t="s">
        <v>476</v>
      </c>
      <c r="C219" s="24" t="s">
        <v>707</v>
      </c>
      <c r="D219" s="24" t="s">
        <v>1243</v>
      </c>
      <c r="E219" s="1" t="s">
        <v>1244</v>
      </c>
      <c r="F219" s="3" t="s">
        <v>1245</v>
      </c>
    </row>
    <row r="220" spans="1:6">
      <c r="A220" s="24">
        <v>10219</v>
      </c>
      <c r="B220" s="74" t="s">
        <v>479</v>
      </c>
      <c r="C220" s="24" t="s">
        <v>709</v>
      </c>
      <c r="D220" s="24" t="s">
        <v>1246</v>
      </c>
      <c r="E220" s="1" t="s">
        <v>1244</v>
      </c>
      <c r="F220" s="3" t="s">
        <v>1247</v>
      </c>
    </row>
    <row r="221" spans="1:6">
      <c r="A221" s="30">
        <v>10220</v>
      </c>
      <c r="B221" s="74" t="s">
        <v>482</v>
      </c>
      <c r="C221" s="24" t="s">
        <v>975</v>
      </c>
      <c r="D221" s="24" t="s">
        <v>853</v>
      </c>
      <c r="E221" s="1" t="s">
        <v>730</v>
      </c>
      <c r="F221" s="3" t="s">
        <v>1248</v>
      </c>
    </row>
    <row r="222" spans="1:6">
      <c r="A222" s="24">
        <v>10221</v>
      </c>
      <c r="B222" s="74" t="s">
        <v>486</v>
      </c>
      <c r="C222" s="24" t="s">
        <v>712</v>
      </c>
      <c r="D222" s="24" t="s">
        <v>866</v>
      </c>
      <c r="E222" s="1" t="s">
        <v>730</v>
      </c>
      <c r="F222" s="3" t="s">
        <v>1249</v>
      </c>
    </row>
    <row r="223" spans="1:6">
      <c r="A223" s="24">
        <v>10222</v>
      </c>
      <c r="B223" s="74" t="s">
        <v>487</v>
      </c>
      <c r="C223" s="24" t="s">
        <v>1034</v>
      </c>
      <c r="D223" s="24" t="s">
        <v>1250</v>
      </c>
      <c r="E223" s="1" t="s">
        <v>1009</v>
      </c>
      <c r="F223" s="3" t="s">
        <v>1251</v>
      </c>
    </row>
    <row r="224" spans="1:6">
      <c r="A224" s="30">
        <v>10223</v>
      </c>
      <c r="B224" s="74" t="s">
        <v>488</v>
      </c>
      <c r="C224" s="24" t="s">
        <v>712</v>
      </c>
      <c r="D224" s="24" t="s">
        <v>853</v>
      </c>
      <c r="E224" s="1" t="s">
        <v>723</v>
      </c>
      <c r="F224" s="3" t="s">
        <v>1252</v>
      </c>
    </row>
    <row r="225" spans="1:6">
      <c r="A225" s="24">
        <v>10224</v>
      </c>
      <c r="B225" s="74" t="s">
        <v>489</v>
      </c>
      <c r="C225" s="24" t="s">
        <v>16</v>
      </c>
      <c r="D225" s="24" t="s">
        <v>1253</v>
      </c>
      <c r="E225" s="1" t="s">
        <v>730</v>
      </c>
      <c r="F225" s="3" t="s">
        <v>1254</v>
      </c>
    </row>
    <row r="226" spans="1:6">
      <c r="A226" s="24">
        <v>10225</v>
      </c>
      <c r="B226" s="74" t="s">
        <v>492</v>
      </c>
      <c r="C226" s="24" t="s">
        <v>777</v>
      </c>
      <c r="D226" s="24" t="s">
        <v>932</v>
      </c>
      <c r="E226" s="1" t="s">
        <v>730</v>
      </c>
      <c r="F226" s="3" t="s">
        <v>1255</v>
      </c>
    </row>
    <row r="227" spans="1:6">
      <c r="A227" s="30">
        <v>10226</v>
      </c>
      <c r="B227" s="74" t="s">
        <v>495</v>
      </c>
      <c r="C227" s="24" t="s">
        <v>1034</v>
      </c>
      <c r="D227" s="24" t="s">
        <v>1256</v>
      </c>
      <c r="E227" s="1" t="s">
        <v>971</v>
      </c>
      <c r="F227" s="3" t="s">
        <v>1257</v>
      </c>
    </row>
    <row r="228" spans="1:6">
      <c r="A228" s="24">
        <v>10227</v>
      </c>
      <c r="B228" s="74" t="s">
        <v>496</v>
      </c>
      <c r="C228" s="24" t="s">
        <v>1034</v>
      </c>
      <c r="D228" s="24" t="s">
        <v>1258</v>
      </c>
      <c r="E228" s="1" t="s">
        <v>971</v>
      </c>
      <c r="F228" s="3" t="s">
        <v>1259</v>
      </c>
    </row>
    <row r="229" spans="1:6">
      <c r="A229" s="24">
        <v>10228</v>
      </c>
      <c r="B229" s="74" t="s">
        <v>498</v>
      </c>
      <c r="C229" s="24" t="s">
        <v>712</v>
      </c>
      <c r="D229" s="24" t="s">
        <v>853</v>
      </c>
      <c r="E229" s="1" t="s">
        <v>730</v>
      </c>
      <c r="F229" s="3" t="s">
        <v>1260</v>
      </c>
    </row>
    <row r="230" spans="1:6">
      <c r="A230" s="30">
        <v>10229</v>
      </c>
      <c r="B230" s="74" t="s">
        <v>501</v>
      </c>
      <c r="C230" s="24" t="s">
        <v>993</v>
      </c>
      <c r="D230" s="24" t="s">
        <v>1261</v>
      </c>
      <c r="E230" s="1" t="s">
        <v>969</v>
      </c>
      <c r="F230" s="3" t="s">
        <v>1262</v>
      </c>
    </row>
    <row r="231" spans="1:6">
      <c r="A231" s="24">
        <v>10230</v>
      </c>
      <c r="B231" s="74" t="s">
        <v>502</v>
      </c>
      <c r="C231" s="24" t="s">
        <v>712</v>
      </c>
      <c r="D231" s="24" t="s">
        <v>1263</v>
      </c>
      <c r="E231" s="1" t="s">
        <v>723</v>
      </c>
      <c r="F231" s="3" t="s">
        <v>1264</v>
      </c>
    </row>
    <row r="232" spans="1:6">
      <c r="A232" s="24">
        <v>10231</v>
      </c>
      <c r="B232" s="74" t="s">
        <v>503</v>
      </c>
      <c r="C232" s="24" t="s">
        <v>1112</v>
      </c>
      <c r="D232" s="24" t="s">
        <v>1265</v>
      </c>
      <c r="E232" s="1" t="s">
        <v>1171</v>
      </c>
      <c r="F232" s="3" t="s">
        <v>1266</v>
      </c>
    </row>
    <row r="233" spans="1:6">
      <c r="A233" s="30">
        <v>10232</v>
      </c>
      <c r="B233" s="74" t="s">
        <v>507</v>
      </c>
      <c r="C233" s="24" t="s">
        <v>712</v>
      </c>
      <c r="D233" s="24" t="s">
        <v>1267</v>
      </c>
      <c r="E233" s="1" t="s">
        <v>723</v>
      </c>
      <c r="F233" s="3" t="s">
        <v>1268</v>
      </c>
    </row>
    <row r="234" spans="1:6">
      <c r="A234" s="24">
        <v>10233</v>
      </c>
      <c r="B234" s="74" t="s">
        <v>508</v>
      </c>
      <c r="C234" s="24" t="s">
        <v>1034</v>
      </c>
      <c r="D234" s="24" t="s">
        <v>1269</v>
      </c>
      <c r="E234" s="1" t="s">
        <v>1244</v>
      </c>
      <c r="F234" s="3" t="s">
        <v>1270</v>
      </c>
    </row>
    <row r="235" spans="1:6">
      <c r="A235" s="24">
        <v>10234</v>
      </c>
      <c r="B235" s="74" t="s">
        <v>511</v>
      </c>
      <c r="C235" s="24" t="s">
        <v>1034</v>
      </c>
      <c r="D235" s="24" t="s">
        <v>853</v>
      </c>
      <c r="E235" s="1" t="s">
        <v>730</v>
      </c>
      <c r="F235" s="3" t="s">
        <v>1271</v>
      </c>
    </row>
    <row r="236" spans="1:6">
      <c r="A236" s="30">
        <v>10235</v>
      </c>
      <c r="B236" s="74" t="s">
        <v>512</v>
      </c>
      <c r="C236" s="24" t="s">
        <v>798</v>
      </c>
      <c r="D236" s="24" t="s">
        <v>1272</v>
      </c>
      <c r="E236" s="1" t="s">
        <v>730</v>
      </c>
      <c r="F236" s="3" t="s">
        <v>1273</v>
      </c>
    </row>
    <row r="237" spans="1:6">
      <c r="A237" s="24">
        <v>10236</v>
      </c>
      <c r="B237" s="74" t="s">
        <v>513</v>
      </c>
      <c r="C237" s="24" t="s">
        <v>826</v>
      </c>
      <c r="D237" s="24" t="s">
        <v>1274</v>
      </c>
      <c r="E237" s="1" t="s">
        <v>730</v>
      </c>
      <c r="F237" s="3" t="s">
        <v>1275</v>
      </c>
    </row>
    <row r="238" spans="1:6">
      <c r="A238" s="24">
        <v>10237</v>
      </c>
      <c r="B238" s="74" t="s">
        <v>517</v>
      </c>
      <c r="C238" s="24" t="s">
        <v>1205</v>
      </c>
      <c r="D238" s="24" t="s">
        <v>1276</v>
      </c>
      <c r="E238" s="1" t="s">
        <v>1171</v>
      </c>
      <c r="F238" s="3" t="s">
        <v>1277</v>
      </c>
    </row>
    <row r="239" spans="1:6">
      <c r="A239" s="30">
        <v>10238</v>
      </c>
      <c r="B239" s="74" t="s">
        <v>518</v>
      </c>
      <c r="C239" s="24" t="s">
        <v>718</v>
      </c>
      <c r="D239" s="24" t="s">
        <v>1048</v>
      </c>
      <c r="E239" s="1" t="s">
        <v>1097</v>
      </c>
      <c r="F239" s="3" t="s">
        <v>1278</v>
      </c>
    </row>
    <row r="240" spans="1:6">
      <c r="A240" s="24">
        <v>10239</v>
      </c>
      <c r="B240" s="74" t="s">
        <v>519</v>
      </c>
      <c r="C240" s="24" t="s">
        <v>1034</v>
      </c>
      <c r="D240" s="24" t="s">
        <v>1279</v>
      </c>
      <c r="E240" s="1" t="s">
        <v>971</v>
      </c>
      <c r="F240" s="3" t="s">
        <v>1280</v>
      </c>
    </row>
    <row r="241" spans="1:6">
      <c r="A241" s="24">
        <v>10240</v>
      </c>
      <c r="B241" s="74" t="s">
        <v>520</v>
      </c>
      <c r="C241" s="24" t="s">
        <v>718</v>
      </c>
      <c r="D241" s="24" t="s">
        <v>853</v>
      </c>
      <c r="E241" s="1" t="s">
        <v>1009</v>
      </c>
      <c r="F241" s="3" t="s">
        <v>1281</v>
      </c>
    </row>
    <row r="242" spans="1:6">
      <c r="A242" s="30">
        <v>10241</v>
      </c>
      <c r="B242" s="74" t="s">
        <v>521</v>
      </c>
      <c r="C242" s="24" t="s">
        <v>826</v>
      </c>
      <c r="D242" s="24" t="s">
        <v>866</v>
      </c>
      <c r="E242" s="1" t="s">
        <v>730</v>
      </c>
      <c r="F242" s="3" t="s">
        <v>1282</v>
      </c>
    </row>
    <row r="243" spans="1:6">
      <c r="A243" s="24">
        <v>10242</v>
      </c>
      <c r="B243" s="74" t="s">
        <v>523</v>
      </c>
      <c r="C243" s="24" t="s">
        <v>711</v>
      </c>
      <c r="D243" s="24" t="s">
        <v>866</v>
      </c>
      <c r="E243" s="1"/>
      <c r="F243" s="3" t="s">
        <v>1283</v>
      </c>
    </row>
    <row r="244" spans="1:6">
      <c r="A244" s="24">
        <v>10243</v>
      </c>
      <c r="B244" s="74" t="s">
        <v>526</v>
      </c>
      <c r="C244" s="24" t="s">
        <v>826</v>
      </c>
      <c r="D244" s="24" t="s">
        <v>1284</v>
      </c>
      <c r="E244" s="1" t="s">
        <v>723</v>
      </c>
      <c r="F244" s="3" t="s">
        <v>1285</v>
      </c>
    </row>
    <row r="245" spans="1:6">
      <c r="A245" s="30">
        <v>10244</v>
      </c>
      <c r="B245" s="74" t="s">
        <v>529</v>
      </c>
      <c r="C245" s="24" t="s">
        <v>798</v>
      </c>
      <c r="D245" s="24" t="s">
        <v>1286</v>
      </c>
      <c r="E245" s="1" t="s">
        <v>1287</v>
      </c>
      <c r="F245" s="3" t="s">
        <v>1288</v>
      </c>
    </row>
    <row r="246" spans="1:6">
      <c r="A246" s="24">
        <v>10245</v>
      </c>
      <c r="B246" s="74" t="s">
        <v>532</v>
      </c>
      <c r="C246" s="24" t="s">
        <v>808</v>
      </c>
      <c r="D246" s="24" t="s">
        <v>1289</v>
      </c>
      <c r="E246" s="1" t="s">
        <v>1053</v>
      </c>
      <c r="F246" s="3" t="s">
        <v>1290</v>
      </c>
    </row>
    <row r="247" spans="1:6">
      <c r="A247" s="24">
        <v>10246</v>
      </c>
      <c r="B247" s="74" t="s">
        <v>534</v>
      </c>
      <c r="C247" s="24" t="s">
        <v>708</v>
      </c>
      <c r="D247" s="24" t="s">
        <v>1291</v>
      </c>
      <c r="E247" s="1"/>
      <c r="F247" s="3" t="s">
        <v>1292</v>
      </c>
    </row>
    <row r="248" spans="1:6">
      <c r="A248" s="30">
        <v>10247</v>
      </c>
      <c r="B248" s="74" t="s">
        <v>538</v>
      </c>
      <c r="C248" s="24" t="s">
        <v>711</v>
      </c>
      <c r="D248" s="24" t="s">
        <v>853</v>
      </c>
      <c r="E248" s="1"/>
      <c r="F248" s="3" t="s">
        <v>1293</v>
      </c>
    </row>
    <row r="249" spans="1:6">
      <c r="A249" s="24">
        <v>10248</v>
      </c>
      <c r="B249" s="74" t="s">
        <v>541</v>
      </c>
      <c r="C249" s="24" t="s">
        <v>16</v>
      </c>
      <c r="D249" s="24" t="s">
        <v>866</v>
      </c>
      <c r="E249" s="1"/>
      <c r="F249" s="3" t="s">
        <v>1294</v>
      </c>
    </row>
    <row r="250" spans="1:6">
      <c r="A250" s="24">
        <v>10249</v>
      </c>
      <c r="B250" s="74" t="s">
        <v>544</v>
      </c>
      <c r="C250" s="24" t="s">
        <v>709</v>
      </c>
      <c r="D250" s="24" t="s">
        <v>1099</v>
      </c>
      <c r="E250" s="1"/>
      <c r="F250" s="3" t="s">
        <v>1295</v>
      </c>
    </row>
    <row r="251" spans="1:6">
      <c r="A251" s="30">
        <v>10250</v>
      </c>
      <c r="B251" s="74" t="s">
        <v>547</v>
      </c>
      <c r="C251" s="24" t="s">
        <v>826</v>
      </c>
      <c r="D251" s="24" t="s">
        <v>1296</v>
      </c>
      <c r="E251" s="1"/>
      <c r="F251" s="3" t="s">
        <v>1297</v>
      </c>
    </row>
    <row r="252" spans="1:6">
      <c r="A252" s="24">
        <v>10251</v>
      </c>
      <c r="B252" s="74" t="s">
        <v>548</v>
      </c>
      <c r="C252" s="24" t="s">
        <v>798</v>
      </c>
      <c r="D252" s="24" t="s">
        <v>1229</v>
      </c>
      <c r="E252" s="1"/>
      <c r="F252" s="3" t="s">
        <v>1298</v>
      </c>
    </row>
    <row r="253" spans="1:6">
      <c r="A253" s="24">
        <v>10252</v>
      </c>
      <c r="B253" s="74" t="s">
        <v>549</v>
      </c>
      <c r="C253" s="24" t="s">
        <v>798</v>
      </c>
      <c r="D253" s="24" t="s">
        <v>1078</v>
      </c>
      <c r="E253" s="1"/>
      <c r="F253" s="3" t="s">
        <v>1299</v>
      </c>
    </row>
    <row r="254" spans="1:6">
      <c r="A254" s="30">
        <v>10253</v>
      </c>
      <c r="B254" s="74" t="s">
        <v>550</v>
      </c>
      <c r="C254" s="24" t="s">
        <v>798</v>
      </c>
      <c r="D254" s="24" t="s">
        <v>853</v>
      </c>
      <c r="E254" s="1"/>
      <c r="F254" s="3" t="s">
        <v>1300</v>
      </c>
    </row>
    <row r="255" spans="1:6">
      <c r="A255" s="24">
        <v>10254</v>
      </c>
      <c r="B255" s="74" t="s">
        <v>551</v>
      </c>
      <c r="C255" s="24" t="s">
        <v>798</v>
      </c>
      <c r="D255" s="24" t="s">
        <v>1301</v>
      </c>
      <c r="E255" s="1"/>
      <c r="F255" s="3" t="s">
        <v>1302</v>
      </c>
    </row>
    <row r="256" spans="1:6">
      <c r="A256" s="24">
        <v>10255</v>
      </c>
      <c r="B256" s="74" t="s">
        <v>553</v>
      </c>
      <c r="C256" s="24" t="s">
        <v>975</v>
      </c>
      <c r="D256" s="24" t="s">
        <v>853</v>
      </c>
      <c r="E256" s="1"/>
      <c r="F256" s="3" t="s">
        <v>1303</v>
      </c>
    </row>
    <row r="257" spans="1:6">
      <c r="A257" s="30">
        <v>10256</v>
      </c>
      <c r="B257" s="74" t="s">
        <v>556</v>
      </c>
      <c r="C257" s="24" t="s">
        <v>709</v>
      </c>
      <c r="D257" s="24" t="s">
        <v>1304</v>
      </c>
      <c r="E257" s="1"/>
      <c r="F257" s="3" t="s">
        <v>1305</v>
      </c>
    </row>
    <row r="258" spans="1:6">
      <c r="A258" s="24">
        <v>10257</v>
      </c>
      <c r="B258" s="74" t="s">
        <v>557</v>
      </c>
      <c r="C258" s="24" t="s">
        <v>826</v>
      </c>
      <c r="D258" s="24" t="s">
        <v>1306</v>
      </c>
      <c r="E258" s="1"/>
      <c r="F258" s="3" t="s">
        <v>1307</v>
      </c>
    </row>
    <row r="259" spans="1:6">
      <c r="A259" s="24">
        <v>10258</v>
      </c>
      <c r="B259" s="74" t="s">
        <v>558</v>
      </c>
      <c r="C259" s="24" t="s">
        <v>695</v>
      </c>
      <c r="D259" s="24" t="s">
        <v>1099</v>
      </c>
      <c r="E259" s="1"/>
      <c r="F259" s="3" t="s">
        <v>1308</v>
      </c>
    </row>
    <row r="260" spans="1:6">
      <c r="A260" s="30">
        <v>10259</v>
      </c>
      <c r="B260" s="74" t="s">
        <v>559</v>
      </c>
      <c r="C260" s="24" t="s">
        <v>16</v>
      </c>
      <c r="D260" s="24" t="s">
        <v>849</v>
      </c>
      <c r="E260" s="1"/>
      <c r="F260" s="3" t="s">
        <v>1309</v>
      </c>
    </row>
    <row r="261" spans="1:6">
      <c r="A261" s="24">
        <v>10260</v>
      </c>
      <c r="B261" s="74" t="s">
        <v>560</v>
      </c>
      <c r="C261" s="24" t="s">
        <v>695</v>
      </c>
      <c r="D261" s="24" t="s">
        <v>1250</v>
      </c>
      <c r="E261" s="1"/>
      <c r="F261" s="3" t="s">
        <v>1310</v>
      </c>
    </row>
    <row r="262" spans="1:6">
      <c r="A262" s="24">
        <v>10261</v>
      </c>
      <c r="B262" s="74" t="s">
        <v>563</v>
      </c>
      <c r="C262" s="24" t="s">
        <v>718</v>
      </c>
      <c r="D262" s="24" t="s">
        <v>1311</v>
      </c>
      <c r="E262" s="1"/>
      <c r="F262" s="3" t="s">
        <v>1312</v>
      </c>
    </row>
    <row r="263" spans="1:6">
      <c r="A263" s="30">
        <v>10262</v>
      </c>
      <c r="B263" s="74" t="s">
        <v>564</v>
      </c>
      <c r="C263" s="24" t="s">
        <v>993</v>
      </c>
      <c r="D263" s="24" t="s">
        <v>1313</v>
      </c>
      <c r="E263" s="1"/>
      <c r="F263" s="3" t="s">
        <v>1314</v>
      </c>
    </row>
    <row r="264" spans="1:6">
      <c r="A264" s="24">
        <v>10263</v>
      </c>
      <c r="B264" s="74" t="s">
        <v>566</v>
      </c>
      <c r="C264" s="24" t="s">
        <v>708</v>
      </c>
      <c r="D264" s="24" t="s">
        <v>1315</v>
      </c>
      <c r="E264" s="1"/>
      <c r="F264" s="3" t="s">
        <v>1316</v>
      </c>
    </row>
    <row r="265" spans="1:6">
      <c r="A265" s="24">
        <v>10264</v>
      </c>
      <c r="B265" s="74" t="s">
        <v>567</v>
      </c>
      <c r="C265" s="24" t="s">
        <v>711</v>
      </c>
      <c r="D265" s="24" t="s">
        <v>853</v>
      </c>
      <c r="E265" s="1"/>
      <c r="F265" s="3" t="s">
        <v>1317</v>
      </c>
    </row>
    <row r="266" spans="1:6">
      <c r="A266" s="30">
        <v>10265</v>
      </c>
      <c r="B266" s="74" t="s">
        <v>570</v>
      </c>
      <c r="C266" s="24" t="s">
        <v>997</v>
      </c>
      <c r="D266" s="24" t="s">
        <v>1099</v>
      </c>
      <c r="E266" s="1"/>
      <c r="F266" s="3" t="s">
        <v>1318</v>
      </c>
    </row>
    <row r="267" spans="1:6">
      <c r="A267" s="24">
        <v>10266</v>
      </c>
      <c r="B267" s="74" t="s">
        <v>571</v>
      </c>
      <c r="C267" s="24" t="s">
        <v>711</v>
      </c>
      <c r="D267" s="24" t="s">
        <v>1078</v>
      </c>
      <c r="E267" s="1"/>
      <c r="F267" s="3" t="s">
        <v>1319</v>
      </c>
    </row>
    <row r="268" spans="1:6">
      <c r="A268" s="24">
        <v>10267</v>
      </c>
      <c r="B268" s="74" t="s">
        <v>572</v>
      </c>
      <c r="C268" s="24" t="s">
        <v>707</v>
      </c>
      <c r="D268" s="24" t="s">
        <v>1078</v>
      </c>
      <c r="E268" s="1"/>
      <c r="F268" s="3" t="s">
        <v>1320</v>
      </c>
    </row>
    <row r="269" spans="1:6">
      <c r="A269" s="30">
        <v>10268</v>
      </c>
      <c r="B269" s="74" t="s">
        <v>573</v>
      </c>
      <c r="C269" s="24" t="s">
        <v>708</v>
      </c>
      <c r="D269" s="41" t="s">
        <v>1321</v>
      </c>
      <c r="E269" s="1"/>
      <c r="F269" s="3"/>
    </row>
    <row r="270" spans="1:6">
      <c r="A270" s="24">
        <v>10269</v>
      </c>
      <c r="B270" s="74" t="s">
        <v>574</v>
      </c>
      <c r="C270" s="24" t="s">
        <v>705</v>
      </c>
      <c r="D270" s="24" t="s">
        <v>1226</v>
      </c>
      <c r="E270" s="1"/>
      <c r="F270" s="3" t="s">
        <v>1322</v>
      </c>
    </row>
    <row r="271" spans="1:6">
      <c r="A271" s="24">
        <v>10270</v>
      </c>
      <c r="B271" s="74" t="s">
        <v>576</v>
      </c>
      <c r="C271" s="24" t="s">
        <v>1034</v>
      </c>
      <c r="D271" s="24" t="s">
        <v>1220</v>
      </c>
      <c r="E271" s="1"/>
      <c r="F271" s="3" t="s">
        <v>1323</v>
      </c>
    </row>
    <row r="272" spans="1:6">
      <c r="A272" s="30">
        <v>10271</v>
      </c>
      <c r="B272" s="74" t="s">
        <v>577</v>
      </c>
      <c r="C272" s="24" t="s">
        <v>1096</v>
      </c>
      <c r="D272" s="41" t="s">
        <v>873</v>
      </c>
      <c r="E272" s="1"/>
      <c r="F272" s="3"/>
    </row>
    <row r="273" spans="1:6">
      <c r="A273" s="24">
        <v>10272</v>
      </c>
      <c r="B273" s="74" t="s">
        <v>581</v>
      </c>
      <c r="C273" s="24" t="s">
        <v>718</v>
      </c>
      <c r="D273" s="24" t="s">
        <v>1072</v>
      </c>
      <c r="E273" s="1"/>
      <c r="F273" s="3" t="s">
        <v>1324</v>
      </c>
    </row>
    <row r="274" spans="1:6">
      <c r="A274" s="24">
        <v>10273</v>
      </c>
      <c r="B274" s="74" t="s">
        <v>582</v>
      </c>
      <c r="C274" s="24" t="s">
        <v>695</v>
      </c>
      <c r="D274" s="24" t="s">
        <v>853</v>
      </c>
      <c r="E274" s="1"/>
      <c r="F274" s="3" t="s">
        <v>1325</v>
      </c>
    </row>
    <row r="275" spans="1:6">
      <c r="A275" s="30">
        <v>10274</v>
      </c>
      <c r="B275" s="74" t="s">
        <v>584</v>
      </c>
      <c r="C275" s="24" t="s">
        <v>1326</v>
      </c>
      <c r="D275" s="24" t="s">
        <v>853</v>
      </c>
      <c r="E275" s="1"/>
      <c r="F275" s="3" t="s">
        <v>1327</v>
      </c>
    </row>
    <row r="276" spans="1:6">
      <c r="A276" s="24">
        <v>10275</v>
      </c>
      <c r="B276" s="74" t="s">
        <v>585</v>
      </c>
      <c r="C276" s="24" t="s">
        <v>709</v>
      </c>
      <c r="D276" s="41" t="s">
        <v>1328</v>
      </c>
      <c r="E276" s="1"/>
      <c r="F276" s="3"/>
    </row>
    <row r="277" spans="1:6">
      <c r="A277" s="24">
        <v>10276</v>
      </c>
      <c r="B277" s="74" t="s">
        <v>586</v>
      </c>
      <c r="C277" s="24" t="s">
        <v>798</v>
      </c>
      <c r="D277" s="24" t="s">
        <v>1329</v>
      </c>
      <c r="E277" s="1"/>
      <c r="F277" s="3" t="s">
        <v>1330</v>
      </c>
    </row>
    <row r="278" spans="1:6">
      <c r="A278" s="30">
        <v>10277</v>
      </c>
      <c r="B278" s="74" t="s">
        <v>589</v>
      </c>
      <c r="C278" s="24" t="s">
        <v>707</v>
      </c>
      <c r="D278" s="24" t="s">
        <v>1331</v>
      </c>
      <c r="E278" s="1"/>
      <c r="F278" s="3" t="s">
        <v>1332</v>
      </c>
    </row>
    <row r="279" spans="1:6">
      <c r="A279" s="24">
        <v>10278</v>
      </c>
      <c r="B279" s="74" t="s">
        <v>591</v>
      </c>
      <c r="C279" s="24" t="s">
        <v>1007</v>
      </c>
      <c r="D279" s="24" t="s">
        <v>1333</v>
      </c>
      <c r="E279" s="1"/>
      <c r="F279" s="3" t="s">
        <v>1334</v>
      </c>
    </row>
    <row r="280" spans="1:6">
      <c r="A280" s="24">
        <v>10279</v>
      </c>
      <c r="B280" s="74" t="s">
        <v>593</v>
      </c>
      <c r="C280" s="24" t="s">
        <v>826</v>
      </c>
      <c r="D280" s="24" t="s">
        <v>1102</v>
      </c>
      <c r="E280" s="1"/>
      <c r="F280" s="3" t="s">
        <v>1335</v>
      </c>
    </row>
    <row r="281" spans="1:6">
      <c r="A281" s="30">
        <v>10280</v>
      </c>
      <c r="B281" s="74" t="s">
        <v>594</v>
      </c>
      <c r="C281" s="24" t="s">
        <v>826</v>
      </c>
      <c r="D281" s="24" t="s">
        <v>1336</v>
      </c>
      <c r="E281" s="1"/>
      <c r="F281" s="3" t="s">
        <v>1337</v>
      </c>
    </row>
    <row r="282" spans="1:6">
      <c r="A282" s="24">
        <v>10281</v>
      </c>
      <c r="B282" s="74" t="s">
        <v>597</v>
      </c>
      <c r="C282" s="24" t="s">
        <v>1338</v>
      </c>
      <c r="D282" s="41" t="s">
        <v>853</v>
      </c>
      <c r="E282" s="1"/>
      <c r="F282" s="3"/>
    </row>
    <row r="283" spans="1:6">
      <c r="A283" s="24">
        <v>10282</v>
      </c>
      <c r="B283" s="74" t="s">
        <v>600</v>
      </c>
      <c r="C283" s="24" t="s">
        <v>718</v>
      </c>
      <c r="D283" s="24" t="s">
        <v>1339</v>
      </c>
      <c r="E283" s="1"/>
      <c r="F283" s="3" t="s">
        <v>1340</v>
      </c>
    </row>
    <row r="284" spans="1:6">
      <c r="A284" s="30">
        <v>10283</v>
      </c>
      <c r="B284" s="74" t="s">
        <v>601</v>
      </c>
      <c r="C284" s="24" t="s">
        <v>718</v>
      </c>
      <c r="D284" s="24" t="s">
        <v>853</v>
      </c>
      <c r="E284" s="1"/>
      <c r="F284" s="3" t="s">
        <v>1341</v>
      </c>
    </row>
    <row r="285" spans="1:6">
      <c r="A285" s="24">
        <v>10284</v>
      </c>
      <c r="B285" s="74" t="s">
        <v>602</v>
      </c>
      <c r="C285" s="24" t="s">
        <v>693</v>
      </c>
      <c r="D285" s="24" t="s">
        <v>1342</v>
      </c>
      <c r="E285" s="1"/>
      <c r="F285" s="3" t="s">
        <v>1343</v>
      </c>
    </row>
    <row r="286" spans="1:6">
      <c r="A286" s="24">
        <v>10285</v>
      </c>
      <c r="B286" s="74" t="s">
        <v>604</v>
      </c>
      <c r="C286" s="24" t="s">
        <v>1112</v>
      </c>
      <c r="D286" s="24" t="s">
        <v>987</v>
      </c>
      <c r="E286" s="1"/>
      <c r="F286" s="3" t="s">
        <v>1344</v>
      </c>
    </row>
    <row r="287" spans="1:6">
      <c r="A287" s="30">
        <v>10286</v>
      </c>
      <c r="B287" s="74" t="s">
        <v>606</v>
      </c>
      <c r="C287" s="24" t="s">
        <v>1057</v>
      </c>
      <c r="D287" s="24" t="s">
        <v>1345</v>
      </c>
      <c r="E287" s="1"/>
      <c r="F287" s="3" t="s">
        <v>1346</v>
      </c>
    </row>
    <row r="288" spans="1:6">
      <c r="A288" s="24">
        <v>10287</v>
      </c>
      <c r="B288" s="74" t="s">
        <v>610</v>
      </c>
      <c r="C288" s="24" t="s">
        <v>709</v>
      </c>
      <c r="D288" s="24" t="s">
        <v>1347</v>
      </c>
      <c r="E288" s="1"/>
      <c r="F288" s="3" t="s">
        <v>1348</v>
      </c>
    </row>
    <row r="289" spans="1:6">
      <c r="A289" s="24">
        <v>10288</v>
      </c>
      <c r="B289" s="74" t="s">
        <v>611</v>
      </c>
      <c r="C289" s="24" t="s">
        <v>1096</v>
      </c>
      <c r="D289" s="41" t="s">
        <v>866</v>
      </c>
      <c r="E289" s="1"/>
      <c r="F289" s="3"/>
    </row>
    <row r="290" spans="1:6">
      <c r="A290" s="30">
        <v>10289</v>
      </c>
      <c r="B290" s="74" t="s">
        <v>615</v>
      </c>
      <c r="C290" s="24" t="s">
        <v>1034</v>
      </c>
      <c r="D290" s="24" t="s">
        <v>1349</v>
      </c>
      <c r="E290" s="1"/>
      <c r="F290" s="3" t="s">
        <v>1350</v>
      </c>
    </row>
    <row r="291" spans="1:6">
      <c r="A291" s="24">
        <v>10290</v>
      </c>
      <c r="B291" s="74" t="s">
        <v>617</v>
      </c>
      <c r="C291" s="24" t="s">
        <v>710</v>
      </c>
      <c r="D291" s="24" t="s">
        <v>853</v>
      </c>
      <c r="E291" s="1"/>
      <c r="F291" s="3" t="s">
        <v>1351</v>
      </c>
    </row>
    <row r="292" spans="1:6">
      <c r="A292" s="24">
        <v>10291</v>
      </c>
      <c r="B292" s="74" t="s">
        <v>618</v>
      </c>
      <c r="C292" s="24" t="s">
        <v>709</v>
      </c>
      <c r="D292" s="24" t="s">
        <v>849</v>
      </c>
      <c r="E292" s="1"/>
      <c r="F292" s="3" t="s">
        <v>1352</v>
      </c>
    </row>
    <row r="293" spans="1:6">
      <c r="A293" s="30">
        <v>10292</v>
      </c>
      <c r="B293" s="74" t="s">
        <v>621</v>
      </c>
      <c r="C293" s="24" t="s">
        <v>826</v>
      </c>
      <c r="D293" s="24" t="s">
        <v>1333</v>
      </c>
      <c r="E293" s="1"/>
      <c r="F293" s="3" t="s">
        <v>1353</v>
      </c>
    </row>
    <row r="294" spans="1:6">
      <c r="A294" s="24">
        <v>10293</v>
      </c>
      <c r="B294" s="74" t="s">
        <v>622</v>
      </c>
      <c r="C294" s="24" t="s">
        <v>709</v>
      </c>
      <c r="D294" s="24" t="s">
        <v>1354</v>
      </c>
      <c r="E294" s="1"/>
      <c r="F294" s="3" t="s">
        <v>1355</v>
      </c>
    </row>
    <row r="295" spans="1:6">
      <c r="A295" s="24">
        <v>10294</v>
      </c>
      <c r="B295" s="74" t="s">
        <v>623</v>
      </c>
      <c r="C295" s="24" t="s">
        <v>693</v>
      </c>
      <c r="D295" s="24" t="s">
        <v>853</v>
      </c>
      <c r="E295" s="1"/>
      <c r="F295" s="3" t="s">
        <v>1356</v>
      </c>
    </row>
    <row r="296" spans="1:6">
      <c r="A296" s="30">
        <v>10295</v>
      </c>
      <c r="B296" s="74" t="s">
        <v>624</v>
      </c>
      <c r="C296" s="24" t="s">
        <v>693</v>
      </c>
      <c r="D296" s="24" t="s">
        <v>1357</v>
      </c>
      <c r="E296" s="1"/>
      <c r="F296" s="3" t="s">
        <v>1358</v>
      </c>
    </row>
    <row r="297" spans="1:6">
      <c r="A297" s="24">
        <v>10296</v>
      </c>
      <c r="B297" s="74" t="s">
        <v>626</v>
      </c>
      <c r="C297" s="24" t="s">
        <v>695</v>
      </c>
      <c r="D297" s="24" t="s">
        <v>1012</v>
      </c>
      <c r="E297" s="1"/>
      <c r="F297" s="3" t="s">
        <v>1359</v>
      </c>
    </row>
    <row r="298" spans="1:6">
      <c r="A298" s="24">
        <v>10297</v>
      </c>
      <c r="B298" s="74" t="s">
        <v>629</v>
      </c>
      <c r="C298" s="24" t="s">
        <v>695</v>
      </c>
      <c r="D298" s="24" t="s">
        <v>853</v>
      </c>
      <c r="E298" s="1"/>
      <c r="F298" s="3" t="s">
        <v>1360</v>
      </c>
    </row>
    <row r="299" spans="1:6">
      <c r="A299" s="30">
        <v>10298</v>
      </c>
      <c r="B299" s="74" t="s">
        <v>630</v>
      </c>
      <c r="C299" s="24" t="s">
        <v>712</v>
      </c>
      <c r="D299" s="24" t="s">
        <v>866</v>
      </c>
      <c r="E299" s="1"/>
      <c r="F299" s="3" t="s">
        <v>1361</v>
      </c>
    </row>
    <row r="300" spans="1:6">
      <c r="A300" s="24">
        <v>10299</v>
      </c>
      <c r="B300" s="74" t="s">
        <v>632</v>
      </c>
      <c r="C300" s="24" t="s">
        <v>826</v>
      </c>
      <c r="D300" s="24" t="s">
        <v>853</v>
      </c>
      <c r="E300" s="1"/>
      <c r="F300" s="3" t="s">
        <v>1362</v>
      </c>
    </row>
    <row r="301" spans="1:6">
      <c r="A301" s="24">
        <v>10300</v>
      </c>
      <c r="B301" s="74" t="s">
        <v>634</v>
      </c>
      <c r="C301" s="24" t="s">
        <v>798</v>
      </c>
      <c r="D301" s="24" t="s">
        <v>853</v>
      </c>
      <c r="E301" s="1"/>
      <c r="F301" s="3" t="s">
        <v>1363</v>
      </c>
    </row>
    <row r="302" spans="1:6">
      <c r="A302" s="30">
        <v>10301</v>
      </c>
      <c r="B302" s="74" t="s">
        <v>637</v>
      </c>
      <c r="C302" s="24" t="s">
        <v>707</v>
      </c>
      <c r="D302" s="24" t="s">
        <v>1364</v>
      </c>
      <c r="E302" s="1"/>
      <c r="F302" s="3" t="s">
        <v>1365</v>
      </c>
    </row>
    <row r="303" spans="1:6">
      <c r="A303" s="24">
        <v>10302</v>
      </c>
      <c r="B303" s="74" t="s">
        <v>640</v>
      </c>
      <c r="C303" s="24" t="s">
        <v>708</v>
      </c>
      <c r="D303" s="24" t="s">
        <v>1366</v>
      </c>
      <c r="E303" s="1"/>
      <c r="F303" s="3" t="s">
        <v>1367</v>
      </c>
    </row>
    <row r="304" spans="1:6">
      <c r="A304" s="24">
        <v>10303</v>
      </c>
      <c r="B304" s="74" t="s">
        <v>642</v>
      </c>
      <c r="C304" s="24" t="s">
        <v>712</v>
      </c>
      <c r="D304" s="24" t="s">
        <v>853</v>
      </c>
      <c r="E304" s="1"/>
      <c r="F304" s="3" t="s">
        <v>1368</v>
      </c>
    </row>
    <row r="305" spans="1:6">
      <c r="A305" s="30">
        <v>10304</v>
      </c>
      <c r="B305" s="74" t="s">
        <v>644</v>
      </c>
      <c r="C305" s="24" t="s">
        <v>718</v>
      </c>
      <c r="D305" s="24" t="s">
        <v>1369</v>
      </c>
      <c r="E305" s="1"/>
      <c r="F305" s="3" t="s">
        <v>1370</v>
      </c>
    </row>
    <row r="306" spans="1:6">
      <c r="A306" s="24">
        <v>10305</v>
      </c>
      <c r="B306" s="74" t="s">
        <v>645</v>
      </c>
      <c r="C306" s="24" t="s">
        <v>798</v>
      </c>
      <c r="D306" s="41" t="s">
        <v>1012</v>
      </c>
      <c r="E306" s="1"/>
      <c r="F306" s="3"/>
    </row>
    <row r="307" spans="1:6">
      <c r="A307" s="24">
        <v>10306</v>
      </c>
      <c r="B307" s="74" t="s">
        <v>648</v>
      </c>
      <c r="C307" s="24" t="s">
        <v>709</v>
      </c>
      <c r="D307" s="24" t="s">
        <v>853</v>
      </c>
      <c r="E307" s="1"/>
      <c r="F307" s="3" t="s">
        <v>1371</v>
      </c>
    </row>
    <row r="308" spans="1:6">
      <c r="A308" s="30">
        <v>10307</v>
      </c>
      <c r="B308" s="74" t="s">
        <v>650</v>
      </c>
      <c r="C308" s="24" t="s">
        <v>1372</v>
      </c>
      <c r="D308" s="24" t="s">
        <v>1373</v>
      </c>
      <c r="E308" s="1"/>
      <c r="F308" s="3" t="s">
        <v>1374</v>
      </c>
    </row>
    <row r="309" spans="1:6">
      <c r="A309" s="24">
        <v>10308</v>
      </c>
      <c r="B309" s="74" t="s">
        <v>652</v>
      </c>
      <c r="C309" s="24" t="s">
        <v>709</v>
      </c>
      <c r="D309" s="41" t="s">
        <v>1375</v>
      </c>
      <c r="E309" s="1"/>
      <c r="F309" s="3"/>
    </row>
    <row r="310" spans="1:6">
      <c r="A310" s="24">
        <v>10309</v>
      </c>
      <c r="B310" s="74" t="s">
        <v>655</v>
      </c>
      <c r="C310" s="24" t="s">
        <v>718</v>
      </c>
      <c r="D310" s="24" t="s">
        <v>1194</v>
      </c>
      <c r="E310" s="1"/>
      <c r="F310" s="3" t="s">
        <v>1376</v>
      </c>
    </row>
    <row r="311" spans="1:6">
      <c r="A311" s="30">
        <v>10310</v>
      </c>
      <c r="B311" s="74" t="s">
        <v>657</v>
      </c>
      <c r="C311" s="24" t="s">
        <v>709</v>
      </c>
      <c r="D311" s="41" t="s">
        <v>1099</v>
      </c>
      <c r="E311" s="1"/>
      <c r="F311" s="3"/>
    </row>
    <row r="312" spans="1:6">
      <c r="A312" s="24">
        <v>10311</v>
      </c>
      <c r="B312" s="74" t="s">
        <v>658</v>
      </c>
      <c r="C312" s="24" t="s">
        <v>709</v>
      </c>
      <c r="D312" s="24" t="s">
        <v>1296</v>
      </c>
      <c r="E312" s="1"/>
      <c r="F312" s="3" t="s">
        <v>1377</v>
      </c>
    </row>
    <row r="313" spans="1:6">
      <c r="A313" s="24">
        <v>10312</v>
      </c>
      <c r="B313" s="74" t="s">
        <v>660</v>
      </c>
      <c r="C313" s="24" t="s">
        <v>718</v>
      </c>
      <c r="D313" s="24" t="s">
        <v>1378</v>
      </c>
      <c r="E313" s="1"/>
      <c r="F313" s="3" t="s">
        <v>1379</v>
      </c>
    </row>
    <row r="314" spans="1:6">
      <c r="A314" s="30">
        <v>10313</v>
      </c>
      <c r="B314" s="74" t="s">
        <v>662</v>
      </c>
      <c r="C314" s="24" t="s">
        <v>1380</v>
      </c>
      <c r="D314" s="24" t="s">
        <v>1012</v>
      </c>
      <c r="E314" s="1"/>
      <c r="F314" s="3" t="s">
        <v>1381</v>
      </c>
    </row>
    <row r="315" spans="1:6">
      <c r="A315" s="24">
        <v>10314</v>
      </c>
      <c r="B315" s="74" t="s">
        <v>665</v>
      </c>
      <c r="C315" s="24" t="s">
        <v>1380</v>
      </c>
      <c r="D315" s="24" t="s">
        <v>1382</v>
      </c>
      <c r="E315" s="1"/>
      <c r="F315" s="3" t="s">
        <v>1383</v>
      </c>
    </row>
    <row r="316" spans="1:6">
      <c r="A316" s="24">
        <v>10315</v>
      </c>
      <c r="B316" s="74" t="s">
        <v>667</v>
      </c>
      <c r="C316" s="24" t="s">
        <v>1112</v>
      </c>
      <c r="D316" s="24" t="s">
        <v>856</v>
      </c>
      <c r="E316" s="1"/>
      <c r="F316" s="3" t="s">
        <v>1384</v>
      </c>
    </row>
    <row r="317" spans="1:6">
      <c r="A317" s="30">
        <v>10316</v>
      </c>
      <c r="B317" s="74" t="s">
        <v>668</v>
      </c>
      <c r="C317" s="24" t="s">
        <v>693</v>
      </c>
      <c r="D317" s="24" t="s">
        <v>849</v>
      </c>
      <c r="E317" s="1"/>
      <c r="F317" s="3" t="s">
        <v>1385</v>
      </c>
    </row>
    <row r="318" spans="1:6">
      <c r="A318" s="24">
        <v>10317</v>
      </c>
      <c r="B318" s="74" t="s">
        <v>670</v>
      </c>
      <c r="C318" s="24" t="s">
        <v>16</v>
      </c>
      <c r="D318" s="24" t="s">
        <v>1386</v>
      </c>
      <c r="E318" s="1"/>
      <c r="F318" s="3" t="s">
        <v>1387</v>
      </c>
    </row>
    <row r="319" spans="1:6">
      <c r="A319" s="24">
        <v>10318</v>
      </c>
      <c r="B319" s="74" t="s">
        <v>672</v>
      </c>
      <c r="C319" s="24" t="s">
        <v>815</v>
      </c>
      <c r="D319" s="41" t="s">
        <v>853</v>
      </c>
      <c r="E319" s="1"/>
      <c r="F319" s="3"/>
    </row>
    <row r="320" spans="1:6">
      <c r="A320" s="30">
        <v>10319</v>
      </c>
      <c r="B320" s="74" t="s">
        <v>674</v>
      </c>
      <c r="C320" s="24" t="s">
        <v>709</v>
      </c>
      <c r="D320" s="41" t="s">
        <v>1388</v>
      </c>
      <c r="E320" s="1"/>
      <c r="F320" s="3"/>
    </row>
    <row r="321" spans="1:6">
      <c r="A321" s="24">
        <v>10320</v>
      </c>
      <c r="B321" s="74" t="s">
        <v>676</v>
      </c>
      <c r="C321" s="24" t="s">
        <v>711</v>
      </c>
      <c r="D321" s="24" t="s">
        <v>1342</v>
      </c>
      <c r="E321" s="1"/>
      <c r="F321" s="3" t="s">
        <v>1389</v>
      </c>
    </row>
    <row r="322" spans="1:6">
      <c r="A322" s="24">
        <v>10321</v>
      </c>
      <c r="B322" s="74" t="s">
        <v>678</v>
      </c>
      <c r="C322" s="24" t="s">
        <v>709</v>
      </c>
      <c r="D322" s="24" t="s">
        <v>1012</v>
      </c>
      <c r="E322" s="1"/>
      <c r="F322" s="3" t="s">
        <v>1390</v>
      </c>
    </row>
    <row r="323" spans="1:6">
      <c r="A323" s="20"/>
      <c r="B323" s="20"/>
      <c r="C323" s="40"/>
      <c r="D323" s="42"/>
    </row>
    <row r="324" spans="1:6">
      <c r="A324" s="20"/>
      <c r="B324" s="20"/>
      <c r="C324" s="40"/>
      <c r="D324" s="42"/>
    </row>
    <row r="325" spans="1:6">
      <c r="A325" s="20"/>
      <c r="B325" s="20"/>
      <c r="C325" s="40"/>
      <c r="D325" s="42"/>
    </row>
    <row r="326" spans="1:6">
      <c r="A326" s="20"/>
      <c r="B326" s="20"/>
      <c r="C326" s="40"/>
      <c r="D326" s="42"/>
    </row>
    <row r="327" spans="1:6">
      <c r="A327" s="20"/>
      <c r="B327" s="20"/>
      <c r="C327" s="40"/>
      <c r="D327" s="42"/>
    </row>
    <row r="328" spans="1:6">
      <c r="A328" s="20"/>
      <c r="B328" s="20"/>
      <c r="C328" s="40"/>
      <c r="D328" s="42"/>
    </row>
    <row r="329" spans="1:6">
      <c r="A329" s="20"/>
      <c r="B329" s="20"/>
      <c r="C329" s="40"/>
      <c r="D329" s="42"/>
    </row>
    <row r="330" spans="1:6">
      <c r="A330" s="20"/>
      <c r="B330" s="20"/>
      <c r="C330" s="40"/>
      <c r="D330" s="42"/>
    </row>
    <row r="331" spans="1:6">
      <c r="A331" s="20"/>
      <c r="B331" s="20"/>
      <c r="C331" s="40"/>
      <c r="D331" s="42"/>
    </row>
    <row r="332" spans="1:6">
      <c r="A332" s="20"/>
      <c r="B332" s="20"/>
      <c r="C332" s="40"/>
      <c r="D332" s="42"/>
    </row>
    <row r="333" spans="1:6">
      <c r="A333" s="20"/>
      <c r="B333" s="20"/>
      <c r="C333" s="40"/>
      <c r="D333" s="42"/>
    </row>
    <row r="334" spans="1:6">
      <c r="A334" s="20"/>
      <c r="B334" s="20"/>
      <c r="C334" s="40"/>
      <c r="D334" s="42"/>
    </row>
    <row r="335" spans="1:6">
      <c r="A335" s="20"/>
      <c r="B335" s="20"/>
      <c r="C335" s="40"/>
      <c r="D335" s="42"/>
    </row>
    <row r="336" spans="1:6">
      <c r="A336" s="20"/>
      <c r="B336" s="20"/>
      <c r="C336" s="40"/>
      <c r="D336" s="42"/>
    </row>
    <row r="337" spans="1:4">
      <c r="A337" s="20"/>
      <c r="B337" s="20"/>
      <c r="C337" s="40"/>
      <c r="D337" s="42"/>
    </row>
    <row r="338" spans="1:4">
      <c r="A338" s="20"/>
      <c r="B338" s="20"/>
      <c r="C338" s="40"/>
      <c r="D338" s="42"/>
    </row>
    <row r="339" spans="1:4">
      <c r="A339" s="20"/>
      <c r="B339" s="20"/>
      <c r="C339" s="40"/>
      <c r="D339" s="42"/>
    </row>
    <row r="340" spans="1:4">
      <c r="A340" s="20"/>
      <c r="B340" s="20"/>
      <c r="C340" s="40"/>
      <c r="D340" s="42"/>
    </row>
    <row r="341" spans="1:4">
      <c r="A341" s="20"/>
      <c r="B341" s="20"/>
      <c r="C341" s="40"/>
      <c r="D341" s="42"/>
    </row>
    <row r="342" spans="1:4">
      <c r="A342" s="20"/>
      <c r="B342" s="20"/>
      <c r="C342" s="40"/>
      <c r="D342" s="42"/>
    </row>
    <row r="343" spans="1:4">
      <c r="A343" s="20"/>
      <c r="B343" s="20"/>
      <c r="C343" s="40"/>
      <c r="D343" s="42"/>
    </row>
    <row r="344" spans="1:4">
      <c r="A344" s="20"/>
      <c r="B344" s="20"/>
      <c r="C344" s="40"/>
      <c r="D344" s="42"/>
    </row>
    <row r="345" spans="1:4">
      <c r="A345" s="20"/>
      <c r="B345" s="20"/>
      <c r="C345" s="40"/>
      <c r="D345" s="42"/>
    </row>
    <row r="346" spans="1:4">
      <c r="A346" s="20"/>
      <c r="B346" s="20"/>
      <c r="C346" s="40"/>
      <c r="D346" s="42"/>
    </row>
    <row r="347" spans="1:4">
      <c r="A347" s="20"/>
      <c r="B347" s="20"/>
      <c r="C347" s="40"/>
      <c r="D347" s="42"/>
    </row>
    <row r="348" spans="1:4">
      <c r="A348" s="20"/>
      <c r="B348" s="20"/>
      <c r="C348" s="40"/>
      <c r="D348" s="42"/>
    </row>
    <row r="349" spans="1:4">
      <c r="A349" s="20"/>
      <c r="B349" s="20"/>
      <c r="C349" s="40"/>
      <c r="D349" s="42"/>
    </row>
    <row r="350" spans="1:4">
      <c r="A350" s="20"/>
      <c r="B350" s="20"/>
      <c r="C350" s="40"/>
      <c r="D350" s="42"/>
    </row>
    <row r="351" spans="1:4">
      <c r="A351" s="20"/>
      <c r="B351" s="20"/>
      <c r="C351" s="40"/>
      <c r="D351" s="42"/>
    </row>
    <row r="352" spans="1:4">
      <c r="A352" s="20"/>
      <c r="B352" s="20"/>
      <c r="C352" s="40"/>
      <c r="D352" s="42"/>
    </row>
    <row r="353" spans="1:4">
      <c r="A353" s="20"/>
      <c r="B353" s="20"/>
      <c r="C353" s="40"/>
      <c r="D353" s="42"/>
    </row>
    <row r="354" spans="1:4">
      <c r="A354" s="20"/>
      <c r="B354" s="20"/>
      <c r="C354" s="40"/>
      <c r="D354" s="42"/>
    </row>
    <row r="355" spans="1:4">
      <c r="A355" s="20"/>
      <c r="B355" s="20"/>
      <c r="C355" s="40"/>
      <c r="D355" s="42"/>
    </row>
    <row r="356" spans="1:4">
      <c r="A356" s="20"/>
      <c r="B356" s="20"/>
      <c r="C356" s="40"/>
      <c r="D356" s="42"/>
    </row>
    <row r="357" spans="1:4">
      <c r="A357" s="20"/>
      <c r="B357" s="20"/>
      <c r="C357" s="40"/>
      <c r="D357" s="42"/>
    </row>
    <row r="358" spans="1:4">
      <c r="A358" s="20"/>
      <c r="B358" s="20"/>
      <c r="C358" s="40"/>
      <c r="D358" s="42"/>
    </row>
    <row r="359" spans="1:4">
      <c r="A359" s="20"/>
      <c r="B359" s="20"/>
      <c r="C359" s="40"/>
      <c r="D359" s="42"/>
    </row>
    <row r="360" spans="1:4">
      <c r="A360" s="20"/>
      <c r="B360" s="20"/>
      <c r="C360" s="40"/>
      <c r="D360" s="42"/>
    </row>
    <row r="361" spans="1:4">
      <c r="A361" s="20"/>
      <c r="B361" s="20"/>
      <c r="C361" s="40"/>
      <c r="D361" s="42"/>
    </row>
    <row r="362" spans="1:4">
      <c r="A362" s="20"/>
      <c r="B362" s="20"/>
      <c r="C362" s="40"/>
      <c r="D362" s="42"/>
    </row>
    <row r="363" spans="1:4">
      <c r="A363" s="20"/>
      <c r="B363" s="20"/>
      <c r="C363" s="40"/>
      <c r="D363" s="42"/>
    </row>
    <row r="364" spans="1:4">
      <c r="A364" s="20"/>
      <c r="B364" s="20"/>
      <c r="C364" s="40"/>
      <c r="D364" s="42"/>
    </row>
    <row r="365" spans="1:4">
      <c r="A365" s="20"/>
      <c r="B365" s="20"/>
      <c r="C365" s="40"/>
      <c r="D365" s="42"/>
    </row>
    <row r="366" spans="1:4">
      <c r="A366" s="20"/>
      <c r="B366" s="20"/>
      <c r="C366" s="40"/>
      <c r="D366" s="42"/>
    </row>
    <row r="367" spans="1:4">
      <c r="A367" s="20"/>
      <c r="B367" s="20"/>
      <c r="C367" s="40"/>
      <c r="D367" s="42"/>
    </row>
    <row r="368" spans="1:4">
      <c r="A368" s="20"/>
      <c r="B368" s="20"/>
      <c r="C368" s="40"/>
      <c r="D368" s="42"/>
    </row>
    <row r="369" spans="1:4">
      <c r="A369" s="20"/>
      <c r="B369" s="20"/>
      <c r="C369" s="40"/>
      <c r="D369" s="42"/>
    </row>
    <row r="370" spans="1:4">
      <c r="A370" s="20"/>
      <c r="B370" s="20"/>
      <c r="C370" s="40"/>
      <c r="D370" s="42"/>
    </row>
    <row r="371" spans="1:4">
      <c r="A371" s="20"/>
      <c r="B371" s="20"/>
      <c r="C371" s="40"/>
      <c r="D371" s="42"/>
    </row>
    <row r="372" spans="1:4">
      <c r="A372" s="20"/>
      <c r="B372" s="20"/>
      <c r="C372" s="40"/>
      <c r="D372" s="42"/>
    </row>
    <row r="373" spans="1:4">
      <c r="A373" s="20"/>
      <c r="B373" s="20"/>
      <c r="C373" s="40"/>
      <c r="D373" s="42"/>
    </row>
    <row r="374" spans="1:4">
      <c r="A374" s="20"/>
      <c r="B374" s="20"/>
      <c r="C374" s="40"/>
      <c r="D374" s="42"/>
    </row>
    <row r="375" spans="1:4">
      <c r="A375" s="20"/>
      <c r="B375" s="20"/>
      <c r="C375" s="40"/>
      <c r="D375" s="42"/>
    </row>
    <row r="376" spans="1:4">
      <c r="A376" s="20"/>
      <c r="B376" s="20"/>
      <c r="C376" s="40"/>
      <c r="D376" s="42"/>
    </row>
    <row r="377" spans="1:4">
      <c r="A377" s="20"/>
      <c r="B377" s="20"/>
      <c r="C377" s="40"/>
      <c r="D377" s="42"/>
    </row>
    <row r="378" spans="1:4">
      <c r="A378" s="20"/>
      <c r="B378" s="20"/>
      <c r="C378" s="40"/>
      <c r="D378" s="42"/>
    </row>
    <row r="379" spans="1:4">
      <c r="A379" s="20"/>
      <c r="B379" s="20"/>
      <c r="C379" s="40"/>
      <c r="D379" s="42"/>
    </row>
    <row r="380" spans="1:4">
      <c r="A380" s="20"/>
      <c r="B380" s="20"/>
      <c r="C380" s="40"/>
      <c r="D380" s="42"/>
    </row>
    <row r="381" spans="1:4">
      <c r="A381" s="20"/>
      <c r="B381" s="20"/>
      <c r="C381" s="40"/>
      <c r="D381" s="42"/>
    </row>
    <row r="382" spans="1:4">
      <c r="A382" s="20"/>
      <c r="B382" s="20"/>
      <c r="C382" s="40"/>
      <c r="D382" s="42"/>
    </row>
    <row r="383" spans="1:4">
      <c r="A383" s="20"/>
      <c r="B383" s="20"/>
      <c r="C383" s="40"/>
      <c r="D383" s="42"/>
    </row>
    <row r="384" spans="1:4">
      <c r="A384" s="20"/>
      <c r="B384" s="20"/>
      <c r="C384" s="40"/>
      <c r="D384" s="42"/>
    </row>
    <row r="385" spans="1:4">
      <c r="A385" s="20"/>
      <c r="B385" s="20"/>
      <c r="C385" s="40"/>
      <c r="D385" s="42"/>
    </row>
    <row r="386" spans="1:4">
      <c r="A386" s="20"/>
      <c r="B386" s="20"/>
      <c r="C386" s="40"/>
      <c r="D386" s="42"/>
    </row>
    <row r="387" spans="1:4">
      <c r="A387" s="20"/>
      <c r="B387" s="20"/>
      <c r="C387" s="40"/>
      <c r="D387" s="42"/>
    </row>
    <row r="388" spans="1:4">
      <c r="A388" s="20"/>
      <c r="B388" s="20"/>
      <c r="C388" s="40"/>
      <c r="D388" s="42"/>
    </row>
    <row r="389" spans="1:4">
      <c r="A389" s="20"/>
      <c r="B389" s="20"/>
      <c r="C389" s="40"/>
      <c r="D389" s="42"/>
    </row>
    <row r="390" spans="1:4">
      <c r="A390" s="20"/>
      <c r="B390" s="20"/>
      <c r="C390" s="40"/>
      <c r="D390" s="42"/>
    </row>
    <row r="391" spans="1:4">
      <c r="A391" s="20"/>
      <c r="B391" s="20"/>
      <c r="C391" s="40"/>
      <c r="D391" s="42"/>
    </row>
    <row r="392" spans="1:4">
      <c r="A392" s="20"/>
      <c r="B392" s="20"/>
      <c r="C392" s="40"/>
      <c r="D392" s="42"/>
    </row>
    <row r="393" spans="1:4">
      <c r="A393" s="20"/>
      <c r="B393" s="20"/>
      <c r="C393" s="40"/>
      <c r="D393" s="42"/>
    </row>
  </sheetData>
  <conditionalFormatting sqref="A132:B322">
    <cfRule type="expression" dxfId="15" priority="12">
      <formula>$S132="Yes"</formula>
    </cfRule>
  </conditionalFormatting>
  <conditionalFormatting sqref="A2:A322">
    <cfRule type="duplicateValues" dxfId="14" priority="10"/>
  </conditionalFormatting>
  <conditionalFormatting sqref="A32">
    <cfRule type="expression" dxfId="13" priority="7">
      <formula>$S32="Yes"</formula>
    </cfRule>
  </conditionalFormatting>
  <conditionalFormatting sqref="A64">
    <cfRule type="expression" dxfId="12" priority="6">
      <formula>$S64="Yes"</formula>
    </cfRule>
  </conditionalFormatting>
  <conditionalFormatting sqref="A131">
    <cfRule type="expression" dxfId="11" priority="8">
      <formula>$S131="Yes"</formula>
    </cfRule>
  </conditionalFormatting>
  <conditionalFormatting sqref="A2 A5 A8 A11 A14 A17 A20 A23 A26 A29 A32 A35 A38 A41 A44 A47 A50 A53 A56 A59 A62 A65 A68 A71 A74 A77 A80 A83 A86 A89 A92 A95 A98 A101 A104 A107 A110 A113 A116 A119 A122 A125 A128 A131 A134 A137 A140 A143 A146 A149 A152 A155 A158 A161 A164 A167 A170 A173 A176 A179 A182 A185 A188 A191 A194 A197 A200 A203 A206 A209 A212 A215 A218 A221 A224 A227 A230 A233 A236 A239 A242 A245 A248 A251 A254 A257 A260 A263 A266 A269 A272 A275 A278 A281 A284 A287 A290 A293 A296 A299 A302 A305 A308 A311 A314 A317 A320">
    <cfRule type="expression" dxfId="10" priority="11">
      <formula>$S2="Yes"</formula>
    </cfRule>
  </conditionalFormatting>
  <conditionalFormatting sqref="A3:A31 A33:A130">
    <cfRule type="expression" dxfId="9" priority="9">
      <formula>$S3="Yes"</formula>
    </cfRule>
  </conditionalFormatting>
  <conditionalFormatting sqref="B32">
    <cfRule type="expression" dxfId="8" priority="2">
      <formula>$S32="Yes"</formula>
    </cfRule>
  </conditionalFormatting>
  <conditionalFormatting sqref="B64">
    <cfRule type="expression" dxfId="7" priority="1">
      <formula>$S64="Yes"</formula>
    </cfRule>
  </conditionalFormatting>
  <conditionalFormatting sqref="B131">
    <cfRule type="expression" dxfId="6" priority="3">
      <formula>$S131="Yes"</formula>
    </cfRule>
  </conditionalFormatting>
  <conditionalFormatting sqref="B2">
    <cfRule type="expression" dxfId="5" priority="5">
      <formula>$S2="Yes"</formula>
    </cfRule>
  </conditionalFormatting>
  <conditionalFormatting sqref="B3:B31 B33:B63 B65:B130">
    <cfRule type="expression" dxfId="4" priority="4">
      <formula>$S3="Yes"</formula>
    </cfRule>
  </conditionalFormatting>
  <conditionalFormatting sqref="A2 A5 A8 A11 A14 A17 A20 A23 A26 A29 A32 A35 A38 A41 A44 A47 A50 A53 A56 A59 A62 A65 A68 A71 A74 A77 A80 A83 A86 A89 A92 A95 A98 A101 A104 A107 A110 A113 A116 A119 A122 A125 A128 A131 A134 A137 A140 A143 A146 A149 A152 A155 A158 A161 A164 A167 A170 A173 A176 A179 A182 A185 A188 A191 A194 A197 A200 A203 A206 A209 A212 A215 A218 A221 A224 A227 A230 A233 A236 A239 A242 A245 A248 A251 A254 A257 A260 A263 A266 A269 A272 A275 A278 A281 A284 A287 A290 A293 A296 A299 A302 A305 A308 A311 A314 A317 A320">
    <cfRule type="duplicateValues" dxfId="3" priority="13"/>
  </conditionalFormatting>
  <conditionalFormatting sqref="A2:A322">
    <cfRule type="duplicateValues" dxfId="2" priority="14"/>
  </conditionalFormatting>
  <conditionalFormatting sqref="A3:A322">
    <cfRule type="duplicateValues" dxfId="1" priority="15"/>
  </conditionalFormatting>
  <conditionalFormatting sqref="B284:B322">
    <cfRule type="duplicateValues" dxfId="0" priority="16"/>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A3C5-C81A-4E9C-AB32-E698F01C839E}">
  <sheetPr>
    <tabColor theme="5"/>
  </sheetPr>
  <dimension ref="A1:C22"/>
  <sheetViews>
    <sheetView workbookViewId="0">
      <selection activeCell="C2" sqref="C2"/>
    </sheetView>
  </sheetViews>
  <sheetFormatPr defaultRowHeight="14.45"/>
  <cols>
    <col min="2" max="2" width="29.5703125" customWidth="1"/>
    <col min="3" max="3" width="156.140625" customWidth="1"/>
  </cols>
  <sheetData>
    <row r="1" spans="1:3">
      <c r="A1" s="73" t="s">
        <v>1391</v>
      </c>
      <c r="B1" s="73" t="s">
        <v>1392</v>
      </c>
      <c r="C1" s="73" t="s">
        <v>1393</v>
      </c>
    </row>
    <row r="2" spans="1:3">
      <c r="A2" s="8">
        <v>1</v>
      </c>
      <c r="B2" t="s">
        <v>57</v>
      </c>
      <c r="C2" t="s">
        <v>1394</v>
      </c>
    </row>
    <row r="3" spans="1:3">
      <c r="A3" s="8">
        <v>2</v>
      </c>
      <c r="B3" t="s">
        <v>58</v>
      </c>
      <c r="C3" t="s">
        <v>1395</v>
      </c>
    </row>
    <row r="4" spans="1:3">
      <c r="A4" s="8">
        <v>3</v>
      </c>
      <c r="B4" t="s">
        <v>59</v>
      </c>
      <c r="C4" t="s">
        <v>1396</v>
      </c>
    </row>
    <row r="5" spans="1:3">
      <c r="A5" s="8">
        <v>4</v>
      </c>
      <c r="B5" t="s">
        <v>1397</v>
      </c>
      <c r="C5" t="s">
        <v>1398</v>
      </c>
    </row>
    <row r="6" spans="1:3">
      <c r="A6" s="8">
        <v>5</v>
      </c>
      <c r="B6" t="s">
        <v>61</v>
      </c>
      <c r="C6" t="s">
        <v>1399</v>
      </c>
    </row>
    <row r="7" spans="1:3">
      <c r="A7" s="8">
        <v>6</v>
      </c>
      <c r="B7" t="s">
        <v>62</v>
      </c>
      <c r="C7" t="s">
        <v>1400</v>
      </c>
    </row>
    <row r="8" spans="1:3">
      <c r="A8" s="8">
        <v>7</v>
      </c>
      <c r="B8" t="s">
        <v>63</v>
      </c>
      <c r="C8" t="s">
        <v>1401</v>
      </c>
    </row>
    <row r="9" spans="1:3">
      <c r="A9" s="8">
        <v>8</v>
      </c>
      <c r="B9" t="s">
        <v>64</v>
      </c>
      <c r="C9" t="s">
        <v>1402</v>
      </c>
    </row>
    <row r="10" spans="1:3">
      <c r="A10" s="8">
        <v>9</v>
      </c>
      <c r="B10" t="s">
        <v>65</v>
      </c>
      <c r="C10" t="s">
        <v>1403</v>
      </c>
    </row>
    <row r="11" spans="1:3">
      <c r="A11" s="8">
        <v>10</v>
      </c>
      <c r="B11" t="s">
        <v>66</v>
      </c>
      <c r="C11" t="s">
        <v>1404</v>
      </c>
    </row>
    <row r="12" spans="1:3">
      <c r="A12" s="8">
        <v>11</v>
      </c>
      <c r="B12" t="s">
        <v>67</v>
      </c>
      <c r="C12" t="s">
        <v>1405</v>
      </c>
    </row>
    <row r="13" spans="1:3">
      <c r="A13" s="8">
        <v>12</v>
      </c>
      <c r="B13" t="s">
        <v>68</v>
      </c>
      <c r="C13" t="s">
        <v>1406</v>
      </c>
    </row>
    <row r="14" spans="1:3">
      <c r="A14" s="8">
        <v>13</v>
      </c>
      <c r="B14" t="s">
        <v>69</v>
      </c>
      <c r="C14" t="s">
        <v>1407</v>
      </c>
    </row>
    <row r="15" spans="1:3">
      <c r="A15" s="8">
        <v>14</v>
      </c>
      <c r="B15" t="s">
        <v>70</v>
      </c>
      <c r="C15" t="s">
        <v>1408</v>
      </c>
    </row>
    <row r="16" spans="1:3">
      <c r="A16" s="8">
        <v>15</v>
      </c>
      <c r="B16" t="s">
        <v>71</v>
      </c>
      <c r="C16" t="s">
        <v>1409</v>
      </c>
    </row>
    <row r="17" spans="1:3">
      <c r="A17" s="8">
        <v>16</v>
      </c>
      <c r="B17" t="s">
        <v>72</v>
      </c>
      <c r="C17" t="s">
        <v>1410</v>
      </c>
    </row>
    <row r="18" spans="1:3">
      <c r="A18" s="8">
        <v>17</v>
      </c>
      <c r="B18" t="s">
        <v>73</v>
      </c>
      <c r="C18" t="s">
        <v>1411</v>
      </c>
    </row>
    <row r="19" spans="1:3">
      <c r="A19" s="8">
        <v>18</v>
      </c>
      <c r="B19" t="s">
        <v>74</v>
      </c>
      <c r="C19" t="s">
        <v>1412</v>
      </c>
    </row>
    <row r="20" spans="1:3">
      <c r="A20" s="8">
        <v>19</v>
      </c>
      <c r="B20" t="s">
        <v>0</v>
      </c>
      <c r="C20" t="s">
        <v>1413</v>
      </c>
    </row>
    <row r="21" spans="1:3">
      <c r="A21" s="8">
        <v>20</v>
      </c>
      <c r="B21" t="s">
        <v>75</v>
      </c>
      <c r="C21" t="s">
        <v>1414</v>
      </c>
    </row>
    <row r="22" spans="1:3">
      <c r="A22" s="8">
        <v>21</v>
      </c>
      <c r="B22" t="s">
        <v>76</v>
      </c>
      <c r="C22" t="s">
        <v>1415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73C5-974D-44FF-808A-808F9E5E7817}">
  <sheetPr>
    <tabColor theme="5"/>
  </sheetPr>
  <dimension ref="A1:A22"/>
  <sheetViews>
    <sheetView tabSelected="1" workbookViewId="0">
      <selection activeCell="A23" sqref="A23"/>
    </sheetView>
  </sheetViews>
  <sheetFormatPr defaultColWidth="9.140625" defaultRowHeight="14.45"/>
  <cols>
    <col min="1" max="1" width="90.85546875" style="71" customWidth="1"/>
    <col min="2" max="16384" width="9.140625" style="71"/>
  </cols>
  <sheetData>
    <row r="1" spans="1:1">
      <c r="A1" s="19" t="s">
        <v>1416</v>
      </c>
    </row>
    <row r="2" spans="1:1">
      <c r="A2" t="s">
        <v>1417</v>
      </c>
    </row>
    <row r="3" spans="1:1">
      <c r="A3" t="s">
        <v>1418</v>
      </c>
    </row>
    <row r="4" spans="1:1">
      <c r="A4" t="s">
        <v>1419</v>
      </c>
    </row>
    <row r="5" spans="1:1">
      <c r="A5" t="s">
        <v>1420</v>
      </c>
    </row>
    <row r="6" spans="1:1">
      <c r="A6" t="s">
        <v>1421</v>
      </c>
    </row>
    <row r="7" spans="1:1">
      <c r="A7" t="s">
        <v>1422</v>
      </c>
    </row>
    <row r="8" spans="1:1">
      <c r="A8" t="s">
        <v>1423</v>
      </c>
    </row>
    <row r="9" spans="1:1">
      <c r="A9" t="s">
        <v>1424</v>
      </c>
    </row>
    <row r="10" spans="1:1">
      <c r="A10" t="s">
        <v>1425</v>
      </c>
    </row>
    <row r="11" spans="1:1">
      <c r="A11" t="s">
        <v>1426</v>
      </c>
    </row>
    <row r="12" spans="1:1">
      <c r="A12" t="s">
        <v>1427</v>
      </c>
    </row>
    <row r="13" spans="1:1">
      <c r="A13" t="s">
        <v>1428</v>
      </c>
    </row>
    <row r="14" spans="1:1">
      <c r="A14" t="s">
        <v>1429</v>
      </c>
    </row>
    <row r="15" spans="1:1">
      <c r="A15" t="s">
        <v>1430</v>
      </c>
    </row>
    <row r="16" spans="1:1">
      <c r="A16" t="s">
        <v>1431</v>
      </c>
    </row>
    <row r="17" spans="1:1">
      <c r="A17" t="s">
        <v>1432</v>
      </c>
    </row>
    <row r="18" spans="1:1">
      <c r="A18" t="s">
        <v>1433</v>
      </c>
    </row>
    <row r="19" spans="1:1">
      <c r="A19" t="s">
        <v>1434</v>
      </c>
    </row>
    <row r="20" spans="1:1">
      <c r="A20" t="s">
        <v>1435</v>
      </c>
    </row>
    <row r="21" spans="1:1">
      <c r="A21" t="s">
        <v>1436</v>
      </c>
    </row>
    <row r="22" spans="1:1">
      <c r="A22" t="s">
        <v>1437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DBA9-79BB-4C72-A537-AC577674E85C}">
  <dimension ref="A1:F23"/>
  <sheetViews>
    <sheetView topLeftCell="A3" workbookViewId="0">
      <selection activeCell="F5" sqref="F5"/>
    </sheetView>
  </sheetViews>
  <sheetFormatPr defaultRowHeight="14.45"/>
  <cols>
    <col min="1" max="1" width="30.140625" bestFit="1" customWidth="1"/>
    <col min="2" max="2" width="17.85546875" bestFit="1" customWidth="1"/>
    <col min="3" max="3" width="10.7109375" bestFit="1" customWidth="1"/>
    <col min="4" max="4" width="9" style="50" bestFit="1" customWidth="1"/>
    <col min="5" max="5" width="9.42578125" bestFit="1" customWidth="1"/>
    <col min="6" max="6" width="8.28515625" bestFit="1" customWidth="1"/>
  </cols>
  <sheetData>
    <row r="1" spans="1:6">
      <c r="A1" s="48" t="s">
        <v>0</v>
      </c>
      <c r="B1" t="s">
        <v>1438</v>
      </c>
    </row>
    <row r="3" spans="1:6" ht="57.6">
      <c r="A3" s="48" t="s">
        <v>2</v>
      </c>
      <c r="B3" s="34" t="s">
        <v>3</v>
      </c>
      <c r="C3" s="11" t="s">
        <v>4</v>
      </c>
      <c r="D3" s="34" t="s">
        <v>5</v>
      </c>
      <c r="E3" s="51" t="s">
        <v>1439</v>
      </c>
      <c r="F3" s="34" t="s">
        <v>7</v>
      </c>
    </row>
    <row r="4" spans="1:6">
      <c r="A4" s="49" t="s">
        <v>149</v>
      </c>
      <c r="B4">
        <v>26.5</v>
      </c>
      <c r="C4">
        <v>1040</v>
      </c>
      <c r="D4">
        <v>1066.5</v>
      </c>
      <c r="E4" s="16">
        <v>2.4847632442569153E-2</v>
      </c>
      <c r="F4">
        <v>6</v>
      </c>
    </row>
    <row r="5" spans="1:6">
      <c r="A5" s="49" t="s">
        <v>9</v>
      </c>
      <c r="B5">
        <v>98.5</v>
      </c>
      <c r="C5">
        <v>1679</v>
      </c>
      <c r="D5">
        <v>1777.5</v>
      </c>
      <c r="E5" s="16">
        <v>5.5414908579465544E-2</v>
      </c>
      <c r="F5">
        <v>10</v>
      </c>
    </row>
    <row r="6" spans="1:6">
      <c r="A6" s="49" t="s">
        <v>10</v>
      </c>
      <c r="B6">
        <v>1161.5</v>
      </c>
      <c r="C6">
        <v>3433</v>
      </c>
      <c r="D6">
        <v>4594.5</v>
      </c>
      <c r="E6" s="16">
        <v>0.25280226357601482</v>
      </c>
      <c r="F6">
        <v>31</v>
      </c>
    </row>
    <row r="7" spans="1:6">
      <c r="A7" s="49" t="s">
        <v>565</v>
      </c>
      <c r="B7">
        <v>0</v>
      </c>
      <c r="C7">
        <v>180</v>
      </c>
      <c r="D7">
        <v>180</v>
      </c>
      <c r="E7" s="16">
        <v>0</v>
      </c>
      <c r="F7">
        <v>1</v>
      </c>
    </row>
    <row r="8" spans="1:6">
      <c r="A8" s="49" t="s">
        <v>11</v>
      </c>
      <c r="B8">
        <v>0</v>
      </c>
      <c r="C8">
        <v>355.5</v>
      </c>
      <c r="D8">
        <v>355.5</v>
      </c>
      <c r="E8" s="16">
        <v>0</v>
      </c>
      <c r="F8">
        <v>2</v>
      </c>
    </row>
    <row r="9" spans="1:6">
      <c r="A9" s="49" t="s">
        <v>12</v>
      </c>
      <c r="B9">
        <v>0</v>
      </c>
      <c r="C9">
        <v>207</v>
      </c>
      <c r="D9">
        <v>207</v>
      </c>
      <c r="E9" s="16">
        <v>0</v>
      </c>
      <c r="F9">
        <v>1</v>
      </c>
    </row>
    <row r="10" spans="1:6">
      <c r="A10" s="49" t="s">
        <v>13</v>
      </c>
      <c r="B10">
        <v>90</v>
      </c>
      <c r="C10">
        <v>207</v>
      </c>
      <c r="D10">
        <v>297</v>
      </c>
      <c r="E10" s="16">
        <v>0.30303030303030304</v>
      </c>
      <c r="F10">
        <v>2</v>
      </c>
    </row>
    <row r="11" spans="1:6">
      <c r="A11" s="49" t="s">
        <v>14</v>
      </c>
      <c r="B11">
        <v>0</v>
      </c>
      <c r="C11">
        <v>9</v>
      </c>
      <c r="D11">
        <v>9</v>
      </c>
      <c r="E11" s="16">
        <v>0</v>
      </c>
      <c r="F11">
        <v>1</v>
      </c>
    </row>
    <row r="12" spans="1:6">
      <c r="A12" s="49" t="s">
        <v>15</v>
      </c>
      <c r="B12">
        <v>10470.35</v>
      </c>
      <c r="C12">
        <v>842.45</v>
      </c>
      <c r="D12">
        <v>11313</v>
      </c>
      <c r="E12" s="63">
        <v>0.92551489436930967</v>
      </c>
      <c r="F12">
        <v>69</v>
      </c>
    </row>
    <row r="13" spans="1:6">
      <c r="A13" s="49" t="s">
        <v>16</v>
      </c>
      <c r="B13">
        <v>0</v>
      </c>
      <c r="C13">
        <v>1143</v>
      </c>
      <c r="D13">
        <v>1143</v>
      </c>
      <c r="E13" s="16">
        <v>0</v>
      </c>
      <c r="F13">
        <v>6</v>
      </c>
    </row>
    <row r="14" spans="1:6">
      <c r="A14" s="49" t="s">
        <v>18</v>
      </c>
      <c r="B14">
        <v>90</v>
      </c>
      <c r="C14">
        <v>81</v>
      </c>
      <c r="D14">
        <v>171</v>
      </c>
      <c r="E14" s="16">
        <v>0.52631578947368418</v>
      </c>
      <c r="F14">
        <v>1</v>
      </c>
    </row>
    <row r="15" spans="1:6">
      <c r="A15" s="49" t="s">
        <v>19</v>
      </c>
      <c r="B15">
        <v>27420</v>
      </c>
      <c r="C15">
        <v>1101</v>
      </c>
      <c r="D15">
        <v>28521</v>
      </c>
      <c r="E15" s="63">
        <v>0.96139686546755021</v>
      </c>
      <c r="F15">
        <v>171</v>
      </c>
    </row>
    <row r="16" spans="1:6">
      <c r="A16" s="49" t="s">
        <v>1440</v>
      </c>
      <c r="D16"/>
      <c r="E16" s="16" t="e">
        <v>#DIV/0!</v>
      </c>
    </row>
    <row r="17" spans="1:6">
      <c r="A17" s="49" t="s">
        <v>636</v>
      </c>
      <c r="B17">
        <v>0</v>
      </c>
      <c r="C17">
        <v>949.5</v>
      </c>
      <c r="D17">
        <v>949.5</v>
      </c>
      <c r="E17" s="16">
        <v>0</v>
      </c>
      <c r="F17">
        <v>5</v>
      </c>
    </row>
    <row r="18" spans="1:6">
      <c r="A18" s="49" t="s">
        <v>1441</v>
      </c>
      <c r="B18">
        <v>88.8</v>
      </c>
      <c r="C18">
        <v>82.2</v>
      </c>
      <c r="D18">
        <v>171</v>
      </c>
      <c r="E18" s="16">
        <v>0.51929824561403504</v>
      </c>
      <c r="F18">
        <v>1</v>
      </c>
    </row>
    <row r="19" spans="1:6">
      <c r="A19" s="49" t="s">
        <v>160</v>
      </c>
      <c r="B19">
        <v>0</v>
      </c>
      <c r="C19">
        <v>0</v>
      </c>
      <c r="D19">
        <v>0</v>
      </c>
      <c r="E19" s="16" t="e">
        <v>#DIV/0!</v>
      </c>
      <c r="F19">
        <v>3</v>
      </c>
    </row>
    <row r="20" spans="1:6">
      <c r="A20" s="49" t="s">
        <v>609</v>
      </c>
      <c r="B20">
        <v>0</v>
      </c>
      <c r="C20">
        <v>207</v>
      </c>
      <c r="D20">
        <v>207</v>
      </c>
      <c r="E20" s="16">
        <v>0</v>
      </c>
      <c r="F20">
        <v>1</v>
      </c>
    </row>
    <row r="21" spans="1:6">
      <c r="A21" s="49" t="s">
        <v>21</v>
      </c>
      <c r="B21">
        <v>39445.65</v>
      </c>
      <c r="C21">
        <v>11516.650000000001</v>
      </c>
      <c r="D21">
        <v>50962.5</v>
      </c>
      <c r="E21" s="16">
        <v>0.77401324503311264</v>
      </c>
      <c r="F21">
        <v>311</v>
      </c>
    </row>
    <row r="22" spans="1:6">
      <c r="D22"/>
    </row>
    <row r="23" spans="1:6">
      <c r="D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C05360179E8C47A5EAB0B10EFD8F33" ma:contentTypeVersion="11" ma:contentTypeDescription="Create a new document." ma:contentTypeScope="" ma:versionID="cdfabbb2c023e803cb8357a845b1cc58">
  <xsd:schema xmlns:xsd="http://www.w3.org/2001/XMLSchema" xmlns:xs="http://www.w3.org/2001/XMLSchema" xmlns:p="http://schemas.microsoft.com/office/2006/metadata/properties" xmlns:ns2="09dca4bd-b14e-4d72-97d2-87e4e41f7186" xmlns:ns3="8fb5e07e-a1cd-4aa1-aa27-65f8e983d131" targetNamespace="http://schemas.microsoft.com/office/2006/metadata/properties" ma:root="true" ma:fieldsID="d6ae6e3d3cd87f122e829c3f08bbd66f" ns2:_="" ns3:_="">
    <xsd:import namespace="09dca4bd-b14e-4d72-97d2-87e4e41f7186"/>
    <xsd:import namespace="8fb5e07e-a1cd-4aa1-aa27-65f8e983d1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ca4bd-b14e-4d72-97d2-87e4e41f71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00f407e-6a89-4898-a26a-d77ba62b052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fb5e07e-a1cd-4aa1-aa27-65f8e983d13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9798cf1-8687-4a4d-8af8-66a68ca63608}" ma:internalName="TaxCatchAll" ma:showField="CatchAllData" ma:web="8fb5e07e-a1cd-4aa1-aa27-65f8e983d1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dca4bd-b14e-4d72-97d2-87e4e41f7186">
      <Terms xmlns="http://schemas.microsoft.com/office/infopath/2007/PartnerControls"/>
    </lcf76f155ced4ddcb4097134ff3c332f>
    <TaxCatchAll xmlns="8fb5e07e-a1cd-4aa1-aa27-65f8e983d131" xsi:nil="true"/>
  </documentManagement>
</p:properties>
</file>

<file path=customXml/itemProps1.xml><?xml version="1.0" encoding="utf-8"?>
<ds:datastoreItem xmlns:ds="http://schemas.openxmlformats.org/officeDocument/2006/customXml" ds:itemID="{94B3DFC4-477B-453D-B820-0EF2287A522D}"/>
</file>

<file path=customXml/itemProps2.xml><?xml version="1.0" encoding="utf-8"?>
<ds:datastoreItem xmlns:ds="http://schemas.openxmlformats.org/officeDocument/2006/customXml" ds:itemID="{DB85836E-51E6-432A-BB66-DBD62C723CF6}"/>
</file>

<file path=customXml/itemProps3.xml><?xml version="1.0" encoding="utf-8"?>
<ds:datastoreItem xmlns:ds="http://schemas.openxmlformats.org/officeDocument/2006/customXml" ds:itemID="{59A7006F-2B2C-495A-8B5D-6D0A6619084F}"/>
</file>

<file path=docMetadata/LabelInfo.xml><?xml version="1.0" encoding="utf-8"?>
<clbl:labelList xmlns:clbl="http://schemas.microsoft.com/office/2020/mipLabelMetadata">
  <clbl:label id="{fb33e7e1-6a98-4d5a-bd25-f47acf95078a}" enabled="0" method="" siteId="{fb33e7e1-6a98-4d5a-bd25-f47acf95078a}"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Manjeet Bilthare</cp:lastModifiedBy>
  <cp:revision/>
  <dcterms:created xsi:type="dcterms:W3CDTF">2025-06-25T06:13:01Z</dcterms:created>
  <dcterms:modified xsi:type="dcterms:W3CDTF">2026-02-05T07:26:07Z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0x0101007EC05360179E8C47A5EAB0B10EFD8F33</vt:lpwstr>
  </property>
  <property fmtid="{D5CDD505-2E9C-101B-9397-08002B2CF9AE}" pid="3" name="MediaServiceImageTags">
    <vt:lpwstr/>
  </property>
</Properties>
</file>