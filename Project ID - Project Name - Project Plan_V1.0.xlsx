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saveExternalLinkValues="0" updateLinks="always"/>
  <mc:AlternateContent xmlns:mc="http://schemas.openxmlformats.org/markup-compatibility/2006">
    <mc:Choice Requires="x15">
      <x15ac:absPath xmlns:x15ac="http://schemas.microsoft.com/office/spreadsheetml/2010/11/ac" url="C:\Users\ved.verma\Downloads\qw\"/>
    </mc:Choice>
  </mc:AlternateContent>
  <xr:revisionPtr revIDLastSave="0" documentId="13_ncr:1_{B4C8BF97-5FE0-46BC-B10D-0BF0EAEFE041}" xr6:coauthVersionLast="47" xr6:coauthVersionMax="47" xr10:uidLastSave="{00000000-0000-0000-0000-000000000000}"/>
  <bookViews>
    <workbookView xWindow="-108" yWindow="-108" windowWidth="23256" windowHeight="12576" tabRatio="869" firstSheet="4" activeTab="10" xr2:uid="{00000000-000D-0000-FFFF-FFFF00000000}"/>
  </bookViews>
  <sheets>
    <sheet name="Index" sheetId="18" r:id="rId1"/>
    <sheet name="Pre-Requisite" sheetId="53" r:id="rId2"/>
    <sheet name=" Best Practices-Proj Mngt" sheetId="54" r:id="rId3"/>
    <sheet name="Scope" sheetId="42" r:id="rId4"/>
    <sheet name="1. Project Details" sheetId="2" r:id="rId5"/>
    <sheet name="Team Access &amp; Training" sheetId="52" r:id="rId6"/>
    <sheet name="2. Planning" sheetId="51" r:id="rId7"/>
    <sheet name="3. Task Monitoring" sheetId="41" r:id="rId8"/>
    <sheet name="4. Risk" sheetId="27" r:id="rId9"/>
    <sheet name="5. Assumptions" sheetId="28" r:id="rId10"/>
    <sheet name="6. Issue Log" sheetId="31" r:id="rId11"/>
    <sheet name="7. Dependencies" sheetId="29" r:id="rId12"/>
    <sheet name="8. Meeting Notes" sheetId="26" state="hidden" r:id="rId13"/>
    <sheet name="9. Estimation" sheetId="24" r:id="rId14"/>
    <sheet name="10. Q&amp;A" sheetId="55" r:id="rId15"/>
    <sheet name="HiddenWkly" sheetId="17" state="hidden" r:id="rId16"/>
    <sheet name="11. Change Request Register" sheetId="56" r:id="rId17"/>
  </sheets>
  <externalReferences>
    <externalReference r:id="rId18"/>
    <externalReference r:id="rId19"/>
    <externalReference r:id="rId20"/>
    <externalReference r:id="rId21"/>
  </externalReferences>
  <definedNames>
    <definedName name="_xlnm._FilterDatabase" localSheetId="7" hidden="1">'3. Task Monitoring'!$B$14:$I$121</definedName>
    <definedName name="Impact">[1]Data!$D$2:$D$4</definedName>
    <definedName name="Importance">[1]Data!$B$2:$B$4</definedName>
    <definedName name="Initials" localSheetId="6">[2]Hidden!#REF!</definedName>
    <definedName name="Initials" localSheetId="7">[3]Hidden!#REF!</definedName>
    <definedName name="Initials">#REF!</definedName>
    <definedName name="Location">[1]Data!$E$2:$E$3</definedName>
    <definedName name="Names">#REF!</definedName>
    <definedName name="Owner">'1. Project Details'!$B$16:$B$24</definedName>
    <definedName name="_xlnm.Print_Area" localSheetId="0">Index!$B$1:$J$37</definedName>
    <definedName name="Prioirty">[1]Data!$C$2:$C$4</definedName>
    <definedName name="Stage">'1. Project Details'!$C$16:$C$24</definedName>
    <definedName name="Stat">#REF!</definedName>
    <definedName name="Stats">#REF!</definedName>
    <definedName name="Status" localSheetId="6">'[2]1. Project Details'!#REF!</definedName>
    <definedName name="Status" localSheetId="7">'[3]1. Project Details'!#REF!</definedName>
    <definedName name="Status" localSheetId="8">[1]Data!$A$2:$A$3</definedName>
    <definedName name="Status" localSheetId="9">[1]Data!$A$2:$A$3</definedName>
    <definedName name="Status" localSheetId="10">[1]Data!$A$2:$A$3</definedName>
    <definedName name="Status" localSheetId="11">[1]Data!$A$2:$A$3</definedName>
    <definedName name="Status" localSheetId="12">[1]Data!$A$2:$A$3</definedName>
    <definedName name="Status">'1. Project Details'!#REF!</definedName>
    <definedName name="Status1">[1]Data!$A$2:$A$3</definedName>
    <definedName name="Team" localSheetId="6">'1. Project Details'!$H$15:$H$24</definedName>
    <definedName name="Team" localSheetId="7">[3]Hidden!$E$2:$E$41</definedName>
    <definedName name="Team">#REF!</definedName>
    <definedName name="Tool">'[4]SBS Forecast'!$A$41:$A$47</definedName>
    <definedName name="Tools">'[4]SBS Forecast'!$A$41:$A$45</definedName>
    <definedName name="Trac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41" l="1"/>
  <c r="T14" i="41" s="1"/>
  <c r="Y14" i="41" s="1"/>
  <c r="AD14" i="41" s="1"/>
  <c r="AI14" i="41" s="1"/>
  <c r="AN14" i="41" s="1"/>
  <c r="AS14" i="41" s="1"/>
  <c r="AX14" i="41" s="1"/>
  <c r="BC14" i="41" s="1"/>
  <c r="BH14" i="41" s="1"/>
  <c r="BM14" i="41" s="1"/>
  <c r="BR14" i="41" s="1"/>
  <c r="BW14" i="41" s="1"/>
  <c r="E10" i="17" l="1"/>
  <c r="N10" i="17" s="1"/>
  <c r="K10" i="17"/>
  <c r="F10" i="17"/>
  <c r="B5" i="17"/>
  <c r="E11" i="17"/>
  <c r="K11" i="17"/>
  <c r="F11" i="17"/>
  <c r="B4" i="17"/>
  <c r="E12" i="17"/>
  <c r="G12" i="17"/>
  <c r="K12" i="17"/>
  <c r="J12" i="17"/>
  <c r="F12" i="17"/>
  <c r="E13" i="17"/>
  <c r="G13" i="17"/>
  <c r="K13" i="17"/>
  <c r="J13" i="17"/>
  <c r="F13" i="17"/>
  <c r="E14" i="17"/>
  <c r="O14" i="17" s="1"/>
  <c r="K14" i="17"/>
  <c r="F14" i="17"/>
  <c r="E15" i="17"/>
  <c r="O15" i="17" s="1"/>
  <c r="G15" i="17"/>
  <c r="K15" i="17"/>
  <c r="J15" i="17"/>
  <c r="F15" i="17"/>
  <c r="E16" i="17"/>
  <c r="G16" i="17"/>
  <c r="K16" i="17"/>
  <c r="J16" i="17"/>
  <c r="F16" i="17"/>
  <c r="E17" i="17"/>
  <c r="G17" i="17"/>
  <c r="K17" i="17"/>
  <c r="J17" i="17"/>
  <c r="F17" i="17"/>
  <c r="E18" i="17"/>
  <c r="G18" i="17"/>
  <c r="K18" i="17"/>
  <c r="J18" i="17"/>
  <c r="F18" i="17"/>
  <c r="E19" i="17"/>
  <c r="K19" i="17"/>
  <c r="F19" i="17"/>
  <c r="E20" i="17"/>
  <c r="G20" i="17"/>
  <c r="K20" i="17"/>
  <c r="J20" i="17"/>
  <c r="F20" i="17"/>
  <c r="E21" i="17"/>
  <c r="K21" i="17"/>
  <c r="F21" i="17"/>
  <c r="E22" i="17"/>
  <c r="G22" i="17"/>
  <c r="K22" i="17"/>
  <c r="J22" i="17"/>
  <c r="F22" i="17"/>
  <c r="E23" i="17"/>
  <c r="G23" i="17"/>
  <c r="K23" i="17"/>
  <c r="J23" i="17"/>
  <c r="F23" i="17"/>
  <c r="E24" i="17"/>
  <c r="O24" i="17" s="1"/>
  <c r="G24" i="17"/>
  <c r="K24" i="17"/>
  <c r="J24" i="17"/>
  <c r="F24" i="17"/>
  <c r="E25" i="17"/>
  <c r="G25" i="17"/>
  <c r="K25" i="17"/>
  <c r="J25" i="17"/>
  <c r="F25" i="17"/>
  <c r="E26" i="17"/>
  <c r="G26" i="17"/>
  <c r="K26" i="17"/>
  <c r="J26" i="17"/>
  <c r="F26" i="17"/>
  <c r="E27" i="17"/>
  <c r="K27" i="17"/>
  <c r="F27" i="17"/>
  <c r="E28" i="17"/>
  <c r="G28" i="17"/>
  <c r="K28" i="17"/>
  <c r="J28" i="17"/>
  <c r="F28" i="17"/>
  <c r="E29" i="17"/>
  <c r="N29" i="17" s="1"/>
  <c r="M29" i="17" s="1"/>
  <c r="G29" i="17"/>
  <c r="K29" i="17"/>
  <c r="J29" i="17"/>
  <c r="F29" i="17"/>
  <c r="E30" i="17"/>
  <c r="G30" i="17"/>
  <c r="K30" i="17"/>
  <c r="J30" i="17"/>
  <c r="F30" i="17"/>
  <c r="E31" i="17"/>
  <c r="G31" i="17"/>
  <c r="K31" i="17"/>
  <c r="J31" i="17"/>
  <c r="F31" i="17"/>
  <c r="E32" i="17"/>
  <c r="G32" i="17"/>
  <c r="K32" i="17"/>
  <c r="J32" i="17"/>
  <c r="F32" i="17"/>
  <c r="E33" i="17"/>
  <c r="K33" i="17"/>
  <c r="F33" i="17"/>
  <c r="E34" i="17"/>
  <c r="G34" i="17"/>
  <c r="K34" i="17"/>
  <c r="J34" i="17"/>
  <c r="F34" i="17"/>
  <c r="E35" i="17"/>
  <c r="G35" i="17"/>
  <c r="K35" i="17"/>
  <c r="J35" i="17"/>
  <c r="F35" i="17"/>
  <c r="E36" i="17"/>
  <c r="N36" i="17" s="1"/>
  <c r="M36" i="17" s="1"/>
  <c r="G36" i="17"/>
  <c r="K36" i="17"/>
  <c r="J36" i="17"/>
  <c r="F36" i="17"/>
  <c r="E37" i="17"/>
  <c r="G37" i="17"/>
  <c r="K37" i="17"/>
  <c r="J37" i="17"/>
  <c r="F37" i="17"/>
  <c r="E38" i="17"/>
  <c r="G38" i="17"/>
  <c r="K38" i="17"/>
  <c r="J38" i="17"/>
  <c r="F38" i="17"/>
  <c r="E39" i="17"/>
  <c r="K39" i="17"/>
  <c r="F39" i="17"/>
  <c r="E40" i="17"/>
  <c r="K40" i="17"/>
  <c r="F40" i="17"/>
  <c r="E41" i="17"/>
  <c r="K41" i="17"/>
  <c r="F41" i="17"/>
  <c r="E42" i="17"/>
  <c r="K42" i="17"/>
  <c r="F42" i="17"/>
  <c r="E43" i="17"/>
  <c r="K43" i="17"/>
  <c r="F43" i="17"/>
  <c r="E44" i="17"/>
  <c r="K44" i="17"/>
  <c r="F44" i="17"/>
  <c r="E45" i="17"/>
  <c r="K45" i="17"/>
  <c r="F45" i="17"/>
  <c r="E46" i="17"/>
  <c r="K46" i="17"/>
  <c r="F46" i="17"/>
  <c r="E47" i="17"/>
  <c r="K47" i="17"/>
  <c r="F47" i="17"/>
  <c r="E48" i="17"/>
  <c r="K48" i="17"/>
  <c r="F48" i="17"/>
  <c r="E49" i="17"/>
  <c r="K49" i="17"/>
  <c r="F49" i="17"/>
  <c r="E50" i="17"/>
  <c r="K50" i="17"/>
  <c r="F50" i="17"/>
  <c r="E51" i="17"/>
  <c r="K51" i="17"/>
  <c r="F51" i="17"/>
  <c r="E52" i="17"/>
  <c r="K52" i="17"/>
  <c r="F52" i="17"/>
  <c r="E53" i="17"/>
  <c r="K53" i="17"/>
  <c r="F53" i="17"/>
  <c r="E54" i="17"/>
  <c r="K54" i="17"/>
  <c r="F54" i="17"/>
  <c r="E55" i="17"/>
  <c r="K55" i="17"/>
  <c r="F55" i="17"/>
  <c r="E56" i="17"/>
  <c r="K56" i="17"/>
  <c r="F56" i="17"/>
  <c r="E57" i="17"/>
  <c r="K57" i="17"/>
  <c r="F57" i="17"/>
  <c r="E58" i="17"/>
  <c r="K58" i="17"/>
  <c r="F58" i="17"/>
  <c r="E59" i="17"/>
  <c r="K59" i="17"/>
  <c r="F59" i="17"/>
  <c r="E60" i="17"/>
  <c r="K60" i="17"/>
  <c r="F60" i="17"/>
  <c r="E61" i="17"/>
  <c r="K61" i="17"/>
  <c r="F61" i="17"/>
  <c r="E62" i="17"/>
  <c r="K62" i="17"/>
  <c r="F62" i="17"/>
  <c r="E63" i="17"/>
  <c r="K63" i="17"/>
  <c r="F63" i="17"/>
  <c r="E64" i="17"/>
  <c r="K64" i="17"/>
  <c r="F64" i="17"/>
  <c r="E65" i="17"/>
  <c r="K65" i="17"/>
  <c r="F65" i="17"/>
  <c r="E66" i="17"/>
  <c r="K66" i="17"/>
  <c r="F66" i="17"/>
  <c r="E67" i="17"/>
  <c r="K67" i="17"/>
  <c r="F67" i="17"/>
  <c r="E68" i="17"/>
  <c r="K68" i="17"/>
  <c r="F68" i="17"/>
  <c r="E69" i="17"/>
  <c r="K69" i="17"/>
  <c r="F69" i="17"/>
  <c r="E70" i="17"/>
  <c r="K70" i="17"/>
  <c r="F70" i="17"/>
  <c r="E71" i="17"/>
  <c r="K71" i="17"/>
  <c r="F71" i="17"/>
  <c r="E72" i="17"/>
  <c r="K72" i="17"/>
  <c r="F72" i="17"/>
  <c r="E73" i="17"/>
  <c r="K73" i="17"/>
  <c r="F73" i="17"/>
  <c r="E74" i="17"/>
  <c r="K74" i="17"/>
  <c r="F74" i="17"/>
  <c r="E75" i="17"/>
  <c r="K75" i="17"/>
  <c r="F75" i="17"/>
  <c r="E76" i="17"/>
  <c r="K76" i="17"/>
  <c r="F76" i="17"/>
  <c r="E77" i="17"/>
  <c r="K77" i="17"/>
  <c r="F77" i="17"/>
  <c r="E78" i="17"/>
  <c r="K78" i="17"/>
  <c r="F78" i="17"/>
  <c r="E79" i="17"/>
  <c r="K79" i="17"/>
  <c r="F79" i="17"/>
  <c r="E80" i="17"/>
  <c r="K80" i="17"/>
  <c r="F80" i="17"/>
  <c r="E81" i="17"/>
  <c r="K81" i="17"/>
  <c r="F81" i="17"/>
  <c r="E82" i="17"/>
  <c r="K82" i="17"/>
  <c r="F82" i="17"/>
  <c r="E83" i="17"/>
  <c r="K83" i="17"/>
  <c r="F83" i="17"/>
  <c r="E84" i="17"/>
  <c r="K84" i="17"/>
  <c r="F84" i="17"/>
  <c r="E85" i="17"/>
  <c r="K85" i="17"/>
  <c r="F85" i="17"/>
  <c r="E86" i="17"/>
  <c r="K86" i="17"/>
  <c r="F86" i="17"/>
  <c r="E87" i="17"/>
  <c r="K87" i="17"/>
  <c r="F87" i="17"/>
  <c r="E88" i="17"/>
  <c r="K88" i="17"/>
  <c r="F88" i="17"/>
  <c r="E89" i="17"/>
  <c r="N89" i="17" s="1"/>
  <c r="K89" i="17"/>
  <c r="F89" i="17"/>
  <c r="E90" i="17"/>
  <c r="K90" i="17"/>
  <c r="F90" i="17"/>
  <c r="E91" i="17"/>
  <c r="K91" i="17"/>
  <c r="F91" i="17"/>
  <c r="E92" i="17"/>
  <c r="K92" i="17"/>
  <c r="F92" i="17"/>
  <c r="E93" i="17"/>
  <c r="K93" i="17"/>
  <c r="F93" i="17"/>
  <c r="E94" i="17"/>
  <c r="K94" i="17"/>
  <c r="F94" i="17"/>
  <c r="E95" i="17"/>
  <c r="K95" i="17"/>
  <c r="F95" i="17"/>
  <c r="E96" i="17"/>
  <c r="K96" i="17"/>
  <c r="F96" i="17"/>
  <c r="E97" i="17"/>
  <c r="K97" i="17"/>
  <c r="F97" i="17"/>
  <c r="E98" i="17"/>
  <c r="K98" i="17"/>
  <c r="F98" i="17"/>
  <c r="E99" i="17"/>
  <c r="K99" i="17"/>
  <c r="F99" i="17"/>
  <c r="E100" i="17"/>
  <c r="L100" i="17" s="1"/>
  <c r="K100" i="17"/>
  <c r="F100" i="17"/>
  <c r="E101" i="17"/>
  <c r="O101" i="17" s="1"/>
  <c r="K101" i="17"/>
  <c r="F101" i="17"/>
  <c r="E102" i="17"/>
  <c r="N102" i="17" s="1"/>
  <c r="K102" i="17"/>
  <c r="F102" i="17"/>
  <c r="E103" i="17"/>
  <c r="L103" i="17" s="1"/>
  <c r="K103" i="17"/>
  <c r="F103" i="17"/>
  <c r="E104" i="17"/>
  <c r="N104" i="17" s="1"/>
  <c r="K104" i="17"/>
  <c r="F104" i="17"/>
  <c r="E105" i="17"/>
  <c r="L105" i="17" s="1"/>
  <c r="K105" i="17"/>
  <c r="F105" i="17"/>
  <c r="E106" i="17"/>
  <c r="N106" i="17" s="1"/>
  <c r="K106" i="17"/>
  <c r="F106" i="17"/>
  <c r="E107" i="17"/>
  <c r="O107" i="17" s="1"/>
  <c r="K107" i="17"/>
  <c r="F107" i="17"/>
  <c r="E108" i="17"/>
  <c r="L108" i="17" s="1"/>
  <c r="K108" i="17"/>
  <c r="F108" i="17"/>
  <c r="E109" i="17"/>
  <c r="N109" i="17" s="1"/>
  <c r="K109" i="17"/>
  <c r="F109" i="17"/>
  <c r="H16" i="17"/>
  <c r="H38" i="17"/>
  <c r="H37" i="17"/>
  <c r="H36" i="17"/>
  <c r="H35" i="17"/>
  <c r="H34" i="17"/>
  <c r="H32" i="17"/>
  <c r="I32" i="17" s="1"/>
  <c r="H31" i="17"/>
  <c r="H30" i="17"/>
  <c r="H29" i="17"/>
  <c r="H28" i="17"/>
  <c r="H26" i="17"/>
  <c r="H25" i="17"/>
  <c r="H24" i="17"/>
  <c r="H23" i="17"/>
  <c r="H22" i="17"/>
  <c r="I22" i="17" s="1"/>
  <c r="H20" i="17"/>
  <c r="H18" i="17"/>
  <c r="H17" i="17"/>
  <c r="AD14" i="17"/>
  <c r="AD11" i="17"/>
  <c r="AD12" i="17"/>
  <c r="AD13" i="17"/>
  <c r="AD15" i="17"/>
  <c r="AD16" i="17"/>
  <c r="AD17" i="17"/>
  <c r="AD18" i="17"/>
  <c r="AD19" i="17"/>
  <c r="AE19" i="17" s="1"/>
  <c r="AF19" i="17" s="1"/>
  <c r="AG19" i="17" s="1"/>
  <c r="AD20" i="17"/>
  <c r="AE20" i="17" s="1"/>
  <c r="AF20" i="17" s="1"/>
  <c r="AG20" i="17" s="1"/>
  <c r="AD21" i="17"/>
  <c r="AE21" i="17" s="1"/>
  <c r="AF21" i="17" s="1"/>
  <c r="AG21" i="17" s="1"/>
  <c r="AD22" i="17"/>
  <c r="AE22" i="17" s="1"/>
  <c r="AF22" i="17" s="1"/>
  <c r="AG22" i="17" s="1"/>
  <c r="AD23" i="17"/>
  <c r="AE23" i="17" s="1"/>
  <c r="AF23" i="17" s="1"/>
  <c r="AG23" i="17" s="1"/>
  <c r="AD24" i="17"/>
  <c r="AE24" i="17" s="1"/>
  <c r="AF24" i="17" s="1"/>
  <c r="AG24" i="17" s="1"/>
  <c r="AD25" i="17"/>
  <c r="AE25" i="17" s="1"/>
  <c r="AF25" i="17" s="1"/>
  <c r="AG25" i="17" s="1"/>
  <c r="AD26" i="17"/>
  <c r="AE26" i="17" s="1"/>
  <c r="AF26" i="17" s="1"/>
  <c r="AG26" i="17" s="1"/>
  <c r="AD27" i="17"/>
  <c r="AE27" i="17" s="1"/>
  <c r="AF27" i="17" s="1"/>
  <c r="AG27" i="17" s="1"/>
  <c r="AD28" i="17"/>
  <c r="AE28" i="17" s="1"/>
  <c r="AF28" i="17" s="1"/>
  <c r="AG28" i="17" s="1"/>
  <c r="AD29" i="17"/>
  <c r="AE29" i="17" s="1"/>
  <c r="AF29" i="17" s="1"/>
  <c r="AG29" i="17" s="1"/>
  <c r="AD30" i="17"/>
  <c r="AE30" i="17" s="1"/>
  <c r="AF30" i="17" s="1"/>
  <c r="AG30" i="17" s="1"/>
  <c r="AD31" i="17"/>
  <c r="AE31" i="17" s="1"/>
  <c r="AF31" i="17" s="1"/>
  <c r="AG31" i="17" s="1"/>
  <c r="AD32" i="17"/>
  <c r="AE32" i="17" s="1"/>
  <c r="AF32" i="17" s="1"/>
  <c r="AG32" i="17" s="1"/>
  <c r="AD33" i="17"/>
  <c r="AE33" i="17" s="1"/>
  <c r="AF33" i="17" s="1"/>
  <c r="AG33" i="17" s="1"/>
  <c r="AD34" i="17"/>
  <c r="AE34" i="17" s="1"/>
  <c r="AF34" i="17" s="1"/>
  <c r="AG34" i="17" s="1"/>
  <c r="AD35" i="17"/>
  <c r="AE35" i="17" s="1"/>
  <c r="AF35" i="17" s="1"/>
  <c r="AG35" i="17" s="1"/>
  <c r="AD36" i="17"/>
  <c r="AE36" i="17" s="1"/>
  <c r="AF36" i="17" s="1"/>
  <c r="AG36" i="17" s="1"/>
  <c r="AD37" i="17"/>
  <c r="AE37" i="17" s="1"/>
  <c r="AF37" i="17" s="1"/>
  <c r="AG37" i="17" s="1"/>
  <c r="AD38" i="17"/>
  <c r="AE38" i="17" s="1"/>
  <c r="AF38" i="17" s="1"/>
  <c r="AG38" i="17" s="1"/>
  <c r="AD39" i="17"/>
  <c r="AE39" i="17" s="1"/>
  <c r="AF39" i="17" s="1"/>
  <c r="AG39" i="17" s="1"/>
  <c r="AD40" i="17"/>
  <c r="AE40" i="17" s="1"/>
  <c r="AF40" i="17" s="1"/>
  <c r="AG40" i="17" s="1"/>
  <c r="AD41" i="17"/>
  <c r="AE41" i="17" s="1"/>
  <c r="AF41" i="17" s="1"/>
  <c r="AG41" i="17" s="1"/>
  <c r="AD42" i="17"/>
  <c r="AE42" i="17" s="1"/>
  <c r="AF42" i="17" s="1"/>
  <c r="AG42" i="17" s="1"/>
  <c r="AD43" i="17"/>
  <c r="AE43" i="17" s="1"/>
  <c r="AF43" i="17" s="1"/>
  <c r="AG43" i="17" s="1"/>
  <c r="AD44" i="17"/>
  <c r="AE44" i="17" s="1"/>
  <c r="AF44" i="17" s="1"/>
  <c r="AG44" i="17" s="1"/>
  <c r="AD45" i="17"/>
  <c r="AE45" i="17" s="1"/>
  <c r="AF45" i="17" s="1"/>
  <c r="AG45" i="17" s="1"/>
  <c r="AD46" i="17"/>
  <c r="AE46" i="17" s="1"/>
  <c r="AF46" i="17" s="1"/>
  <c r="AG46" i="17" s="1"/>
  <c r="AD47" i="17"/>
  <c r="AE47" i="17" s="1"/>
  <c r="AF47" i="17" s="1"/>
  <c r="AG47" i="17" s="1"/>
  <c r="AD48" i="17"/>
  <c r="AE48" i="17" s="1"/>
  <c r="AF48" i="17" s="1"/>
  <c r="AG48" i="17" s="1"/>
  <c r="AD49" i="17"/>
  <c r="AE49" i="17" s="1"/>
  <c r="AF49" i="17" s="1"/>
  <c r="AG49" i="17" s="1"/>
  <c r="AD50" i="17"/>
  <c r="AE50" i="17" s="1"/>
  <c r="AF50" i="17" s="1"/>
  <c r="AG50" i="17" s="1"/>
  <c r="J10" i="17"/>
  <c r="G10" i="17"/>
  <c r="G14" i="17"/>
  <c r="G19" i="17"/>
  <c r="G21" i="17"/>
  <c r="G27" i="17"/>
  <c r="G33" i="17"/>
  <c r="G43" i="17"/>
  <c r="G44" i="17"/>
  <c r="G45" i="17"/>
  <c r="J11" i="17"/>
  <c r="G11" i="17"/>
  <c r="J19" i="17"/>
  <c r="J21" i="17"/>
  <c r="J27" i="17"/>
  <c r="J33" i="17"/>
  <c r="G39" i="17"/>
  <c r="J39" i="17"/>
  <c r="G40" i="17"/>
  <c r="J40" i="17"/>
  <c r="G41" i="17"/>
  <c r="J41" i="17"/>
  <c r="G42" i="17"/>
  <c r="J42" i="17"/>
  <c r="J43" i="17"/>
  <c r="J45" i="17"/>
  <c r="G47" i="17"/>
  <c r="J47" i="17"/>
  <c r="G48" i="17"/>
  <c r="J48" i="17"/>
  <c r="G49" i="17"/>
  <c r="J49" i="17"/>
  <c r="G50" i="17"/>
  <c r="J50" i="17"/>
  <c r="G51" i="17"/>
  <c r="J51" i="17"/>
  <c r="G52" i="17"/>
  <c r="J52" i="17"/>
  <c r="G53" i="17"/>
  <c r="J53" i="17"/>
  <c r="G55" i="17"/>
  <c r="J55" i="17"/>
  <c r="G56" i="17"/>
  <c r="J56" i="17"/>
  <c r="G57" i="17"/>
  <c r="J57" i="17"/>
  <c r="G58" i="17"/>
  <c r="J58" i="17"/>
  <c r="G59" i="17"/>
  <c r="J59" i="17"/>
  <c r="G60" i="17"/>
  <c r="J60" i="17"/>
  <c r="G61" i="17"/>
  <c r="J61" i="17"/>
  <c r="G63" i="17"/>
  <c r="J63" i="17"/>
  <c r="G65" i="17"/>
  <c r="J65" i="17"/>
  <c r="G66" i="17"/>
  <c r="J66" i="17"/>
  <c r="G67" i="17"/>
  <c r="J67" i="17"/>
  <c r="J44" i="17"/>
  <c r="J46" i="17"/>
  <c r="G46" i="17"/>
  <c r="J54" i="17"/>
  <c r="G54" i="17"/>
  <c r="J62" i="17"/>
  <c r="G62" i="17"/>
  <c r="G64" i="17"/>
  <c r="Q11" i="17"/>
  <c r="H13" i="17"/>
  <c r="H12" i="17"/>
  <c r="Q12" i="17"/>
  <c r="H19" i="17"/>
  <c r="H14" i="17"/>
  <c r="Q13" i="17"/>
  <c r="H15" i="17"/>
  <c r="Q14" i="17"/>
  <c r="H44" i="17"/>
  <c r="Q15" i="17"/>
  <c r="H46" i="17"/>
  <c r="H56" i="17"/>
  <c r="I56" i="17" s="1"/>
  <c r="Q16" i="17"/>
  <c r="H21" i="17"/>
  <c r="I21" i="17" s="1"/>
  <c r="Q17" i="17"/>
  <c r="Q18" i="17"/>
  <c r="H33" i="17"/>
  <c r="Q19" i="17"/>
  <c r="H57" i="17"/>
  <c r="Q20" i="17"/>
  <c r="Q21" i="17"/>
  <c r="Q22" i="17"/>
  <c r="Q23" i="17"/>
  <c r="Q24" i="17"/>
  <c r="Q25" i="17"/>
  <c r="Q26" i="17"/>
  <c r="Q27" i="17"/>
  <c r="Q28" i="17"/>
  <c r="Q29" i="17"/>
  <c r="H43" i="17"/>
  <c r="Q30" i="17"/>
  <c r="Q31" i="17"/>
  <c r="H45"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0" i="17"/>
  <c r="H10" i="17"/>
  <c r="I10" i="17" s="1"/>
  <c r="L10" i="17"/>
  <c r="H11" i="17"/>
  <c r="I11" i="17" s="1"/>
  <c r="H27" i="17"/>
  <c r="H39" i="17"/>
  <c r="H40" i="17"/>
  <c r="I40" i="17" s="1"/>
  <c r="H41" i="17"/>
  <c r="H42" i="17"/>
  <c r="H47" i="17"/>
  <c r="H48" i="17"/>
  <c r="I48" i="17" s="1"/>
  <c r="H49" i="17"/>
  <c r="H50" i="17"/>
  <c r="H51" i="17"/>
  <c r="H52" i="17"/>
  <c r="H53" i="17"/>
  <c r="H54" i="17"/>
  <c r="H55"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J14" i="17"/>
  <c r="J64"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AI11" i="17"/>
  <c r="AI10" i="17"/>
  <c r="AI12" i="17"/>
  <c r="AI18" i="17"/>
  <c r="AI13" i="17"/>
  <c r="AI14" i="17"/>
  <c r="AI15" i="17"/>
  <c r="AI16" i="17"/>
  <c r="AI17" i="17"/>
  <c r="AI19" i="17"/>
  <c r="AI20" i="17"/>
  <c r="AI21" i="17"/>
  <c r="AI22" i="17"/>
  <c r="AI23" i="17"/>
  <c r="AI24" i="17"/>
  <c r="AI25" i="17"/>
  <c r="AI26" i="17"/>
  <c r="AI27" i="17"/>
  <c r="AI28" i="17"/>
  <c r="AI29" i="17"/>
  <c r="AI30" i="17"/>
  <c r="AI31" i="17"/>
  <c r="AI32" i="17"/>
  <c r="AI33" i="17"/>
  <c r="AI34" i="17"/>
  <c r="AI35" i="17"/>
  <c r="AI36" i="17"/>
  <c r="AI37" i="17"/>
  <c r="AI38" i="17"/>
  <c r="AI39" i="17"/>
  <c r="AI40" i="17"/>
  <c r="AI41" i="17"/>
  <c r="AI42" i="17"/>
  <c r="AI43" i="17"/>
  <c r="AI44" i="17"/>
  <c r="AI45" i="17"/>
  <c r="AI46" i="17"/>
  <c r="AI47" i="17"/>
  <c r="AI48" i="17"/>
  <c r="AI49" i="17"/>
  <c r="AI50" i="17"/>
  <c r="O100" i="17"/>
  <c r="O10" i="17"/>
  <c r="N40" i="17"/>
  <c r="M40" i="17" s="1"/>
  <c r="O40" i="17"/>
  <c r="L40" i="17"/>
  <c r="N21" i="17"/>
  <c r="M21" i="17" s="1"/>
  <c r="O21" i="17"/>
  <c r="L21" i="17"/>
  <c r="N100" i="17"/>
  <c r="O105" i="17" l="1"/>
  <c r="L109" i="17"/>
  <c r="L24" i="17"/>
  <c r="N24" i="17"/>
  <c r="P24" i="17" s="1"/>
  <c r="B24" i="17" s="1"/>
  <c r="C24" i="17" s="1"/>
  <c r="D24" i="17" s="1"/>
  <c r="I61" i="17"/>
  <c r="L14" i="17"/>
  <c r="N14" i="17"/>
  <c r="M14" i="17" s="1"/>
  <c r="O104" i="17"/>
  <c r="P104" i="17" s="1"/>
  <c r="M104" i="17" s="1"/>
  <c r="I108" i="17"/>
  <c r="O29" i="17"/>
  <c r="P29" i="17" s="1"/>
  <c r="B29" i="17" s="1"/>
  <c r="C29" i="17" s="1"/>
  <c r="D29" i="17" s="1"/>
  <c r="I104" i="17"/>
  <c r="I100" i="17"/>
  <c r="I96" i="17"/>
  <c r="I92" i="17"/>
  <c r="I76" i="17"/>
  <c r="I64" i="17"/>
  <c r="I60" i="17"/>
  <c r="I14" i="17"/>
  <c r="I24" i="17"/>
  <c r="I29" i="17"/>
  <c r="I39" i="17"/>
  <c r="I102" i="17"/>
  <c r="I74" i="17"/>
  <c r="I86" i="17"/>
  <c r="I82" i="17"/>
  <c r="I70" i="17"/>
  <c r="I62" i="17"/>
  <c r="I106" i="17"/>
  <c r="I78" i="17"/>
  <c r="I66" i="17"/>
  <c r="O109" i="17"/>
  <c r="P109" i="17" s="1"/>
  <c r="B109" i="17" s="1"/>
  <c r="C109" i="17" s="1"/>
  <c r="D109" i="17" s="1"/>
  <c r="L89" i="17"/>
  <c r="N105" i="17"/>
  <c r="O11" i="17"/>
  <c r="N101" i="17"/>
  <c r="P101" i="17" s="1"/>
  <c r="B101" i="17" s="1"/>
  <c r="C101" i="17" s="1"/>
  <c r="D101" i="17" s="1"/>
  <c r="O89" i="17"/>
  <c r="P89" i="17" s="1"/>
  <c r="M89" i="17" s="1"/>
  <c r="I109" i="17"/>
  <c r="I101" i="17"/>
  <c r="I97" i="17"/>
  <c r="I93" i="17"/>
  <c r="I89" i="17"/>
  <c r="I85" i="17"/>
  <c r="I81" i="17"/>
  <c r="I77" i="17"/>
  <c r="L101" i="17"/>
  <c r="L29" i="17"/>
  <c r="I67" i="17"/>
  <c r="N60" i="17"/>
  <c r="O108" i="17"/>
  <c r="N108" i="17"/>
  <c r="L104" i="17"/>
  <c r="L97" i="17"/>
  <c r="L93" i="17"/>
  <c r="L85" i="17"/>
  <c r="L77" i="17"/>
  <c r="L65" i="17"/>
  <c r="L61" i="17"/>
  <c r="L52" i="17"/>
  <c r="I103" i="17"/>
  <c r="I37" i="17"/>
  <c r="N97" i="17"/>
  <c r="N95" i="17"/>
  <c r="N107" i="17"/>
  <c r="P107" i="17" s="1"/>
  <c r="M107" i="17" s="1"/>
  <c r="O99" i="17"/>
  <c r="O91" i="17"/>
  <c r="N93" i="17"/>
  <c r="L96" i="17"/>
  <c r="O92" i="17"/>
  <c r="L84" i="17"/>
  <c r="L95" i="17"/>
  <c r="N103" i="17"/>
  <c r="O97" i="17"/>
  <c r="O96" i="17"/>
  <c r="N91" i="17"/>
  <c r="L92" i="17"/>
  <c r="I95" i="17"/>
  <c r="N96" i="17"/>
  <c r="I43" i="17"/>
  <c r="O63" i="17"/>
  <c r="I35" i="17"/>
  <c r="L98" i="17"/>
  <c r="O94" i="17"/>
  <c r="L86" i="17"/>
  <c r="L82" i="17"/>
  <c r="L78" i="17"/>
  <c r="L75" i="17"/>
  <c r="L74" i="17"/>
  <c r="L67" i="17"/>
  <c r="L63" i="17"/>
  <c r="L62" i="17"/>
  <c r="L59" i="17"/>
  <c r="L55" i="17"/>
  <c r="L54" i="17"/>
  <c r="L30" i="17"/>
  <c r="N92" i="17"/>
  <c r="L99" i="17"/>
  <c r="O93" i="17"/>
  <c r="I71" i="17"/>
  <c r="L91" i="17"/>
  <c r="O81" i="17"/>
  <c r="O95" i="17"/>
  <c r="N99" i="17"/>
  <c r="O103" i="17"/>
  <c r="L107" i="17"/>
  <c r="I99" i="17"/>
  <c r="I107" i="17"/>
  <c r="I91" i="17"/>
  <c r="I83" i="17"/>
  <c r="I79" i="17"/>
  <c r="I75" i="17"/>
  <c r="I63" i="17"/>
  <c r="I59" i="17"/>
  <c r="O72" i="17"/>
  <c r="L87" i="17"/>
  <c r="L83" i="17"/>
  <c r="L71" i="17"/>
  <c r="O80" i="17"/>
  <c r="N74" i="17"/>
  <c r="L79" i="17"/>
  <c r="O86" i="17"/>
  <c r="N85" i="17"/>
  <c r="N82" i="17"/>
  <c r="N87" i="17"/>
  <c r="O71" i="17"/>
  <c r="N88" i="17"/>
  <c r="O76" i="17"/>
  <c r="O83" i="17"/>
  <c r="N79" i="17"/>
  <c r="O75" i="17"/>
  <c r="N81" i="17"/>
  <c r="O69" i="17"/>
  <c r="N61" i="17"/>
  <c r="O59" i="17"/>
  <c r="O55" i="17"/>
  <c r="N66" i="17"/>
  <c r="N16" i="17"/>
  <c r="N20" i="17"/>
  <c r="N77" i="17"/>
  <c r="O27" i="17"/>
  <c r="O106" i="17"/>
  <c r="P106" i="17" s="1"/>
  <c r="M106" i="17" s="1"/>
  <c r="N63" i="17"/>
  <c r="O102" i="17"/>
  <c r="P102" i="17" s="1"/>
  <c r="O66" i="17"/>
  <c r="N86" i="17"/>
  <c r="O78" i="17"/>
  <c r="O74" i="17"/>
  <c r="N70" i="17"/>
  <c r="L106" i="17"/>
  <c r="L66" i="17"/>
  <c r="I42" i="17"/>
  <c r="O62" i="17"/>
  <c r="N67" i="17"/>
  <c r="N39" i="17"/>
  <c r="O88" i="17"/>
  <c r="O84" i="17"/>
  <c r="N64" i="17"/>
  <c r="L48" i="17"/>
  <c r="O82" i="17"/>
  <c r="L102" i="17"/>
  <c r="L81" i="17"/>
  <c r="N76" i="17"/>
  <c r="N68" i="17"/>
  <c r="N62" i="17"/>
  <c r="N84" i="17"/>
  <c r="O67" i="17"/>
  <c r="O85" i="17"/>
  <c r="O77" i="17"/>
  <c r="N73" i="17"/>
  <c r="N80" i="17"/>
  <c r="O68" i="17"/>
  <c r="L88" i="17"/>
  <c r="O61" i="17"/>
  <c r="N78" i="17"/>
  <c r="N72" i="17"/>
  <c r="L80" i="17"/>
  <c r="L76" i="17"/>
  <c r="I88" i="17"/>
  <c r="I84" i="17"/>
  <c r="I80" i="17"/>
  <c r="O87" i="17"/>
  <c r="N83" i="17"/>
  <c r="O79" i="17"/>
  <c r="N75" i="17"/>
  <c r="N71" i="17"/>
  <c r="N57" i="17"/>
  <c r="N53" i="17"/>
  <c r="O16" i="17"/>
  <c r="L68" i="17"/>
  <c r="L64" i="17"/>
  <c r="O64" i="17"/>
  <c r="I30" i="17"/>
  <c r="L72" i="17"/>
  <c r="L44" i="17"/>
  <c r="L33" i="17"/>
  <c r="L57" i="17"/>
  <c r="N59" i="17"/>
  <c r="N55" i="17"/>
  <c r="I55" i="17"/>
  <c r="I51" i="17"/>
  <c r="I47" i="17"/>
  <c r="O60" i="17"/>
  <c r="N56" i="17"/>
  <c r="N52" i="17"/>
  <c r="N33" i="17"/>
  <c r="N50" i="17"/>
  <c r="N46" i="17"/>
  <c r="O51" i="17"/>
  <c r="N44" i="17"/>
  <c r="N49" i="17"/>
  <c r="P21" i="17"/>
  <c r="B21" i="17" s="1"/>
  <c r="C21" i="17" s="1"/>
  <c r="D21" i="17" s="1"/>
  <c r="I87" i="17"/>
  <c r="I72" i="17"/>
  <c r="I68" i="17"/>
  <c r="O43" i="17"/>
  <c r="O38" i="17"/>
  <c r="N37" i="17"/>
  <c r="L34" i="17"/>
  <c r="O32" i="17"/>
  <c r="O25" i="17"/>
  <c r="N12" i="17"/>
  <c r="L37" i="17"/>
  <c r="L11" i="17"/>
  <c r="P10" i="17"/>
  <c r="M10" i="17" s="1"/>
  <c r="O19" i="17"/>
  <c r="O13" i="17"/>
  <c r="L19" i="17"/>
  <c r="N25" i="17"/>
  <c r="N19" i="17"/>
  <c r="N38" i="17"/>
  <c r="O34" i="17"/>
  <c r="N11" i="17"/>
  <c r="I34" i="17"/>
  <c r="I38" i="17"/>
  <c r="P100" i="17"/>
  <c r="B100" i="17" s="1"/>
  <c r="C100" i="17" s="1"/>
  <c r="D100" i="17" s="1"/>
  <c r="I94" i="17"/>
  <c r="L47" i="17"/>
  <c r="P40" i="17"/>
  <c r="B40" i="17" s="1"/>
  <c r="C40" i="17" s="1"/>
  <c r="D40" i="17" s="1"/>
  <c r="N47" i="17"/>
  <c r="O33" i="17"/>
  <c r="I105" i="17"/>
  <c r="O22" i="17"/>
  <c r="N51" i="17"/>
  <c r="O53" i="17"/>
  <c r="I50" i="17"/>
  <c r="I45" i="17"/>
  <c r="I26" i="17"/>
  <c r="N13" i="17"/>
  <c r="L53" i="17"/>
  <c r="L51" i="17"/>
  <c r="O49" i="17"/>
  <c r="O50" i="17"/>
  <c r="L49" i="17"/>
  <c r="I53" i="17"/>
  <c r="I49" i="17"/>
  <c r="I41" i="17"/>
  <c r="I15" i="17"/>
  <c r="I19" i="17"/>
  <c r="L22" i="17"/>
  <c r="L13" i="17"/>
  <c r="L60" i="17"/>
  <c r="O52" i="17"/>
  <c r="L50" i="17"/>
  <c r="I52" i="17"/>
  <c r="I33" i="17"/>
  <c r="I20" i="17"/>
  <c r="O37" i="17"/>
  <c r="L35" i="17"/>
  <c r="I58" i="17"/>
  <c r="L38" i="17"/>
  <c r="N35" i="17"/>
  <c r="O58" i="17"/>
  <c r="L25" i="17"/>
  <c r="O35" i="17"/>
  <c r="O47" i="17"/>
  <c r="I44" i="17"/>
  <c r="L45" i="17"/>
  <c r="O41" i="17"/>
  <c r="N45" i="17"/>
  <c r="N27" i="17"/>
  <c r="N22" i="17"/>
  <c r="O20" i="17"/>
  <c r="O44" i="17"/>
  <c r="N34" i="17"/>
  <c r="N48" i="17"/>
  <c r="I46" i="17"/>
  <c r="I13" i="17"/>
  <c r="I25" i="17"/>
  <c r="L26" i="17"/>
  <c r="N23" i="17"/>
  <c r="L16" i="17"/>
  <c r="N26" i="17"/>
  <c r="I23" i="17"/>
  <c r="L23" i="17"/>
  <c r="N58" i="17"/>
  <c r="O48" i="17"/>
  <c r="O56" i="17"/>
  <c r="O23" i="17"/>
  <c r="L56" i="17"/>
  <c r="I18" i="17"/>
  <c r="L20" i="17"/>
  <c r="O26" i="17"/>
  <c r="I16" i="17"/>
  <c r="L58" i="17"/>
  <c r="N31" i="17"/>
  <c r="L31" i="17"/>
  <c r="I31" i="17"/>
  <c r="O31" i="17"/>
  <c r="O30" i="17"/>
  <c r="N30" i="17"/>
  <c r="L28" i="17"/>
  <c r="N28" i="17"/>
  <c r="O28" i="17"/>
  <c r="L18" i="17"/>
  <c r="N18" i="17"/>
  <c r="O18" i="17"/>
  <c r="O17" i="17"/>
  <c r="N17" i="17"/>
  <c r="L17" i="17"/>
  <c r="I17" i="17"/>
  <c r="L15" i="17"/>
  <c r="N15" i="17"/>
  <c r="O12" i="17"/>
  <c r="I12" i="17"/>
  <c r="L12" i="17"/>
  <c r="I73" i="17"/>
  <c r="O73" i="17"/>
  <c r="I90" i="17"/>
  <c r="L39" i="17"/>
  <c r="O39" i="17"/>
  <c r="O45" i="17"/>
  <c r="I28" i="17"/>
  <c r="N98" i="17"/>
  <c r="I98" i="17"/>
  <c r="O98" i="17"/>
  <c r="N94" i="17"/>
  <c r="L94" i="17"/>
  <c r="N90" i="17"/>
  <c r="O90" i="17"/>
  <c r="N69" i="17"/>
  <c r="I69" i="17"/>
  <c r="L69" i="17"/>
  <c r="O65" i="17"/>
  <c r="N65" i="17"/>
  <c r="I65" i="17"/>
  <c r="N54" i="17"/>
  <c r="I54" i="17"/>
  <c r="O54" i="17"/>
  <c r="O46" i="17"/>
  <c r="L46" i="17"/>
  <c r="N43" i="17"/>
  <c r="L43" i="17"/>
  <c r="L42" i="17"/>
  <c r="O42" i="17"/>
  <c r="N42" i="17"/>
  <c r="I36" i="17"/>
  <c r="L36" i="17"/>
  <c r="O36" i="17"/>
  <c r="P36" i="17" s="1"/>
  <c r="N32" i="17"/>
  <c r="L32" i="17"/>
  <c r="N41" i="17"/>
  <c r="L41" i="17"/>
  <c r="L73" i="17"/>
  <c r="L90" i="17"/>
  <c r="I57" i="17"/>
  <c r="O57" i="17"/>
  <c r="I27" i="17"/>
  <c r="L27" i="17"/>
  <c r="O70" i="17"/>
  <c r="L70" i="17"/>
  <c r="P105" i="17" l="1"/>
  <c r="B105" i="17" s="1"/>
  <c r="C105" i="17" s="1"/>
  <c r="D105" i="17" s="1"/>
  <c r="M24" i="17"/>
  <c r="P103" i="17"/>
  <c r="M103" i="17" s="1"/>
  <c r="P25" i="17"/>
  <c r="M25" i="17" s="1"/>
  <c r="P14" i="17"/>
  <c r="B14" i="17" s="1"/>
  <c r="C14" i="17" s="1"/>
  <c r="D14" i="17" s="1"/>
  <c r="P78" i="17"/>
  <c r="B78" i="17" s="1"/>
  <c r="P96" i="17"/>
  <c r="M96" i="17" s="1"/>
  <c r="P60" i="17"/>
  <c r="M60" i="17" s="1"/>
  <c r="P108" i="17"/>
  <c r="M108" i="17" s="1"/>
  <c r="P11" i="17"/>
  <c r="B11" i="17" s="1"/>
  <c r="P19" i="17"/>
  <c r="B19" i="17" s="1"/>
  <c r="P97" i="17"/>
  <c r="M97" i="17" s="1"/>
  <c r="P59" i="17"/>
  <c r="M59" i="17" s="1"/>
  <c r="P95" i="17"/>
  <c r="M95" i="17" s="1"/>
  <c r="P55" i="17"/>
  <c r="M55" i="17" s="1"/>
  <c r="P76" i="17"/>
  <c r="M76" i="17" s="1"/>
  <c r="P16" i="17"/>
  <c r="M16" i="17" s="1"/>
  <c r="P81" i="17"/>
  <c r="M81" i="17" s="1"/>
  <c r="P92" i="17"/>
  <c r="B92" i="17" s="1"/>
  <c r="P99" i="17"/>
  <c r="B99" i="17" s="1"/>
  <c r="P91" i="17"/>
  <c r="M91" i="17" s="1"/>
  <c r="P93" i="17"/>
  <c r="B93" i="17" s="1"/>
  <c r="P63" i="17"/>
  <c r="M63" i="17" s="1"/>
  <c r="P71" i="17"/>
  <c r="B71" i="17" s="1"/>
  <c r="P61" i="17"/>
  <c r="B61" i="17" s="1"/>
  <c r="P86" i="17"/>
  <c r="M86" i="17" s="1"/>
  <c r="B104" i="17"/>
  <c r="C104" i="17" s="1"/>
  <c r="D104" i="17" s="1"/>
  <c r="P72" i="17"/>
  <c r="B72" i="17" s="1"/>
  <c r="P27" i="17"/>
  <c r="M27" i="17" s="1"/>
  <c r="P53" i="17"/>
  <c r="B53" i="17" s="1"/>
  <c r="P74" i="17"/>
  <c r="B74" i="17" s="1"/>
  <c r="P79" i="17"/>
  <c r="M79" i="17" s="1"/>
  <c r="P38" i="17"/>
  <c r="M38" i="17" s="1"/>
  <c r="P37" i="17"/>
  <c r="M37" i="17" s="1"/>
  <c r="P67" i="17"/>
  <c r="B67" i="17" s="1"/>
  <c r="P33" i="17"/>
  <c r="M33" i="17" s="1"/>
  <c r="P75" i="17"/>
  <c r="B75" i="17" s="1"/>
  <c r="P84" i="17"/>
  <c r="B84" i="17" s="1"/>
  <c r="P64" i="17"/>
  <c r="M64" i="17" s="1"/>
  <c r="P85" i="17"/>
  <c r="B85" i="17" s="1"/>
  <c r="P88" i="17"/>
  <c r="M88" i="17" s="1"/>
  <c r="P66" i="17"/>
  <c r="B66" i="17" s="1"/>
  <c r="P83" i="17"/>
  <c r="B83" i="17" s="1"/>
  <c r="P82" i="17"/>
  <c r="B82" i="17" s="1"/>
  <c r="M101" i="17"/>
  <c r="B106" i="17"/>
  <c r="C106" i="17" s="1"/>
  <c r="D106" i="17" s="1"/>
  <c r="B10" i="17"/>
  <c r="C10" i="17" s="1"/>
  <c r="B103" i="17"/>
  <c r="C103" i="17" s="1"/>
  <c r="D103" i="17" s="1"/>
  <c r="P87" i="17"/>
  <c r="M87" i="17" s="1"/>
  <c r="P39" i="17"/>
  <c r="B39" i="17" s="1"/>
  <c r="P77" i="17"/>
  <c r="M77" i="17" s="1"/>
  <c r="B102" i="17"/>
  <c r="C102" i="17" s="1"/>
  <c r="D102" i="17" s="1"/>
  <c r="M102" i="17"/>
  <c r="P58" i="17"/>
  <c r="B58" i="17" s="1"/>
  <c r="P80" i="17"/>
  <c r="B80" i="17" s="1"/>
  <c r="P52" i="17"/>
  <c r="B52" i="17" s="1"/>
  <c r="B107" i="17"/>
  <c r="C107" i="17" s="1"/>
  <c r="D107" i="17" s="1"/>
  <c r="M100" i="17"/>
  <c r="P68" i="17"/>
  <c r="P62" i="17"/>
  <c r="M62" i="17" s="1"/>
  <c r="P35" i="17"/>
  <c r="M35" i="17" s="1"/>
  <c r="P22" i="17"/>
  <c r="B22" i="17" s="1"/>
  <c r="P56" i="17"/>
  <c r="M56" i="17" s="1"/>
  <c r="P50" i="17"/>
  <c r="M50" i="17" s="1"/>
  <c r="P49" i="17"/>
  <c r="B49" i="17" s="1"/>
  <c r="P51" i="17"/>
  <c r="B51" i="17" s="1"/>
  <c r="P44" i="17"/>
  <c r="M44" i="17" s="1"/>
  <c r="P47" i="17"/>
  <c r="B47" i="17" s="1"/>
  <c r="P13" i="17"/>
  <c r="B13" i="17" s="1"/>
  <c r="B89" i="17"/>
  <c r="C89" i="17" s="1"/>
  <c r="D89" i="17" s="1"/>
  <c r="M109" i="17"/>
  <c r="M78" i="17"/>
  <c r="M105" i="17"/>
  <c r="P70" i="17"/>
  <c r="B70" i="17" s="1"/>
  <c r="P23" i="17"/>
  <c r="M23" i="17" s="1"/>
  <c r="P20" i="17"/>
  <c r="B20" i="17" s="1"/>
  <c r="P34" i="17"/>
  <c r="B34" i="17" s="1"/>
  <c r="P26" i="17"/>
  <c r="P48" i="17"/>
  <c r="M48" i="17" s="1"/>
  <c r="P32" i="17"/>
  <c r="M32" i="17" s="1"/>
  <c r="P46" i="17"/>
  <c r="B46" i="17" s="1"/>
  <c r="P94" i="17"/>
  <c r="B94" i="17" s="1"/>
  <c r="P45" i="17"/>
  <c r="M45" i="17" s="1"/>
  <c r="P28" i="17"/>
  <c r="B28" i="17" s="1"/>
  <c r="B36" i="17"/>
  <c r="C36" i="17" s="1"/>
  <c r="D36" i="17" s="1"/>
  <c r="P43" i="17"/>
  <c r="B43" i="17" s="1"/>
  <c r="P90" i="17"/>
  <c r="M90" i="17" s="1"/>
  <c r="P12" i="17"/>
  <c r="M12" i="17" s="1"/>
  <c r="P18" i="17"/>
  <c r="B18" i="17" s="1"/>
  <c r="P42" i="17"/>
  <c r="M42" i="17" s="1"/>
  <c r="P57" i="17"/>
  <c r="M57" i="17" s="1"/>
  <c r="P54" i="17"/>
  <c r="M54" i="17" s="1"/>
  <c r="P65" i="17"/>
  <c r="B65" i="17" s="1"/>
  <c r="P69" i="17"/>
  <c r="M69" i="17" s="1"/>
  <c r="P98" i="17"/>
  <c r="B98" i="17" s="1"/>
  <c r="P15" i="17"/>
  <c r="B15" i="17" s="1"/>
  <c r="P17" i="17"/>
  <c r="B17" i="17" s="1"/>
  <c r="P30" i="17"/>
  <c r="B30" i="17" s="1"/>
  <c r="P41" i="17"/>
  <c r="B41" i="17" s="1"/>
  <c r="P73" i="17"/>
  <c r="B73" i="17" s="1"/>
  <c r="P31" i="17"/>
  <c r="B31" i="17" s="1"/>
  <c r="B60" i="17" l="1"/>
  <c r="B25" i="17"/>
  <c r="B96" i="17"/>
  <c r="B108" i="17"/>
  <c r="C108" i="17" s="1"/>
  <c r="D108" i="17" s="1"/>
  <c r="B97" i="17"/>
  <c r="B76" i="17"/>
  <c r="M11" i="17"/>
  <c r="B95" i="17"/>
  <c r="B91" i="17"/>
  <c r="B59" i="17"/>
  <c r="B16" i="17"/>
  <c r="M19" i="17"/>
  <c r="M92" i="17"/>
  <c r="B55" i="17"/>
  <c r="B81" i="17"/>
  <c r="B27" i="17"/>
  <c r="M93" i="17"/>
  <c r="M99" i="17"/>
  <c r="M82" i="17"/>
  <c r="M61" i="17"/>
  <c r="B63" i="17"/>
  <c r="M71" i="17"/>
  <c r="M72" i="17"/>
  <c r="B86" i="17"/>
  <c r="M53" i="17"/>
  <c r="B33" i="17"/>
  <c r="M83" i="17"/>
  <c r="B79" i="17"/>
  <c r="M74" i="17"/>
  <c r="B88" i="17"/>
  <c r="B38" i="17"/>
  <c r="M85" i="17"/>
  <c r="B37" i="17"/>
  <c r="B87" i="17"/>
  <c r="M66" i="17"/>
  <c r="M84" i="17"/>
  <c r="M67" i="17"/>
  <c r="M75" i="17"/>
  <c r="M58" i="17"/>
  <c r="B64" i="17"/>
  <c r="M22" i="17"/>
  <c r="M39" i="17"/>
  <c r="B77" i="17"/>
  <c r="B56" i="17"/>
  <c r="B35" i="17"/>
  <c r="M80" i="17"/>
  <c r="M52" i="17"/>
  <c r="B50" i="17"/>
  <c r="M98" i="17"/>
  <c r="B62" i="17"/>
  <c r="B68" i="17"/>
  <c r="M68" i="17"/>
  <c r="M49" i="17"/>
  <c r="M47" i="17"/>
  <c r="M13" i="17"/>
  <c r="M70" i="17"/>
  <c r="B44" i="17"/>
  <c r="M51" i="17"/>
  <c r="B69" i="17"/>
  <c r="M41" i="17"/>
  <c r="B48" i="17"/>
  <c r="B90" i="17"/>
  <c r="M20" i="17"/>
  <c r="M94" i="17"/>
  <c r="M18" i="17"/>
  <c r="B23" i="17"/>
  <c r="M28" i="17"/>
  <c r="B54" i="17"/>
  <c r="M43" i="17"/>
  <c r="M34" i="17"/>
  <c r="M46" i="17"/>
  <c r="M26" i="17"/>
  <c r="B26" i="17"/>
  <c r="M30" i="17"/>
  <c r="B57" i="17"/>
  <c r="B45" i="17"/>
  <c r="M31" i="17"/>
  <c r="M17" i="17"/>
  <c r="B42" i="17"/>
  <c r="B32" i="17"/>
  <c r="K63" i="41"/>
  <c r="M63" i="41"/>
  <c r="D10" i="17"/>
  <c r="M15" i="17"/>
  <c r="M65" i="17"/>
  <c r="B12" i="17"/>
  <c r="C94" i="17" s="1"/>
  <c r="D94" i="17" s="1"/>
  <c r="M73" i="17"/>
  <c r="N63" i="41"/>
  <c r="M64" i="41" l="1"/>
  <c r="K64" i="41"/>
  <c r="N64" i="41"/>
  <c r="M121" i="41"/>
  <c r="M120" i="41"/>
  <c r="M119" i="41"/>
  <c r="M114" i="41"/>
  <c r="M118" i="41"/>
  <c r="M117" i="41"/>
  <c r="M116" i="41"/>
  <c r="M115" i="41"/>
  <c r="M113" i="41"/>
  <c r="M112" i="41"/>
  <c r="M110" i="41"/>
  <c r="M106" i="41"/>
  <c r="M102" i="41"/>
  <c r="M98" i="41"/>
  <c r="M94" i="41"/>
  <c r="M111" i="41"/>
  <c r="M108" i="41"/>
  <c r="M105" i="41"/>
  <c r="M101" i="41"/>
  <c r="M100" i="41"/>
  <c r="M99" i="41"/>
  <c r="M89" i="41"/>
  <c r="M85" i="41"/>
  <c r="M79" i="41"/>
  <c r="M75" i="41"/>
  <c r="M71" i="41"/>
  <c r="M67" i="41"/>
  <c r="M109" i="41"/>
  <c r="M103" i="41"/>
  <c r="M96" i="41"/>
  <c r="M93" i="41"/>
  <c r="M81" i="41"/>
  <c r="M80" i="41"/>
  <c r="M66" i="41"/>
  <c r="M65" i="41"/>
  <c r="M104" i="41"/>
  <c r="M97" i="41"/>
  <c r="M91" i="41"/>
  <c r="M88" i="41"/>
  <c r="M72" i="41"/>
  <c r="M69" i="41"/>
  <c r="M107" i="41"/>
  <c r="M76" i="41"/>
  <c r="M73" i="41"/>
  <c r="M70" i="41"/>
  <c r="M92" i="41"/>
  <c r="M86" i="41"/>
  <c r="M77" i="41"/>
  <c r="M62" i="41"/>
  <c r="M57" i="41"/>
  <c r="M52" i="41"/>
  <c r="M44" i="41"/>
  <c r="M34" i="41"/>
  <c r="M25" i="41"/>
  <c r="M95" i="41"/>
  <c r="M87" i="41"/>
  <c r="M78" i="41"/>
  <c r="M61" i="41"/>
  <c r="M56" i="41"/>
  <c r="M51" i="41"/>
  <c r="M41" i="41"/>
  <c r="M36" i="41"/>
  <c r="M33" i="41"/>
  <c r="M55" i="41"/>
  <c r="M38" i="41"/>
  <c r="M27" i="41"/>
  <c r="M19" i="41"/>
  <c r="M50" i="41"/>
  <c r="M22" i="41"/>
  <c r="M37" i="41"/>
  <c r="M21" i="41"/>
  <c r="M68" i="41"/>
  <c r="M59" i="41"/>
  <c r="M49" i="41"/>
  <c r="M23" i="41"/>
  <c r="M17" i="41"/>
  <c r="M74" i="41"/>
  <c r="M60" i="41"/>
  <c r="M35" i="41"/>
  <c r="M90" i="41"/>
  <c r="M54" i="41"/>
  <c r="M20" i="41"/>
  <c r="N120" i="41"/>
  <c r="N119" i="41"/>
  <c r="N118" i="41"/>
  <c r="N117" i="41"/>
  <c r="N109" i="41"/>
  <c r="N105" i="41"/>
  <c r="N115" i="41"/>
  <c r="N121" i="41"/>
  <c r="N112" i="41"/>
  <c r="N101" i="41"/>
  <c r="N97" i="41"/>
  <c r="N93" i="41"/>
  <c r="N113" i="41"/>
  <c r="N104" i="41"/>
  <c r="N103" i="41"/>
  <c r="N102" i="41"/>
  <c r="N88" i="41"/>
  <c r="N78" i="41"/>
  <c r="N74" i="41"/>
  <c r="N70" i="41"/>
  <c r="N66" i="41"/>
  <c r="N100" i="41"/>
  <c r="N87" i="41"/>
  <c r="N86" i="41"/>
  <c r="N85" i="41"/>
  <c r="N69" i="41"/>
  <c r="N68" i="41"/>
  <c r="N67" i="41"/>
  <c r="N108" i="41"/>
  <c r="N107" i="41"/>
  <c r="N98" i="41"/>
  <c r="N79" i="41"/>
  <c r="N76" i="41"/>
  <c r="N73" i="41"/>
  <c r="N110" i="41"/>
  <c r="N99" i="41"/>
  <c r="N92" i="41"/>
  <c r="N89" i="41"/>
  <c r="N80" i="41"/>
  <c r="N77" i="41"/>
  <c r="N111" i="41"/>
  <c r="N95" i="41"/>
  <c r="N71" i="41"/>
  <c r="N61" i="41"/>
  <c r="N56" i="41"/>
  <c r="N51" i="41"/>
  <c r="N41" i="41"/>
  <c r="N36" i="41"/>
  <c r="N33" i="41"/>
  <c r="N106" i="41"/>
  <c r="N72" i="41"/>
  <c r="N60" i="41"/>
  <c r="N55" i="41"/>
  <c r="N50" i="41"/>
  <c r="N38" i="41"/>
  <c r="N35" i="41"/>
  <c r="N27" i="41"/>
  <c r="N59" i="41"/>
  <c r="N49" i="41"/>
  <c r="N23" i="41"/>
  <c r="N17" i="41"/>
  <c r="N90" i="41"/>
  <c r="N81" i="41"/>
  <c r="N54" i="41"/>
  <c r="N37" i="41"/>
  <c r="N20" i="41"/>
  <c r="N96" i="41"/>
  <c r="N116" i="41"/>
  <c r="N94" i="41"/>
  <c r="N91" i="41"/>
  <c r="N75" i="41"/>
  <c r="N65" i="41"/>
  <c r="N62" i="41"/>
  <c r="N52" i="41"/>
  <c r="N25" i="41"/>
  <c r="N22" i="41"/>
  <c r="N114" i="41"/>
  <c r="N21" i="41"/>
  <c r="N57" i="41"/>
  <c r="N44" i="41"/>
  <c r="N34" i="41"/>
  <c r="N19" i="41"/>
  <c r="K119" i="41"/>
  <c r="K118" i="41"/>
  <c r="K121" i="41"/>
  <c r="K116" i="41"/>
  <c r="K115" i="41"/>
  <c r="K114" i="41"/>
  <c r="K108" i="41"/>
  <c r="K120" i="41"/>
  <c r="K117" i="41"/>
  <c r="K113" i="41"/>
  <c r="K111" i="41"/>
  <c r="K110" i="41"/>
  <c r="K109" i="41"/>
  <c r="K104" i="41"/>
  <c r="K100" i="41"/>
  <c r="K96" i="41"/>
  <c r="K92" i="41"/>
  <c r="K107" i="41"/>
  <c r="K95" i="41"/>
  <c r="K94" i="41"/>
  <c r="K93" i="41"/>
  <c r="K91" i="41"/>
  <c r="K87" i="41"/>
  <c r="K81" i="41"/>
  <c r="K77" i="41"/>
  <c r="K73" i="41"/>
  <c r="K69" i="41"/>
  <c r="K102" i="41"/>
  <c r="K99" i="41"/>
  <c r="K76" i="41"/>
  <c r="K75" i="41"/>
  <c r="K74" i="41"/>
  <c r="K106" i="41"/>
  <c r="K103" i="41"/>
  <c r="K112" i="41"/>
  <c r="K97" i="41"/>
  <c r="K90" i="41"/>
  <c r="K78" i="41"/>
  <c r="K71" i="41"/>
  <c r="K68" i="41"/>
  <c r="K98" i="41"/>
  <c r="K79" i="41"/>
  <c r="K72" i="41"/>
  <c r="K105" i="41"/>
  <c r="K85" i="41"/>
  <c r="K60" i="41"/>
  <c r="K55" i="41"/>
  <c r="K50" i="41"/>
  <c r="K38" i="41"/>
  <c r="K35" i="41"/>
  <c r="K27" i="41"/>
  <c r="K86" i="41"/>
  <c r="K70" i="41"/>
  <c r="K65" i="41"/>
  <c r="K59" i="41"/>
  <c r="K54" i="41"/>
  <c r="K49" i="41"/>
  <c r="K37" i="41"/>
  <c r="K80" i="41"/>
  <c r="K66" i="41"/>
  <c r="K57" i="41"/>
  <c r="K44" i="41"/>
  <c r="K34" i="41"/>
  <c r="K22" i="41"/>
  <c r="K62" i="41"/>
  <c r="K52" i="41"/>
  <c r="K19" i="41"/>
  <c r="K56" i="41"/>
  <c r="K33" i="41"/>
  <c r="K23" i="41"/>
  <c r="K89" i="41"/>
  <c r="K61" i="41"/>
  <c r="K51" i="41"/>
  <c r="K36" i="41"/>
  <c r="K21" i="41"/>
  <c r="K20" i="41"/>
  <c r="K88" i="41"/>
  <c r="K25" i="41"/>
  <c r="K101" i="41"/>
  <c r="K67" i="41"/>
  <c r="K41" i="41"/>
  <c r="K17" i="41"/>
  <c r="C16" i="17"/>
  <c r="D16" i="17" s="1"/>
  <c r="C96" i="17"/>
  <c r="D96" i="17" s="1"/>
  <c r="C98" i="17"/>
  <c r="D98" i="17" s="1"/>
  <c r="C95" i="17"/>
  <c r="D95" i="17" s="1"/>
  <c r="C97" i="17"/>
  <c r="D97" i="17" s="1"/>
  <c r="C74" i="17"/>
  <c r="D74" i="17" s="1"/>
  <c r="C92" i="17"/>
  <c r="D92" i="17" s="1"/>
  <c r="C99" i="17"/>
  <c r="D99" i="17" s="1"/>
  <c r="C93" i="17"/>
  <c r="D93" i="17" s="1"/>
  <c r="C91" i="17"/>
  <c r="D91" i="17" s="1"/>
  <c r="C32" i="17"/>
  <c r="D32" i="17" s="1"/>
  <c r="C76" i="17"/>
  <c r="D76" i="17" s="1"/>
  <c r="C70" i="17"/>
  <c r="D70" i="17" s="1"/>
  <c r="C20" i="17"/>
  <c r="D20" i="17" s="1"/>
  <c r="C28" i="17"/>
  <c r="D28" i="17" s="1"/>
  <c r="C18" i="17"/>
  <c r="D18" i="17" s="1"/>
  <c r="C65" i="17"/>
  <c r="D65" i="17" s="1"/>
  <c r="C58" i="17"/>
  <c r="D58" i="17" s="1"/>
  <c r="C80" i="17"/>
  <c r="D80" i="17" s="1"/>
  <c r="C50" i="17"/>
  <c r="D50" i="17" s="1"/>
  <c r="C56" i="17"/>
  <c r="D56" i="17" s="1"/>
  <c r="C64" i="17"/>
  <c r="D64" i="17" s="1"/>
  <c r="C67" i="17"/>
  <c r="D67" i="17" s="1"/>
  <c r="C84" i="17"/>
  <c r="D84" i="17" s="1"/>
  <c r="C69" i="17"/>
  <c r="D69" i="17" s="1"/>
  <c r="C68" i="17"/>
  <c r="D68" i="17" s="1"/>
  <c r="C77" i="17"/>
  <c r="D77" i="17" s="1"/>
  <c r="C71" i="17"/>
  <c r="D71" i="17" s="1"/>
  <c r="C85" i="17"/>
  <c r="D85" i="17" s="1"/>
  <c r="C87" i="17"/>
  <c r="D87" i="17" s="1"/>
  <c r="C37" i="17"/>
  <c r="D37" i="17" s="1"/>
  <c r="C82" i="17"/>
  <c r="D82" i="17" s="1"/>
  <c r="C86" i="17"/>
  <c r="D86" i="17" s="1"/>
  <c r="C59" i="17"/>
  <c r="D59" i="17" s="1"/>
  <c r="C75" i="17"/>
  <c r="D75" i="17" s="1"/>
  <c r="C53" i="17"/>
  <c r="D53" i="17" s="1"/>
  <c r="C45" i="17"/>
  <c r="D45" i="17" s="1"/>
  <c r="C54" i="17"/>
  <c r="D54" i="17" s="1"/>
  <c r="C90" i="17"/>
  <c r="D90" i="17" s="1"/>
  <c r="C62" i="17"/>
  <c r="D62" i="17" s="1"/>
  <c r="C61" i="17"/>
  <c r="D61" i="17" s="1"/>
  <c r="C51" i="17"/>
  <c r="D51" i="17" s="1"/>
  <c r="C60" i="17"/>
  <c r="D60" i="17" s="1"/>
  <c r="C88" i="17"/>
  <c r="D88" i="17" s="1"/>
  <c r="C52" i="17"/>
  <c r="D52" i="17" s="1"/>
  <c r="C81" i="17"/>
  <c r="D81" i="17" s="1"/>
  <c r="C30" i="17"/>
  <c r="D30" i="17" s="1"/>
  <c r="C25" i="17"/>
  <c r="D25" i="17" s="1"/>
  <c r="C83" i="17"/>
  <c r="D83" i="17" s="1"/>
  <c r="C39" i="17"/>
  <c r="D39" i="17" s="1"/>
  <c r="C42" i="17"/>
  <c r="D42" i="17" s="1"/>
  <c r="C57" i="17"/>
  <c r="D57" i="17" s="1"/>
  <c r="C48" i="17"/>
  <c r="D48" i="17" s="1"/>
  <c r="C72" i="17"/>
  <c r="D72" i="17" s="1"/>
  <c r="C78" i="17"/>
  <c r="D78" i="17" s="1"/>
  <c r="C79" i="17"/>
  <c r="D79" i="17" s="1"/>
  <c r="C49" i="17"/>
  <c r="D49" i="17" s="1"/>
  <c r="C55" i="17"/>
  <c r="D55" i="17" s="1"/>
  <c r="C63" i="17"/>
  <c r="D63" i="17" s="1"/>
  <c r="C66" i="17"/>
  <c r="D66" i="17" s="1"/>
  <c r="C41" i="17"/>
  <c r="D41" i="17" s="1"/>
  <c r="C73" i="17"/>
  <c r="D73" i="17" s="1"/>
  <c r="C43" i="17"/>
  <c r="D43" i="17" s="1"/>
  <c r="C11" i="17"/>
  <c r="D11" i="17" s="1"/>
  <c r="L63" i="41"/>
  <c r="J63" i="41"/>
  <c r="S63" i="41"/>
  <c r="R63" i="41"/>
  <c r="C12" i="17"/>
  <c r="C38" i="17"/>
  <c r="D38" i="17" s="1"/>
  <c r="C13" i="17"/>
  <c r="D13" i="17" s="1"/>
  <c r="C27" i="17"/>
  <c r="D27" i="17" s="1"/>
  <c r="C34" i="17"/>
  <c r="D34" i="17" s="1"/>
  <c r="C22" i="17"/>
  <c r="D22" i="17" s="1"/>
  <c r="C47" i="17"/>
  <c r="D47" i="17" s="1"/>
  <c r="C19" i="17"/>
  <c r="D19" i="17" s="1"/>
  <c r="C26" i="17"/>
  <c r="D26" i="17" s="1"/>
  <c r="C23" i="17"/>
  <c r="D23" i="17" s="1"/>
  <c r="C33" i="17"/>
  <c r="D33" i="17" s="1"/>
  <c r="C44" i="17"/>
  <c r="D44" i="17" s="1"/>
  <c r="C35" i="17"/>
  <c r="D35" i="17" s="1"/>
  <c r="C15" i="17"/>
  <c r="D15" i="17" s="1"/>
  <c r="Q63" i="41"/>
  <c r="C17" i="17"/>
  <c r="D17" i="17" s="1"/>
  <c r="P63" i="41"/>
  <c r="C46" i="17"/>
  <c r="D46" i="17" s="1"/>
  <c r="C31" i="17"/>
  <c r="D31" i="17" s="1"/>
  <c r="O63" i="41" l="1"/>
  <c r="O21" i="41"/>
  <c r="P64" i="41"/>
  <c r="Q64" i="41"/>
  <c r="R64" i="41"/>
  <c r="O64" i="41"/>
  <c r="S64" i="41"/>
  <c r="J64" i="41"/>
  <c r="L64" i="41"/>
  <c r="R120" i="41"/>
  <c r="R119" i="41"/>
  <c r="R118" i="41"/>
  <c r="R121" i="41"/>
  <c r="R117" i="41"/>
  <c r="R116" i="41"/>
  <c r="R115" i="41"/>
  <c r="R114" i="41"/>
  <c r="R112" i="41"/>
  <c r="R109" i="41"/>
  <c r="R105" i="41"/>
  <c r="R101" i="41"/>
  <c r="R97" i="41"/>
  <c r="R93" i="41"/>
  <c r="R110" i="41"/>
  <c r="R107" i="41"/>
  <c r="R100" i="41"/>
  <c r="R99" i="41"/>
  <c r="R98" i="41"/>
  <c r="R88" i="41"/>
  <c r="R78" i="41"/>
  <c r="R74" i="41"/>
  <c r="R70" i="41"/>
  <c r="R66" i="41"/>
  <c r="R111" i="41"/>
  <c r="R102" i="41"/>
  <c r="R95" i="41"/>
  <c r="R92" i="41"/>
  <c r="R81" i="41"/>
  <c r="R80" i="41"/>
  <c r="R79" i="41"/>
  <c r="R113" i="41"/>
  <c r="R103" i="41"/>
  <c r="R96" i="41"/>
  <c r="R90" i="41"/>
  <c r="R87" i="41"/>
  <c r="R71" i="41"/>
  <c r="R68" i="41"/>
  <c r="R108" i="41"/>
  <c r="R91" i="41"/>
  <c r="R75" i="41"/>
  <c r="R72" i="41"/>
  <c r="R69" i="41"/>
  <c r="R106" i="41"/>
  <c r="R104" i="41"/>
  <c r="R73" i="41"/>
  <c r="R65" i="41"/>
  <c r="R61" i="41"/>
  <c r="R56" i="41"/>
  <c r="R51" i="41"/>
  <c r="R41" i="41"/>
  <c r="R36" i="41"/>
  <c r="R33" i="41"/>
  <c r="R89" i="41"/>
  <c r="R67" i="41"/>
  <c r="R60" i="41"/>
  <c r="R55" i="41"/>
  <c r="R50" i="41"/>
  <c r="R38" i="41"/>
  <c r="R35" i="41"/>
  <c r="R27" i="41"/>
  <c r="R94" i="41"/>
  <c r="R54" i="41"/>
  <c r="R37" i="41"/>
  <c r="R23" i="41"/>
  <c r="R17" i="41"/>
  <c r="R59" i="41"/>
  <c r="R49" i="41"/>
  <c r="R21" i="41"/>
  <c r="R25" i="41"/>
  <c r="R19" i="41"/>
  <c r="R86" i="41"/>
  <c r="R77" i="41"/>
  <c r="R57" i="41"/>
  <c r="R44" i="41"/>
  <c r="R34" i="41"/>
  <c r="R22" i="41"/>
  <c r="R85" i="41"/>
  <c r="R76" i="41"/>
  <c r="R20" i="41"/>
  <c r="R62" i="41"/>
  <c r="R52" i="41"/>
  <c r="O119" i="41"/>
  <c r="O118" i="41"/>
  <c r="O121" i="41"/>
  <c r="O116" i="41"/>
  <c r="O120" i="41"/>
  <c r="O115" i="41"/>
  <c r="O113" i="41"/>
  <c r="O108" i="41"/>
  <c r="O117" i="41"/>
  <c r="O107" i="41"/>
  <c r="O106" i="41"/>
  <c r="O105" i="41"/>
  <c r="O104" i="41"/>
  <c r="O100" i="41"/>
  <c r="O96" i="41"/>
  <c r="O92" i="41"/>
  <c r="O114" i="41"/>
  <c r="O109" i="41"/>
  <c r="O91" i="41"/>
  <c r="O87" i="41"/>
  <c r="O81" i="41"/>
  <c r="O77" i="41"/>
  <c r="O73" i="41"/>
  <c r="O69" i="41"/>
  <c r="O97" i="41"/>
  <c r="O94" i="41"/>
  <c r="O90" i="41"/>
  <c r="O89" i="41"/>
  <c r="O88" i="41"/>
  <c r="O72" i="41"/>
  <c r="O71" i="41"/>
  <c r="O70" i="41"/>
  <c r="O112" i="41"/>
  <c r="O111" i="41"/>
  <c r="O101" i="41"/>
  <c r="O98" i="41"/>
  <c r="O95" i="41"/>
  <c r="O110" i="41"/>
  <c r="O99" i="41"/>
  <c r="O93" i="41"/>
  <c r="O85" i="41"/>
  <c r="O80" i="41"/>
  <c r="O66" i="41"/>
  <c r="O86" i="41"/>
  <c r="O74" i="41"/>
  <c r="O67" i="41"/>
  <c r="O102" i="41"/>
  <c r="O78" i="41"/>
  <c r="O60" i="41"/>
  <c r="O55" i="41"/>
  <c r="O50" i="41"/>
  <c r="O38" i="41"/>
  <c r="O35" i="41"/>
  <c r="O27" i="41"/>
  <c r="O79" i="41"/>
  <c r="O59" i="41"/>
  <c r="O54" i="41"/>
  <c r="O49" i="41"/>
  <c r="O37" i="41"/>
  <c r="O75" i="41"/>
  <c r="O68" i="41"/>
  <c r="O65" i="41"/>
  <c r="O62" i="41"/>
  <c r="O52" i="41"/>
  <c r="O25" i="41"/>
  <c r="O22" i="41"/>
  <c r="O76" i="41"/>
  <c r="O61" i="41"/>
  <c r="O17" i="41"/>
  <c r="O103" i="41"/>
  <c r="O56" i="41"/>
  <c r="O41" i="41"/>
  <c r="O33" i="41"/>
  <c r="O20" i="41"/>
  <c r="O57" i="41"/>
  <c r="O44" i="41"/>
  <c r="O34" i="41"/>
  <c r="O19" i="41"/>
  <c r="O51" i="41"/>
  <c r="O36" i="41"/>
  <c r="O23" i="41"/>
  <c r="L118" i="41"/>
  <c r="L121" i="41"/>
  <c r="L120" i="41"/>
  <c r="L119" i="41"/>
  <c r="L115" i="41"/>
  <c r="L114" i="41"/>
  <c r="L117" i="41"/>
  <c r="L116" i="41"/>
  <c r="L113" i="41"/>
  <c r="L112" i="41"/>
  <c r="L111" i="41"/>
  <c r="L107" i="41"/>
  <c r="L103" i="41"/>
  <c r="L99" i="41"/>
  <c r="L95" i="41"/>
  <c r="L98" i="41"/>
  <c r="L97" i="41"/>
  <c r="L96" i="41"/>
  <c r="L90" i="41"/>
  <c r="L86" i="41"/>
  <c r="L80" i="41"/>
  <c r="L76" i="41"/>
  <c r="L72" i="41"/>
  <c r="L68" i="41"/>
  <c r="L110" i="41"/>
  <c r="L106" i="41"/>
  <c r="L92" i="41"/>
  <c r="L79" i="41"/>
  <c r="L78" i="41"/>
  <c r="L77" i="41"/>
  <c r="L109" i="41"/>
  <c r="L105" i="41"/>
  <c r="L100" i="41"/>
  <c r="L104" i="41"/>
  <c r="L94" i="41"/>
  <c r="L87" i="41"/>
  <c r="L75" i="41"/>
  <c r="L93" i="41"/>
  <c r="L91" i="41"/>
  <c r="L88" i="41"/>
  <c r="L85" i="41"/>
  <c r="L69" i="41"/>
  <c r="L66" i="41"/>
  <c r="L70" i="41"/>
  <c r="L65" i="41"/>
  <c r="L59" i="41"/>
  <c r="L54" i="41"/>
  <c r="L49" i="41"/>
  <c r="L37" i="41"/>
  <c r="L102" i="41"/>
  <c r="L71" i="41"/>
  <c r="L62" i="41"/>
  <c r="L57" i="41"/>
  <c r="L52" i="41"/>
  <c r="L44" i="41"/>
  <c r="L34" i="41"/>
  <c r="L25" i="41"/>
  <c r="L108" i="41"/>
  <c r="L89" i="41"/>
  <c r="L73" i="41"/>
  <c r="L61" i="41"/>
  <c r="L51" i="41"/>
  <c r="L36" i="41"/>
  <c r="L21" i="41"/>
  <c r="L20" i="41"/>
  <c r="L56" i="41"/>
  <c r="L41" i="41"/>
  <c r="L81" i="41"/>
  <c r="L74" i="41"/>
  <c r="L60" i="41"/>
  <c r="L50" i="41"/>
  <c r="L55" i="41"/>
  <c r="L38" i="41"/>
  <c r="L27" i="41"/>
  <c r="L19" i="41"/>
  <c r="L101" i="41"/>
  <c r="L67" i="41"/>
  <c r="L33" i="41"/>
  <c r="L23" i="41"/>
  <c r="L17" i="41"/>
  <c r="L35" i="41"/>
  <c r="L22" i="41"/>
  <c r="P118" i="41"/>
  <c r="P121" i="41"/>
  <c r="P120" i="41"/>
  <c r="P115" i="41"/>
  <c r="P114" i="41"/>
  <c r="P113" i="41"/>
  <c r="P117" i="41"/>
  <c r="P111" i="41"/>
  <c r="P107" i="41"/>
  <c r="P116" i="41"/>
  <c r="P110" i="41"/>
  <c r="P109" i="41"/>
  <c r="P108" i="41"/>
  <c r="P103" i="41"/>
  <c r="P99" i="41"/>
  <c r="P95" i="41"/>
  <c r="P112" i="41"/>
  <c r="P106" i="41"/>
  <c r="P94" i="41"/>
  <c r="P93" i="41"/>
  <c r="P92" i="41"/>
  <c r="P90" i="41"/>
  <c r="P86" i="41"/>
  <c r="P80" i="41"/>
  <c r="P76" i="41"/>
  <c r="P72" i="41"/>
  <c r="P68" i="41"/>
  <c r="P105" i="41"/>
  <c r="P104" i="41"/>
  <c r="P101" i="41"/>
  <c r="P98" i="41"/>
  <c r="P91" i="41"/>
  <c r="P75" i="41"/>
  <c r="P74" i="41"/>
  <c r="P73" i="41"/>
  <c r="P102" i="41"/>
  <c r="P89" i="41"/>
  <c r="P77" i="41"/>
  <c r="P70" i="41"/>
  <c r="P67" i="41"/>
  <c r="P119" i="41"/>
  <c r="P100" i="41"/>
  <c r="P81" i="41"/>
  <c r="P78" i="41"/>
  <c r="P71" i="41"/>
  <c r="P87" i="41"/>
  <c r="P79" i="41"/>
  <c r="P59" i="41"/>
  <c r="P54" i="41"/>
  <c r="P49" i="41"/>
  <c r="P37" i="41"/>
  <c r="P97" i="41"/>
  <c r="P88" i="41"/>
  <c r="P66" i="41"/>
  <c r="P65" i="41"/>
  <c r="P62" i="41"/>
  <c r="P57" i="41"/>
  <c r="P52" i="41"/>
  <c r="P44" i="41"/>
  <c r="P34" i="41"/>
  <c r="P25" i="41"/>
  <c r="P56" i="41"/>
  <c r="P41" i="41"/>
  <c r="P33" i="41"/>
  <c r="P21" i="41"/>
  <c r="P20" i="41"/>
  <c r="P61" i="41"/>
  <c r="P36" i="41"/>
  <c r="P23" i="41"/>
  <c r="P17" i="41"/>
  <c r="P69" i="41"/>
  <c r="P55" i="41"/>
  <c r="P38" i="41"/>
  <c r="P27" i="41"/>
  <c r="P22" i="41"/>
  <c r="P60" i="41"/>
  <c r="P50" i="41"/>
  <c r="P35" i="41"/>
  <c r="P19" i="41"/>
  <c r="P96" i="41"/>
  <c r="P51" i="41"/>
  <c r="P85" i="41"/>
  <c r="S119" i="41"/>
  <c r="S118" i="41"/>
  <c r="S121" i="41"/>
  <c r="S117" i="41"/>
  <c r="S116" i="41"/>
  <c r="S120" i="41"/>
  <c r="S108" i="41"/>
  <c r="S114" i="41"/>
  <c r="S104" i="41"/>
  <c r="S100" i="41"/>
  <c r="S96" i="41"/>
  <c r="S92" i="41"/>
  <c r="S111" i="41"/>
  <c r="S103" i="41"/>
  <c r="S102" i="41"/>
  <c r="S101" i="41"/>
  <c r="S91" i="41"/>
  <c r="S87" i="41"/>
  <c r="S81" i="41"/>
  <c r="S77" i="41"/>
  <c r="S73" i="41"/>
  <c r="S69" i="41"/>
  <c r="S113" i="41"/>
  <c r="S112" i="41"/>
  <c r="S107" i="41"/>
  <c r="S99" i="41"/>
  <c r="S86" i="41"/>
  <c r="S85" i="41"/>
  <c r="S68" i="41"/>
  <c r="S67" i="41"/>
  <c r="S66" i="41"/>
  <c r="S110" i="41"/>
  <c r="S106" i="41"/>
  <c r="S105" i="41"/>
  <c r="S78" i="41"/>
  <c r="S75" i="41"/>
  <c r="S72" i="41"/>
  <c r="S95" i="41"/>
  <c r="S94" i="41"/>
  <c r="S88" i="41"/>
  <c r="S79" i="41"/>
  <c r="S76" i="41"/>
  <c r="S115" i="41"/>
  <c r="S97" i="41"/>
  <c r="S93" i="41"/>
  <c r="S89" i="41"/>
  <c r="S80" i="41"/>
  <c r="S60" i="41"/>
  <c r="S55" i="41"/>
  <c r="S50" i="41"/>
  <c r="S38" i="41"/>
  <c r="S35" i="41"/>
  <c r="S27" i="41"/>
  <c r="S90" i="41"/>
  <c r="S74" i="41"/>
  <c r="S59" i="41"/>
  <c r="S54" i="41"/>
  <c r="S49" i="41"/>
  <c r="S37" i="41"/>
  <c r="S109" i="41"/>
  <c r="S70" i="41"/>
  <c r="S57" i="41"/>
  <c r="S44" i="41"/>
  <c r="S34" i="41"/>
  <c r="S22" i="41"/>
  <c r="S25" i="41"/>
  <c r="S19" i="41"/>
  <c r="S41" i="41"/>
  <c r="S23" i="41"/>
  <c r="S98" i="41"/>
  <c r="S61" i="41"/>
  <c r="S51" i="41"/>
  <c r="S36" i="41"/>
  <c r="S21" i="41"/>
  <c r="S20" i="41"/>
  <c r="S62" i="41"/>
  <c r="S52" i="41"/>
  <c r="S71" i="41"/>
  <c r="S65" i="41"/>
  <c r="S56" i="41"/>
  <c r="S33" i="41"/>
  <c r="S17" i="41"/>
  <c r="Q121" i="41"/>
  <c r="Q120" i="41"/>
  <c r="Q119" i="41"/>
  <c r="Q118" i="41"/>
  <c r="Q114" i="41"/>
  <c r="Q113" i="41"/>
  <c r="Q117" i="41"/>
  <c r="Q116" i="41"/>
  <c r="Q115" i="41"/>
  <c r="Q112" i="41"/>
  <c r="Q110" i="41"/>
  <c r="Q106" i="41"/>
  <c r="Q111" i="41"/>
  <c r="Q102" i="41"/>
  <c r="Q98" i="41"/>
  <c r="Q94" i="41"/>
  <c r="Q97" i="41"/>
  <c r="Q96" i="41"/>
  <c r="Q95" i="41"/>
  <c r="Q89" i="41"/>
  <c r="Q85" i="41"/>
  <c r="Q79" i="41"/>
  <c r="Q75" i="41"/>
  <c r="Q71" i="41"/>
  <c r="Q67" i="41"/>
  <c r="Q108" i="41"/>
  <c r="Q78" i="41"/>
  <c r="Q77" i="41"/>
  <c r="Q76" i="41"/>
  <c r="Q65" i="41"/>
  <c r="Q107" i="41"/>
  <c r="Q99" i="41"/>
  <c r="Q100" i="41"/>
  <c r="Q92" i="41"/>
  <c r="Q86" i="41"/>
  <c r="Q81" i="41"/>
  <c r="Q74" i="41"/>
  <c r="Q105" i="41"/>
  <c r="Q101" i="41"/>
  <c r="Q90" i="41"/>
  <c r="Q87" i="41"/>
  <c r="Q68" i="41"/>
  <c r="Q88" i="41"/>
  <c r="Q72" i="41"/>
  <c r="Q66" i="41"/>
  <c r="Q62" i="41"/>
  <c r="Q57" i="41"/>
  <c r="Q52" i="41"/>
  <c r="Q44" i="41"/>
  <c r="Q34" i="41"/>
  <c r="Q25" i="41"/>
  <c r="Q104" i="41"/>
  <c r="Q93" i="41"/>
  <c r="Q80" i="41"/>
  <c r="Q73" i="41"/>
  <c r="Q61" i="41"/>
  <c r="Q56" i="41"/>
  <c r="Q51" i="41"/>
  <c r="Q41" i="41"/>
  <c r="Q36" i="41"/>
  <c r="Q33" i="41"/>
  <c r="Q103" i="41"/>
  <c r="Q91" i="41"/>
  <c r="Q60" i="41"/>
  <c r="Q50" i="41"/>
  <c r="Q35" i="41"/>
  <c r="Q19" i="41"/>
  <c r="Q69" i="41"/>
  <c r="Q55" i="41"/>
  <c r="Q38" i="41"/>
  <c r="Q59" i="41"/>
  <c r="Q49" i="41"/>
  <c r="Q20" i="41"/>
  <c r="Q109" i="41"/>
  <c r="Q70" i="41"/>
  <c r="Q54" i="41"/>
  <c r="Q37" i="41"/>
  <c r="Q23" i="41"/>
  <c r="Q17" i="41"/>
  <c r="Q27" i="41"/>
  <c r="Q22" i="41"/>
  <c r="Q21" i="41"/>
  <c r="J120" i="41"/>
  <c r="J118" i="41"/>
  <c r="J116" i="41"/>
  <c r="J114" i="41"/>
  <c r="J112" i="41"/>
  <c r="J110" i="41"/>
  <c r="J108" i="41"/>
  <c r="J106" i="41"/>
  <c r="J104" i="41"/>
  <c r="J102" i="41"/>
  <c r="J100" i="41"/>
  <c r="J98" i="41"/>
  <c r="J96" i="41"/>
  <c r="J94" i="41"/>
  <c r="J92" i="41"/>
  <c r="J90" i="41"/>
  <c r="J88" i="41"/>
  <c r="J86" i="41"/>
  <c r="J80" i="41"/>
  <c r="J78" i="41"/>
  <c r="J76" i="41"/>
  <c r="J74" i="41"/>
  <c r="J72" i="41"/>
  <c r="J70" i="41"/>
  <c r="J68" i="41"/>
  <c r="J66" i="41"/>
  <c r="J61" i="41"/>
  <c r="J59" i="41"/>
  <c r="J56" i="41"/>
  <c r="J54" i="41"/>
  <c r="J51" i="41"/>
  <c r="J49" i="41"/>
  <c r="J41" i="41"/>
  <c r="J37" i="41"/>
  <c r="J36" i="41"/>
  <c r="J33" i="41"/>
  <c r="J22" i="41"/>
  <c r="J19" i="41"/>
  <c r="J121" i="41"/>
  <c r="J119" i="41"/>
  <c r="J117" i="41"/>
  <c r="J115" i="41"/>
  <c r="J113" i="41"/>
  <c r="J111" i="41"/>
  <c r="J109" i="41"/>
  <c r="J107" i="41"/>
  <c r="J105" i="41"/>
  <c r="J103" i="41"/>
  <c r="J101" i="41"/>
  <c r="J99" i="41"/>
  <c r="J97" i="41"/>
  <c r="J95" i="41"/>
  <c r="J93" i="41"/>
  <c r="J91" i="41"/>
  <c r="J89" i="41"/>
  <c r="J87" i="41"/>
  <c r="J85" i="41"/>
  <c r="J81" i="41"/>
  <c r="J79" i="41"/>
  <c r="J77" i="41"/>
  <c r="J75" i="41"/>
  <c r="J73" i="41"/>
  <c r="J71" i="41"/>
  <c r="J69" i="41"/>
  <c r="J67" i="41"/>
  <c r="J65" i="41"/>
  <c r="J62" i="41"/>
  <c r="J60" i="41"/>
  <c r="J57" i="41"/>
  <c r="J55" i="41"/>
  <c r="J52" i="41"/>
  <c r="J50" i="41"/>
  <c r="J44" i="41"/>
  <c r="J38" i="41"/>
  <c r="J35" i="41"/>
  <c r="J34" i="41"/>
  <c r="J27" i="41"/>
  <c r="J25" i="41"/>
  <c r="J23" i="41"/>
  <c r="J21" i="41"/>
  <c r="J20" i="41"/>
  <c r="J17" i="41"/>
  <c r="U63" i="41"/>
  <c r="D12" i="17"/>
  <c r="V64" i="17"/>
  <c r="V48" i="17"/>
  <c r="V44" i="17"/>
  <c r="V88" i="17"/>
  <c r="V102" i="17"/>
  <c r="V42" i="17"/>
  <c r="V84" i="17"/>
  <c r="V101" i="17"/>
  <c r="V50" i="17"/>
  <c r="V59" i="17"/>
  <c r="V72" i="17"/>
  <c r="V56" i="17"/>
  <c r="V54" i="17"/>
  <c r="V62" i="17"/>
  <c r="V58" i="17"/>
  <c r="V60" i="17"/>
  <c r="V105" i="17"/>
  <c r="V98" i="17"/>
  <c r="V92" i="17"/>
  <c r="V97" i="17"/>
  <c r="V39" i="17"/>
  <c r="V36" i="17"/>
  <c r="V31" i="17"/>
  <c r="V37" i="17"/>
  <c r="V46" i="17"/>
  <c r="V47" i="17"/>
  <c r="V11" i="17"/>
  <c r="V90" i="17"/>
  <c r="V49" i="17"/>
  <c r="V13" i="17"/>
  <c r="V85" i="17"/>
  <c r="V17" i="17"/>
  <c r="V70" i="17"/>
  <c r="V16" i="17"/>
  <c r="V63" i="17"/>
  <c r="V66" i="17"/>
  <c r="V19" i="17"/>
  <c r="V27" i="17"/>
  <c r="V79" i="17"/>
  <c r="V91" i="17"/>
  <c r="V69" i="17"/>
  <c r="V107" i="17"/>
  <c r="V14" i="17"/>
  <c r="V12" i="17"/>
  <c r="V28" i="17"/>
  <c r="V100" i="17"/>
  <c r="V86" i="17"/>
  <c r="V32" i="17"/>
  <c r="V104" i="17"/>
  <c r="V77" i="17"/>
  <c r="V29" i="17"/>
  <c r="V30" i="17"/>
  <c r="V109" i="17"/>
  <c r="V34" i="17"/>
  <c r="V80" i="17"/>
  <c r="V10" i="17"/>
  <c r="V106" i="17"/>
  <c r="V71" i="17"/>
  <c r="V108" i="17"/>
  <c r="V35" i="17"/>
  <c r="V21" i="17"/>
  <c r="V99" i="17"/>
  <c r="V53" i="17"/>
  <c r="V73" i="17"/>
  <c r="V41" i="17"/>
  <c r="V96" i="17"/>
  <c r="V78" i="17"/>
  <c r="V38" i="17"/>
  <c r="V89" i="17"/>
  <c r="V95" i="17"/>
  <c r="V82" i="17"/>
  <c r="V25" i="17"/>
  <c r="V18" i="17"/>
  <c r="V26" i="17"/>
  <c r="V68" i="17"/>
  <c r="V87" i="17"/>
  <c r="V20" i="17"/>
  <c r="V75" i="17"/>
  <c r="V23" i="17"/>
  <c r="V61" i="17"/>
  <c r="V74" i="17"/>
  <c r="V57" i="17"/>
  <c r="V55" i="17"/>
  <c r="V65" i="17"/>
  <c r="V67" i="17"/>
  <c r="V15" i="17"/>
  <c r="V52" i="17"/>
  <c r="V76" i="17"/>
  <c r="V40" i="17"/>
  <c r="V81" i="17"/>
  <c r="V93" i="17"/>
  <c r="V22" i="17"/>
  <c r="V45" i="17"/>
  <c r="V83" i="17"/>
  <c r="V94" i="17"/>
  <c r="V51" i="17"/>
  <c r="V33" i="17"/>
  <c r="V24" i="17"/>
  <c r="V103" i="17"/>
  <c r="V43" i="17"/>
  <c r="W63" i="41"/>
  <c r="V63" i="41"/>
  <c r="T63" i="41"/>
  <c r="X63" i="41"/>
  <c r="T64" i="41" l="1"/>
  <c r="W64" i="41"/>
  <c r="V64" i="41"/>
  <c r="X64" i="41"/>
  <c r="U64" i="41"/>
  <c r="U121" i="41"/>
  <c r="U120" i="41"/>
  <c r="U119" i="41"/>
  <c r="U114" i="41"/>
  <c r="U113" i="41"/>
  <c r="U112" i="41"/>
  <c r="U116" i="41"/>
  <c r="U110" i="41"/>
  <c r="U106" i="41"/>
  <c r="U118" i="41"/>
  <c r="U115" i="41"/>
  <c r="U109" i="41"/>
  <c r="U108" i="41"/>
  <c r="U107" i="41"/>
  <c r="U102" i="41"/>
  <c r="U98" i="41"/>
  <c r="U94" i="41"/>
  <c r="U105" i="41"/>
  <c r="U93" i="41"/>
  <c r="U92" i="41"/>
  <c r="U89" i="41"/>
  <c r="U85" i="41"/>
  <c r="U79" i="41"/>
  <c r="U75" i="41"/>
  <c r="U71" i="41"/>
  <c r="U67" i="41"/>
  <c r="U117" i="41"/>
  <c r="U103" i="41"/>
  <c r="U100" i="41"/>
  <c r="U97" i="41"/>
  <c r="U91" i="41"/>
  <c r="U90" i="41"/>
  <c r="U74" i="41"/>
  <c r="U73" i="41"/>
  <c r="U72" i="41"/>
  <c r="U65" i="41"/>
  <c r="U104" i="41"/>
  <c r="U101" i="41"/>
  <c r="U95" i="41"/>
  <c r="U88" i="41"/>
  <c r="U76" i="41"/>
  <c r="U69" i="41"/>
  <c r="U66" i="41"/>
  <c r="U111" i="41"/>
  <c r="U96" i="41"/>
  <c r="U80" i="41"/>
  <c r="U77" i="41"/>
  <c r="U70" i="41"/>
  <c r="U81" i="41"/>
  <c r="U62" i="41"/>
  <c r="U57" i="41"/>
  <c r="U52" i="41"/>
  <c r="U44" i="41"/>
  <c r="U34" i="41"/>
  <c r="U25" i="41"/>
  <c r="U99" i="41"/>
  <c r="U68" i="41"/>
  <c r="U61" i="41"/>
  <c r="U56" i="41"/>
  <c r="U51" i="41"/>
  <c r="U41" i="41"/>
  <c r="U36" i="41"/>
  <c r="U33" i="41"/>
  <c r="U86" i="41"/>
  <c r="U55" i="41"/>
  <c r="U38" i="41"/>
  <c r="U27" i="41"/>
  <c r="U19" i="41"/>
  <c r="U78" i="41"/>
  <c r="U60" i="41"/>
  <c r="U35" i="41"/>
  <c r="U22" i="41"/>
  <c r="U54" i="41"/>
  <c r="U21" i="41"/>
  <c r="U59" i="41"/>
  <c r="U49" i="41"/>
  <c r="U23" i="41"/>
  <c r="U17" i="41"/>
  <c r="U50" i="41"/>
  <c r="U87" i="41"/>
  <c r="U37" i="41"/>
  <c r="U20" i="41"/>
  <c r="W119" i="41"/>
  <c r="W118" i="41"/>
  <c r="W121" i="41"/>
  <c r="W117" i="41"/>
  <c r="W120" i="41"/>
  <c r="W116" i="41"/>
  <c r="W115" i="41"/>
  <c r="W114" i="41"/>
  <c r="W113" i="41"/>
  <c r="W112" i="41"/>
  <c r="W108" i="41"/>
  <c r="W104" i="41"/>
  <c r="W100" i="41"/>
  <c r="W96" i="41"/>
  <c r="W92" i="41"/>
  <c r="W109" i="41"/>
  <c r="W106" i="41"/>
  <c r="W99" i="41"/>
  <c r="W98" i="41"/>
  <c r="W97" i="41"/>
  <c r="W91" i="41"/>
  <c r="W87" i="41"/>
  <c r="W81" i="41"/>
  <c r="W77" i="41"/>
  <c r="W73" i="41"/>
  <c r="W69" i="41"/>
  <c r="W101" i="41"/>
  <c r="W94" i="41"/>
  <c r="W80" i="41"/>
  <c r="W79" i="41"/>
  <c r="W78" i="41"/>
  <c r="W105" i="41"/>
  <c r="W102" i="41"/>
  <c r="W95" i="41"/>
  <c r="W111" i="41"/>
  <c r="W103" i="41"/>
  <c r="W89" i="41"/>
  <c r="W86" i="41"/>
  <c r="W70" i="41"/>
  <c r="W67" i="41"/>
  <c r="W93" i="41"/>
  <c r="W90" i="41"/>
  <c r="W74" i="41"/>
  <c r="W71" i="41"/>
  <c r="W68" i="41"/>
  <c r="W107" i="41"/>
  <c r="W75" i="41"/>
  <c r="W65" i="41"/>
  <c r="W60" i="41"/>
  <c r="W55" i="41"/>
  <c r="W50" i="41"/>
  <c r="W38" i="41"/>
  <c r="W35" i="41"/>
  <c r="W27" i="41"/>
  <c r="W85" i="41"/>
  <c r="W76" i="41"/>
  <c r="W59" i="41"/>
  <c r="W54" i="41"/>
  <c r="W49" i="41"/>
  <c r="W37" i="41"/>
  <c r="W72" i="41"/>
  <c r="W62" i="41"/>
  <c r="W52" i="41"/>
  <c r="W25" i="41"/>
  <c r="W22" i="41"/>
  <c r="W57" i="41"/>
  <c r="W44" i="41"/>
  <c r="W34" i="41"/>
  <c r="W19" i="41"/>
  <c r="W61" i="41"/>
  <c r="W51" i="41"/>
  <c r="W36" i="41"/>
  <c r="W17" i="41"/>
  <c r="W110" i="41"/>
  <c r="W88" i="41"/>
  <c r="W56" i="41"/>
  <c r="W41" i="41"/>
  <c r="W33" i="41"/>
  <c r="W21" i="41"/>
  <c r="W20" i="41"/>
  <c r="W66" i="41"/>
  <c r="W23" i="41"/>
  <c r="X118" i="41"/>
  <c r="X121" i="41"/>
  <c r="X120" i="41"/>
  <c r="X117" i="41"/>
  <c r="X115" i="41"/>
  <c r="X116" i="41"/>
  <c r="X119" i="41"/>
  <c r="X113" i="41"/>
  <c r="X111" i="41"/>
  <c r="X107" i="41"/>
  <c r="X103" i="41"/>
  <c r="X99" i="41"/>
  <c r="X95" i="41"/>
  <c r="X110" i="41"/>
  <c r="X102" i="41"/>
  <c r="X101" i="41"/>
  <c r="X100" i="41"/>
  <c r="X90" i="41"/>
  <c r="X86" i="41"/>
  <c r="X80" i="41"/>
  <c r="X76" i="41"/>
  <c r="X72" i="41"/>
  <c r="X68" i="41"/>
  <c r="X109" i="41"/>
  <c r="X105" i="41"/>
  <c r="X98" i="41"/>
  <c r="X85" i="41"/>
  <c r="X81" i="41"/>
  <c r="X67" i="41"/>
  <c r="X66" i="41"/>
  <c r="X114" i="41"/>
  <c r="X108" i="41"/>
  <c r="X96" i="41"/>
  <c r="X93" i="41"/>
  <c r="X77" i="41"/>
  <c r="X74" i="41"/>
  <c r="X71" i="41"/>
  <c r="X106" i="41"/>
  <c r="X104" i="41"/>
  <c r="X97" i="41"/>
  <c r="X92" i="41"/>
  <c r="X87" i="41"/>
  <c r="X78" i="41"/>
  <c r="X75" i="41"/>
  <c r="X112" i="41"/>
  <c r="X91" i="41"/>
  <c r="X69" i="41"/>
  <c r="X59" i="41"/>
  <c r="X54" i="41"/>
  <c r="X49" i="41"/>
  <c r="X37" i="41"/>
  <c r="X94" i="41"/>
  <c r="X70" i="41"/>
  <c r="X62" i="41"/>
  <c r="X57" i="41"/>
  <c r="X52" i="41"/>
  <c r="X44" i="41"/>
  <c r="X34" i="41"/>
  <c r="X25" i="41"/>
  <c r="X88" i="41"/>
  <c r="X79" i="41"/>
  <c r="X56" i="41"/>
  <c r="X41" i="41"/>
  <c r="X33" i="41"/>
  <c r="X21" i="41"/>
  <c r="X20" i="41"/>
  <c r="X23" i="41"/>
  <c r="X17" i="41"/>
  <c r="X73" i="41"/>
  <c r="X22" i="41"/>
  <c r="X65" i="41"/>
  <c r="X60" i="41"/>
  <c r="X50" i="41"/>
  <c r="X35" i="41"/>
  <c r="X19" i="41"/>
  <c r="X61" i="41"/>
  <c r="X51" i="41"/>
  <c r="X36" i="41"/>
  <c r="X89" i="41"/>
  <c r="X55" i="41"/>
  <c r="X38" i="41"/>
  <c r="X27" i="41"/>
  <c r="T118" i="41"/>
  <c r="T121" i="41"/>
  <c r="T120" i="41"/>
  <c r="T115" i="41"/>
  <c r="T117" i="41"/>
  <c r="T113" i="41"/>
  <c r="T114" i="41"/>
  <c r="T111" i="41"/>
  <c r="T107" i="41"/>
  <c r="T116" i="41"/>
  <c r="T112" i="41"/>
  <c r="T106" i="41"/>
  <c r="T105" i="41"/>
  <c r="T103" i="41"/>
  <c r="T99" i="41"/>
  <c r="T95" i="41"/>
  <c r="T119" i="41"/>
  <c r="T108" i="41"/>
  <c r="T104" i="41"/>
  <c r="T90" i="41"/>
  <c r="T86" i="41"/>
  <c r="T80" i="41"/>
  <c r="T76" i="41"/>
  <c r="T72" i="41"/>
  <c r="T68" i="41"/>
  <c r="T110" i="41"/>
  <c r="T96" i="41"/>
  <c r="T93" i="41"/>
  <c r="T89" i="41"/>
  <c r="T88" i="41"/>
  <c r="T87" i="41"/>
  <c r="T71" i="41"/>
  <c r="T70" i="41"/>
  <c r="T69" i="41"/>
  <c r="T109" i="41"/>
  <c r="T100" i="41"/>
  <c r="T97" i="41"/>
  <c r="T101" i="41"/>
  <c r="T94" i="41"/>
  <c r="T91" i="41"/>
  <c r="T79" i="41"/>
  <c r="T102" i="41"/>
  <c r="T85" i="41"/>
  <c r="T73" i="41"/>
  <c r="T66" i="41"/>
  <c r="T74" i="41"/>
  <c r="T67" i="41"/>
  <c r="T59" i="41"/>
  <c r="T54" i="41"/>
  <c r="T49" i="41"/>
  <c r="T37" i="41"/>
  <c r="T81" i="41"/>
  <c r="T75" i="41"/>
  <c r="T62" i="41"/>
  <c r="T57" i="41"/>
  <c r="T52" i="41"/>
  <c r="T44" i="41"/>
  <c r="T34" i="41"/>
  <c r="T25" i="41"/>
  <c r="T98" i="41"/>
  <c r="T77" i="41"/>
  <c r="T61" i="41"/>
  <c r="T51" i="41"/>
  <c r="T36" i="41"/>
  <c r="T21" i="41"/>
  <c r="T20" i="41"/>
  <c r="T65" i="41"/>
  <c r="T33" i="41"/>
  <c r="T92" i="41"/>
  <c r="T78" i="41"/>
  <c r="T35" i="41"/>
  <c r="T55" i="41"/>
  <c r="T38" i="41"/>
  <c r="T27" i="41"/>
  <c r="T19" i="41"/>
  <c r="T56" i="41"/>
  <c r="T41" i="41"/>
  <c r="T23" i="41"/>
  <c r="T17" i="41"/>
  <c r="T60" i="41"/>
  <c r="T50" i="41"/>
  <c r="T22" i="41"/>
  <c r="V120" i="41"/>
  <c r="V119" i="41"/>
  <c r="V118" i="41"/>
  <c r="V121" i="41"/>
  <c r="V116" i="41"/>
  <c r="V115" i="41"/>
  <c r="V114" i="41"/>
  <c r="V109" i="41"/>
  <c r="V105" i="41"/>
  <c r="V113" i="41"/>
  <c r="V111" i="41"/>
  <c r="V110" i="41"/>
  <c r="V101" i="41"/>
  <c r="V97" i="41"/>
  <c r="V93" i="41"/>
  <c r="V96" i="41"/>
  <c r="V95" i="41"/>
  <c r="V94" i="41"/>
  <c r="V88" i="41"/>
  <c r="V78" i="41"/>
  <c r="V74" i="41"/>
  <c r="V70" i="41"/>
  <c r="V66" i="41"/>
  <c r="V106" i="41"/>
  <c r="V104" i="41"/>
  <c r="V77" i="41"/>
  <c r="V76" i="41"/>
  <c r="V75" i="41"/>
  <c r="V98" i="41"/>
  <c r="V108" i="41"/>
  <c r="V102" i="41"/>
  <c r="V85" i="41"/>
  <c r="V80" i="41"/>
  <c r="V73" i="41"/>
  <c r="V103" i="41"/>
  <c r="V89" i="41"/>
  <c r="V86" i="41"/>
  <c r="V81" i="41"/>
  <c r="V67" i="41"/>
  <c r="V99" i="41"/>
  <c r="V90" i="41"/>
  <c r="V68" i="41"/>
  <c r="V61" i="41"/>
  <c r="V56" i="41"/>
  <c r="V51" i="41"/>
  <c r="V41" i="41"/>
  <c r="V36" i="41"/>
  <c r="V33" i="41"/>
  <c r="V117" i="41"/>
  <c r="V112" i="41"/>
  <c r="V107" i="41"/>
  <c r="V91" i="41"/>
  <c r="V69" i="41"/>
  <c r="V65" i="41"/>
  <c r="V60" i="41"/>
  <c r="V55" i="41"/>
  <c r="V50" i="41"/>
  <c r="V38" i="41"/>
  <c r="V35" i="41"/>
  <c r="V27" i="41"/>
  <c r="V59" i="41"/>
  <c r="V49" i="41"/>
  <c r="V23" i="41"/>
  <c r="V17" i="41"/>
  <c r="V87" i="41"/>
  <c r="V71" i="41"/>
  <c r="V20" i="41"/>
  <c r="V57" i="41"/>
  <c r="V44" i="41"/>
  <c r="V34" i="41"/>
  <c r="V79" i="41"/>
  <c r="V72" i="41"/>
  <c r="V62" i="41"/>
  <c r="V52" i="41"/>
  <c r="V25" i="41"/>
  <c r="V22" i="41"/>
  <c r="V92" i="41"/>
  <c r="V54" i="41"/>
  <c r="V37" i="41"/>
  <c r="V21" i="41"/>
  <c r="V100" i="41"/>
  <c r="V19" i="41"/>
  <c r="AB63" i="41"/>
  <c r="AA63" i="41"/>
  <c r="U33" i="17"/>
  <c r="T33" i="17" s="1"/>
  <c r="S33" i="17" s="1"/>
  <c r="W33" i="17"/>
  <c r="W45" i="17"/>
  <c r="U45" i="17"/>
  <c r="T45" i="17" s="1"/>
  <c r="S45" i="17" s="1"/>
  <c r="U40" i="17"/>
  <c r="T40" i="17" s="1"/>
  <c r="S40" i="17" s="1"/>
  <c r="W40" i="17"/>
  <c r="W67" i="17"/>
  <c r="U67" i="17"/>
  <c r="T67" i="17" s="1"/>
  <c r="S67" i="17" s="1"/>
  <c r="W74" i="17"/>
  <c r="U74" i="17"/>
  <c r="T74" i="17" s="1"/>
  <c r="S74" i="17" s="1"/>
  <c r="W20" i="17"/>
  <c r="U20" i="17"/>
  <c r="T20" i="17" s="1"/>
  <c r="S20" i="17" s="1"/>
  <c r="W18" i="17"/>
  <c r="U18" i="17"/>
  <c r="T18" i="17" s="1"/>
  <c r="S18" i="17" s="1"/>
  <c r="U89" i="17"/>
  <c r="T89" i="17" s="1"/>
  <c r="S89" i="17" s="1"/>
  <c r="W89" i="17"/>
  <c r="U41" i="17"/>
  <c r="T41" i="17" s="1"/>
  <c r="S41" i="17" s="1"/>
  <c r="W41" i="17"/>
  <c r="W21" i="17"/>
  <c r="U21" i="17"/>
  <c r="T21" i="17" s="1"/>
  <c r="S21" i="17" s="1"/>
  <c r="W106" i="17"/>
  <c r="U106" i="17"/>
  <c r="T106" i="17" s="1"/>
  <c r="S106" i="17" s="1"/>
  <c r="W109" i="17"/>
  <c r="U109" i="17"/>
  <c r="T109" i="17" s="1"/>
  <c r="S109" i="17" s="1"/>
  <c r="U104" i="17"/>
  <c r="T104" i="17" s="1"/>
  <c r="S104" i="17" s="1"/>
  <c r="W104" i="17"/>
  <c r="W28" i="17"/>
  <c r="U28" i="17"/>
  <c r="T28" i="17" s="1"/>
  <c r="S28" i="17" s="1"/>
  <c r="W69" i="17"/>
  <c r="U69" i="17"/>
  <c r="T69" i="17" s="1"/>
  <c r="S69" i="17" s="1"/>
  <c r="W19" i="17"/>
  <c r="U19" i="17"/>
  <c r="T19" i="17" s="1"/>
  <c r="S19" i="17" s="1"/>
  <c r="U70" i="17"/>
  <c r="T70" i="17" s="1"/>
  <c r="S70" i="17" s="1"/>
  <c r="W70" i="17"/>
  <c r="W49" i="17"/>
  <c r="U49" i="17"/>
  <c r="T49" i="17" s="1"/>
  <c r="S49" i="17" s="1"/>
  <c r="W46" i="17"/>
  <c r="U46" i="17"/>
  <c r="T46" i="17" s="1"/>
  <c r="S46" i="17" s="1"/>
  <c r="W39" i="17"/>
  <c r="U39" i="17"/>
  <c r="T39" i="17" s="1"/>
  <c r="S39" i="17" s="1"/>
  <c r="W105" i="17"/>
  <c r="U105" i="17"/>
  <c r="T105" i="17" s="1"/>
  <c r="S105" i="17" s="1"/>
  <c r="W54" i="17"/>
  <c r="U54" i="17"/>
  <c r="T54" i="17" s="1"/>
  <c r="S54" i="17" s="1"/>
  <c r="U50" i="17"/>
  <c r="T50" i="17" s="1"/>
  <c r="S50" i="17" s="1"/>
  <c r="W50" i="17"/>
  <c r="W102" i="17"/>
  <c r="U102" i="17"/>
  <c r="T102" i="17" s="1"/>
  <c r="S102" i="17" s="1"/>
  <c r="W64" i="17"/>
  <c r="U64" i="17"/>
  <c r="T64" i="17" s="1"/>
  <c r="S64" i="17" s="1"/>
  <c r="U43" i="17"/>
  <c r="T43" i="17" s="1"/>
  <c r="S43" i="17" s="1"/>
  <c r="W43" i="17"/>
  <c r="W51" i="17"/>
  <c r="U51" i="17"/>
  <c r="T51" i="17" s="1"/>
  <c r="S51" i="17" s="1"/>
  <c r="U22" i="17"/>
  <c r="T22" i="17" s="1"/>
  <c r="S22" i="17" s="1"/>
  <c r="W22" i="17"/>
  <c r="W76" i="17"/>
  <c r="U76" i="17"/>
  <c r="T76" i="17" s="1"/>
  <c r="S76" i="17" s="1"/>
  <c r="W65" i="17"/>
  <c r="U65" i="17"/>
  <c r="T65" i="17" s="1"/>
  <c r="S65" i="17" s="1"/>
  <c r="W61" i="17"/>
  <c r="U61" i="17"/>
  <c r="T61" i="17" s="1"/>
  <c r="S61" i="17" s="1"/>
  <c r="U87" i="17"/>
  <c r="T87" i="17" s="1"/>
  <c r="S87" i="17" s="1"/>
  <c r="W87" i="17"/>
  <c r="U25" i="17"/>
  <c r="T25" i="17" s="1"/>
  <c r="S25" i="17" s="1"/>
  <c r="W25" i="17"/>
  <c r="U38" i="17"/>
  <c r="T38" i="17" s="1"/>
  <c r="S38" i="17" s="1"/>
  <c r="W38" i="17"/>
  <c r="U73" i="17"/>
  <c r="T73" i="17" s="1"/>
  <c r="S73" i="17" s="1"/>
  <c r="W73" i="17"/>
  <c r="U35" i="17"/>
  <c r="T35" i="17" s="1"/>
  <c r="S35" i="17" s="1"/>
  <c r="W35" i="17"/>
  <c r="W10" i="17"/>
  <c r="U10" i="17"/>
  <c r="U30" i="17"/>
  <c r="T30" i="17" s="1"/>
  <c r="S30" i="17" s="1"/>
  <c r="W30" i="17"/>
  <c r="W32" i="17"/>
  <c r="U32" i="17"/>
  <c r="T32" i="17" s="1"/>
  <c r="S32" i="17" s="1"/>
  <c r="U12" i="17"/>
  <c r="T12" i="17" s="1"/>
  <c r="S12" i="17" s="1"/>
  <c r="W12" i="17"/>
  <c r="U91" i="17"/>
  <c r="T91" i="17" s="1"/>
  <c r="S91" i="17" s="1"/>
  <c r="W91" i="17"/>
  <c r="U66" i="17"/>
  <c r="T66" i="17" s="1"/>
  <c r="S66" i="17" s="1"/>
  <c r="W66" i="17"/>
  <c r="U17" i="17"/>
  <c r="T17" i="17" s="1"/>
  <c r="S17" i="17" s="1"/>
  <c r="W17" i="17"/>
  <c r="W90" i="17"/>
  <c r="U90" i="17"/>
  <c r="T90" i="17" s="1"/>
  <c r="S90" i="17" s="1"/>
  <c r="W37" i="17"/>
  <c r="U37" i="17"/>
  <c r="T37" i="17" s="1"/>
  <c r="S37" i="17" s="1"/>
  <c r="W97" i="17"/>
  <c r="U97" i="17"/>
  <c r="T97" i="17" s="1"/>
  <c r="S97" i="17" s="1"/>
  <c r="U60" i="17"/>
  <c r="T60" i="17" s="1"/>
  <c r="S60" i="17" s="1"/>
  <c r="W60" i="17"/>
  <c r="W56" i="17"/>
  <c r="U56" i="17"/>
  <c r="T56" i="17" s="1"/>
  <c r="S56" i="17" s="1"/>
  <c r="U101" i="17"/>
  <c r="T101" i="17" s="1"/>
  <c r="S101" i="17" s="1"/>
  <c r="W101" i="17"/>
  <c r="W88" i="17"/>
  <c r="U88" i="17"/>
  <c r="T88" i="17" s="1"/>
  <c r="S88" i="17" s="1"/>
  <c r="AC63" i="41"/>
  <c r="Y63" i="41"/>
  <c r="W103" i="17"/>
  <c r="U103" i="17"/>
  <c r="T103" i="17" s="1"/>
  <c r="S103" i="17" s="1"/>
  <c r="W94" i="17"/>
  <c r="U94" i="17"/>
  <c r="T94" i="17" s="1"/>
  <c r="S94" i="17" s="1"/>
  <c r="U93" i="17"/>
  <c r="T93" i="17" s="1"/>
  <c r="S93" i="17" s="1"/>
  <c r="W93" i="17"/>
  <c r="W52" i="17"/>
  <c r="U52" i="17"/>
  <c r="T52" i="17" s="1"/>
  <c r="S52" i="17" s="1"/>
  <c r="W55" i="17"/>
  <c r="U55" i="17"/>
  <c r="T55" i="17" s="1"/>
  <c r="S55" i="17" s="1"/>
  <c r="W23" i="17"/>
  <c r="U23" i="17"/>
  <c r="T23" i="17" s="1"/>
  <c r="S23" i="17" s="1"/>
  <c r="W68" i="17"/>
  <c r="U68" i="17"/>
  <c r="T68" i="17" s="1"/>
  <c r="S68" i="17" s="1"/>
  <c r="W82" i="17"/>
  <c r="U82" i="17"/>
  <c r="T82" i="17" s="1"/>
  <c r="S82" i="17" s="1"/>
  <c r="U78" i="17"/>
  <c r="T78" i="17" s="1"/>
  <c r="S78" i="17" s="1"/>
  <c r="W78" i="17"/>
  <c r="W53" i="17"/>
  <c r="U53" i="17"/>
  <c r="T53" i="17" s="1"/>
  <c r="S53" i="17" s="1"/>
  <c r="U108" i="17"/>
  <c r="T108" i="17" s="1"/>
  <c r="S108" i="17" s="1"/>
  <c r="W108" i="17"/>
  <c r="U80" i="17"/>
  <c r="T80" i="17" s="1"/>
  <c r="S80" i="17" s="1"/>
  <c r="W80" i="17"/>
  <c r="U29" i="17"/>
  <c r="T29" i="17" s="1"/>
  <c r="S29" i="17" s="1"/>
  <c r="W29" i="17"/>
  <c r="W86" i="17"/>
  <c r="U86" i="17"/>
  <c r="T86" i="17" s="1"/>
  <c r="S86" i="17" s="1"/>
  <c r="U14" i="17"/>
  <c r="T14" i="17" s="1"/>
  <c r="S14" i="17" s="1"/>
  <c r="W14" i="17"/>
  <c r="W79" i="17"/>
  <c r="U79" i="17"/>
  <c r="T79" i="17" s="1"/>
  <c r="S79" i="17" s="1"/>
  <c r="W63" i="17"/>
  <c r="U63" i="17"/>
  <c r="T63" i="17" s="1"/>
  <c r="S63" i="17" s="1"/>
  <c r="W85" i="17"/>
  <c r="U85" i="17"/>
  <c r="T85" i="17" s="1"/>
  <c r="S85" i="17" s="1"/>
  <c r="U11" i="17"/>
  <c r="T11" i="17" s="1"/>
  <c r="S11" i="17" s="1"/>
  <c r="W11" i="17"/>
  <c r="W31" i="17"/>
  <c r="U31" i="17"/>
  <c r="T31" i="17" s="1"/>
  <c r="S31" i="17" s="1"/>
  <c r="U92" i="17"/>
  <c r="T92" i="17" s="1"/>
  <c r="S92" i="17" s="1"/>
  <c r="W92" i="17"/>
  <c r="W58" i="17"/>
  <c r="U58" i="17"/>
  <c r="T58" i="17" s="1"/>
  <c r="S58" i="17" s="1"/>
  <c r="W72" i="17"/>
  <c r="U72" i="17"/>
  <c r="T72" i="17" s="1"/>
  <c r="S72" i="17" s="1"/>
  <c r="W84" i="17"/>
  <c r="U84" i="17"/>
  <c r="T84" i="17" s="1"/>
  <c r="S84" i="17" s="1"/>
  <c r="W44" i="17"/>
  <c r="U44" i="17"/>
  <c r="T44" i="17" s="1"/>
  <c r="S44" i="17" s="1"/>
  <c r="Z63" i="41"/>
  <c r="U24" i="17"/>
  <c r="T24" i="17" s="1"/>
  <c r="S24" i="17" s="1"/>
  <c r="W24" i="17"/>
  <c r="W83" i="17"/>
  <c r="U83" i="17"/>
  <c r="T83" i="17" s="1"/>
  <c r="S83" i="17" s="1"/>
  <c r="U81" i="17"/>
  <c r="T81" i="17" s="1"/>
  <c r="S81" i="17" s="1"/>
  <c r="W81" i="17"/>
  <c r="U15" i="17"/>
  <c r="T15" i="17" s="1"/>
  <c r="S15" i="17" s="1"/>
  <c r="W15" i="17"/>
  <c r="U57" i="17"/>
  <c r="T57" i="17" s="1"/>
  <c r="S57" i="17" s="1"/>
  <c r="W57" i="17"/>
  <c r="W75" i="17"/>
  <c r="U75" i="17"/>
  <c r="T75" i="17" s="1"/>
  <c r="S75" i="17" s="1"/>
  <c r="W26" i="17"/>
  <c r="U26" i="17"/>
  <c r="T26" i="17" s="1"/>
  <c r="S26" i="17" s="1"/>
  <c r="U95" i="17"/>
  <c r="T95" i="17" s="1"/>
  <c r="S95" i="17" s="1"/>
  <c r="W95" i="17"/>
  <c r="U96" i="17"/>
  <c r="T96" i="17" s="1"/>
  <c r="S96" i="17" s="1"/>
  <c r="W96" i="17"/>
  <c r="W99" i="17"/>
  <c r="U99" i="17"/>
  <c r="T99" i="17" s="1"/>
  <c r="S99" i="17" s="1"/>
  <c r="U71" i="17"/>
  <c r="T71" i="17" s="1"/>
  <c r="S71" i="17" s="1"/>
  <c r="W71" i="17"/>
  <c r="W34" i="17"/>
  <c r="U34" i="17"/>
  <c r="T34" i="17" s="1"/>
  <c r="S34" i="17" s="1"/>
  <c r="W77" i="17"/>
  <c r="U77" i="17"/>
  <c r="T77" i="17" s="1"/>
  <c r="S77" i="17" s="1"/>
  <c r="W100" i="17"/>
  <c r="U100" i="17"/>
  <c r="T100" i="17" s="1"/>
  <c r="S100" i="17" s="1"/>
  <c r="W107" i="17"/>
  <c r="U107" i="17"/>
  <c r="T107" i="17" s="1"/>
  <c r="S107" i="17" s="1"/>
  <c r="W27" i="17"/>
  <c r="U27" i="17"/>
  <c r="T27" i="17" s="1"/>
  <c r="S27" i="17" s="1"/>
  <c r="W16" i="17"/>
  <c r="U16" i="17"/>
  <c r="T16" i="17" s="1"/>
  <c r="S16" i="17" s="1"/>
  <c r="W13" i="17"/>
  <c r="U13" i="17"/>
  <c r="T13" i="17" s="1"/>
  <c r="S13" i="17" s="1"/>
  <c r="U47" i="17"/>
  <c r="T47" i="17" s="1"/>
  <c r="S47" i="17" s="1"/>
  <c r="W47" i="17"/>
  <c r="U36" i="17"/>
  <c r="T36" i="17" s="1"/>
  <c r="S36" i="17" s="1"/>
  <c r="W36" i="17"/>
  <c r="U98" i="17"/>
  <c r="T98" i="17" s="1"/>
  <c r="S98" i="17" s="1"/>
  <c r="W98" i="17"/>
  <c r="U62" i="17"/>
  <c r="T62" i="17" s="1"/>
  <c r="S62" i="17" s="1"/>
  <c r="W62" i="17"/>
  <c r="U59" i="17"/>
  <c r="T59" i="17" s="1"/>
  <c r="S59" i="17" s="1"/>
  <c r="W59" i="17"/>
  <c r="W42" i="17"/>
  <c r="U42" i="17"/>
  <c r="T42" i="17" s="1"/>
  <c r="S42" i="17" s="1"/>
  <c r="U48" i="17"/>
  <c r="T48" i="17" s="1"/>
  <c r="S48" i="17" s="1"/>
  <c r="W48" i="17"/>
  <c r="AE18" i="17" l="1"/>
  <c r="AF18" i="17" s="1"/>
  <c r="AG18" i="17" s="1"/>
  <c r="AC64" i="41"/>
  <c r="Z64" i="41"/>
  <c r="AA64" i="41"/>
  <c r="Y64" i="41"/>
  <c r="AB64" i="41"/>
  <c r="Z120" i="41"/>
  <c r="Z119" i="41"/>
  <c r="Z118" i="41"/>
  <c r="Z117" i="41"/>
  <c r="Z121" i="41"/>
  <c r="Z115" i="41"/>
  <c r="Z109" i="41"/>
  <c r="Z105" i="41"/>
  <c r="Z114" i="41"/>
  <c r="Z108" i="41"/>
  <c r="Z107" i="41"/>
  <c r="Z106" i="41"/>
  <c r="Z101" i="41"/>
  <c r="Z97" i="41"/>
  <c r="Z93" i="41"/>
  <c r="Z112" i="41"/>
  <c r="Z111" i="41"/>
  <c r="Z92" i="41"/>
  <c r="Z88" i="41"/>
  <c r="Z78" i="41"/>
  <c r="Z74" i="41"/>
  <c r="Z70" i="41"/>
  <c r="Z66" i="41"/>
  <c r="Z102" i="41"/>
  <c r="Z99" i="41"/>
  <c r="Z96" i="41"/>
  <c r="Z91" i="41"/>
  <c r="Z90" i="41"/>
  <c r="Z89" i="41"/>
  <c r="Z73" i="41"/>
  <c r="Z72" i="41"/>
  <c r="Z71" i="41"/>
  <c r="Z103" i="41"/>
  <c r="Z100" i="41"/>
  <c r="Z104" i="41"/>
  <c r="Z87" i="41"/>
  <c r="Z75" i="41"/>
  <c r="Z68" i="41"/>
  <c r="Z98" i="41"/>
  <c r="Z79" i="41"/>
  <c r="Z76" i="41"/>
  <c r="Z69" i="41"/>
  <c r="Z94" i="41"/>
  <c r="Z85" i="41"/>
  <c r="Z77" i="41"/>
  <c r="Z61" i="41"/>
  <c r="Z56" i="41"/>
  <c r="Z51" i="41"/>
  <c r="Z41" i="41"/>
  <c r="Z36" i="41"/>
  <c r="Z33" i="41"/>
  <c r="Z113" i="41"/>
  <c r="Z86" i="41"/>
  <c r="Z60" i="41"/>
  <c r="Z55" i="41"/>
  <c r="Z50" i="41"/>
  <c r="Z38" i="41"/>
  <c r="Z35" i="41"/>
  <c r="Z27" i="41"/>
  <c r="Z116" i="41"/>
  <c r="Z110" i="41"/>
  <c r="Z65" i="41"/>
  <c r="Z54" i="41"/>
  <c r="Z37" i="41"/>
  <c r="Z23" i="41"/>
  <c r="Z17" i="41"/>
  <c r="Z80" i="41"/>
  <c r="Z21" i="41"/>
  <c r="Z20" i="41"/>
  <c r="Z62" i="41"/>
  <c r="Z52" i="41"/>
  <c r="Z19" i="41"/>
  <c r="Z81" i="41"/>
  <c r="Z67" i="41"/>
  <c r="Z57" i="41"/>
  <c r="Z44" i="41"/>
  <c r="Z34" i="41"/>
  <c r="Z22" i="41"/>
  <c r="Z59" i="41"/>
  <c r="Z49" i="41"/>
  <c r="Z95" i="41"/>
  <c r="Z25" i="41"/>
  <c r="AA119" i="41"/>
  <c r="AA118" i="41"/>
  <c r="AA121" i="41"/>
  <c r="AA117" i="41"/>
  <c r="AA116" i="41"/>
  <c r="AA120" i="41"/>
  <c r="AA115" i="41"/>
  <c r="AA114" i="41"/>
  <c r="AA108" i="41"/>
  <c r="AA112" i="41"/>
  <c r="AA111" i="41"/>
  <c r="AA110" i="41"/>
  <c r="AA109" i="41"/>
  <c r="AA104" i="41"/>
  <c r="AA100" i="41"/>
  <c r="AA96" i="41"/>
  <c r="AA92" i="41"/>
  <c r="AA113" i="41"/>
  <c r="AA95" i="41"/>
  <c r="AA94" i="41"/>
  <c r="AA93" i="41"/>
  <c r="AA91" i="41"/>
  <c r="AA87" i="41"/>
  <c r="AA81" i="41"/>
  <c r="AA77" i="41"/>
  <c r="AA73" i="41"/>
  <c r="AA69" i="41"/>
  <c r="AA103" i="41"/>
  <c r="AA76" i="41"/>
  <c r="AA75" i="41"/>
  <c r="AA74" i="41"/>
  <c r="AA107" i="41"/>
  <c r="AA97" i="41"/>
  <c r="AA106" i="41"/>
  <c r="AA98" i="41"/>
  <c r="AA79" i="41"/>
  <c r="AA72" i="41"/>
  <c r="AA99" i="41"/>
  <c r="AA88" i="41"/>
  <c r="AA85" i="41"/>
  <c r="AA80" i="41"/>
  <c r="AA66" i="41"/>
  <c r="AA101" i="41"/>
  <c r="AA86" i="41"/>
  <c r="AA70" i="41"/>
  <c r="AA60" i="41"/>
  <c r="AA55" i="41"/>
  <c r="AA50" i="41"/>
  <c r="AA38" i="41"/>
  <c r="AA35" i="41"/>
  <c r="AA27" i="41"/>
  <c r="AA78" i="41"/>
  <c r="AA71" i="41"/>
  <c r="AA65" i="41"/>
  <c r="AA59" i="41"/>
  <c r="AA54" i="41"/>
  <c r="AA49" i="41"/>
  <c r="AA37" i="41"/>
  <c r="AA67" i="41"/>
  <c r="AA57" i="41"/>
  <c r="AA44" i="41"/>
  <c r="AA34" i="41"/>
  <c r="AA22" i="41"/>
  <c r="AA89" i="41"/>
  <c r="AA62" i="41"/>
  <c r="AA52" i="41"/>
  <c r="AA105" i="41"/>
  <c r="AA68" i="41"/>
  <c r="AA56" i="41"/>
  <c r="AA33" i="41"/>
  <c r="AA23" i="41"/>
  <c r="AA102" i="41"/>
  <c r="AA90" i="41"/>
  <c r="AA61" i="41"/>
  <c r="AA51" i="41"/>
  <c r="AA36" i="41"/>
  <c r="AA21" i="41"/>
  <c r="AA20" i="41"/>
  <c r="AA25" i="41"/>
  <c r="AA19" i="41"/>
  <c r="AA41" i="41"/>
  <c r="AA17" i="41"/>
  <c r="Y121" i="41"/>
  <c r="Y120" i="41"/>
  <c r="Y119" i="41"/>
  <c r="Y114" i="41"/>
  <c r="Y113" i="41"/>
  <c r="Y117" i="41"/>
  <c r="Y112" i="41"/>
  <c r="Y118" i="41"/>
  <c r="Y110" i="41"/>
  <c r="Y106" i="41"/>
  <c r="Y115" i="41"/>
  <c r="Y105" i="41"/>
  <c r="Y102" i="41"/>
  <c r="Y98" i="41"/>
  <c r="Y94" i="41"/>
  <c r="Y116" i="41"/>
  <c r="Y107" i="41"/>
  <c r="Y104" i="41"/>
  <c r="Y103" i="41"/>
  <c r="Y89" i="41"/>
  <c r="Y85" i="41"/>
  <c r="Y79" i="41"/>
  <c r="Y75" i="41"/>
  <c r="Y71" i="41"/>
  <c r="Y67" i="41"/>
  <c r="Y108" i="41"/>
  <c r="Y95" i="41"/>
  <c r="Y92" i="41"/>
  <c r="Y88" i="41"/>
  <c r="Y87" i="41"/>
  <c r="Y86" i="41"/>
  <c r="Y70" i="41"/>
  <c r="Y69" i="41"/>
  <c r="Y68" i="41"/>
  <c r="Y65" i="41"/>
  <c r="Y111" i="41"/>
  <c r="Y99" i="41"/>
  <c r="Y96" i="41"/>
  <c r="Y97" i="41"/>
  <c r="Y90" i="41"/>
  <c r="Y81" i="41"/>
  <c r="Y78" i="41"/>
  <c r="Y109" i="41"/>
  <c r="Y91" i="41"/>
  <c r="Y72" i="41"/>
  <c r="Y76" i="41"/>
  <c r="Y62" i="41"/>
  <c r="Y57" i="41"/>
  <c r="Y52" i="41"/>
  <c r="Y44" i="41"/>
  <c r="Y34" i="41"/>
  <c r="Y25" i="41"/>
  <c r="Y101" i="41"/>
  <c r="Y77" i="41"/>
  <c r="Y61" i="41"/>
  <c r="Y56" i="41"/>
  <c r="Y51" i="41"/>
  <c r="Y41" i="41"/>
  <c r="Y36" i="41"/>
  <c r="Y33" i="41"/>
  <c r="Y60" i="41"/>
  <c r="Y50" i="41"/>
  <c r="Y35" i="41"/>
  <c r="Y19" i="41"/>
  <c r="Y100" i="41"/>
  <c r="Y27" i="41"/>
  <c r="Y93" i="41"/>
  <c r="Y80" i="41"/>
  <c r="Y20" i="41"/>
  <c r="Y74" i="41"/>
  <c r="Y54" i="41"/>
  <c r="Y37" i="41"/>
  <c r="Y23" i="41"/>
  <c r="Y17" i="41"/>
  <c r="Y73" i="41"/>
  <c r="Y66" i="41"/>
  <c r="Y55" i="41"/>
  <c r="Y38" i="41"/>
  <c r="Y22" i="41"/>
  <c r="Y59" i="41"/>
  <c r="Y49" i="41"/>
  <c r="Y21" i="41"/>
  <c r="AB118" i="41"/>
  <c r="AB121" i="41"/>
  <c r="AB120" i="41"/>
  <c r="AB119" i="41"/>
  <c r="AB115" i="41"/>
  <c r="AB114" i="41"/>
  <c r="AB116" i="41"/>
  <c r="AB113" i="41"/>
  <c r="AB112" i="41"/>
  <c r="AB111" i="41"/>
  <c r="AB107" i="41"/>
  <c r="AB117" i="41"/>
  <c r="AB103" i="41"/>
  <c r="AB99" i="41"/>
  <c r="AB95" i="41"/>
  <c r="AB108" i="41"/>
  <c r="AB105" i="41"/>
  <c r="AB98" i="41"/>
  <c r="AB97" i="41"/>
  <c r="AB96" i="41"/>
  <c r="AB90" i="41"/>
  <c r="AB86" i="41"/>
  <c r="AB80" i="41"/>
  <c r="AB76" i="41"/>
  <c r="AB72" i="41"/>
  <c r="AB68" i="41"/>
  <c r="AB100" i="41"/>
  <c r="AB93" i="41"/>
  <c r="AB79" i="41"/>
  <c r="AB78" i="41"/>
  <c r="AB77" i="41"/>
  <c r="AB110" i="41"/>
  <c r="AB106" i="41"/>
  <c r="AB104" i="41"/>
  <c r="AB101" i="41"/>
  <c r="AB94" i="41"/>
  <c r="AB109" i="41"/>
  <c r="AB92" i="41"/>
  <c r="AB91" i="41"/>
  <c r="AB88" i="41"/>
  <c r="AB85" i="41"/>
  <c r="AB69" i="41"/>
  <c r="AB66" i="41"/>
  <c r="AB89" i="41"/>
  <c r="AB73" i="41"/>
  <c r="AB70" i="41"/>
  <c r="AB67" i="41"/>
  <c r="AB71" i="41"/>
  <c r="AB65" i="41"/>
  <c r="AB59" i="41"/>
  <c r="AB54" i="41"/>
  <c r="AB49" i="41"/>
  <c r="AB37" i="41"/>
  <c r="AB87" i="41"/>
  <c r="AB62" i="41"/>
  <c r="AB57" i="41"/>
  <c r="AB52" i="41"/>
  <c r="AB44" i="41"/>
  <c r="AB34" i="41"/>
  <c r="AB25" i="41"/>
  <c r="AB102" i="41"/>
  <c r="AB81" i="41"/>
  <c r="AB74" i="41"/>
  <c r="AB61" i="41"/>
  <c r="AB51" i="41"/>
  <c r="AB36" i="41"/>
  <c r="AB21" i="41"/>
  <c r="AB20" i="41"/>
  <c r="AB56" i="41"/>
  <c r="AB41" i="41"/>
  <c r="AB60" i="41"/>
  <c r="AB50" i="41"/>
  <c r="AB55" i="41"/>
  <c r="AB38" i="41"/>
  <c r="AB27" i="41"/>
  <c r="AB19" i="41"/>
  <c r="AB33" i="41"/>
  <c r="AB23" i="41"/>
  <c r="AB17" i="41"/>
  <c r="AB75" i="41"/>
  <c r="AB35" i="41"/>
  <c r="AB22" i="41"/>
  <c r="AC121" i="41"/>
  <c r="AC120" i="41"/>
  <c r="AC119" i="41"/>
  <c r="AC117" i="41"/>
  <c r="AC114" i="41"/>
  <c r="AC116" i="41"/>
  <c r="AC115" i="41"/>
  <c r="AC113" i="41"/>
  <c r="AC118" i="41"/>
  <c r="AC112" i="41"/>
  <c r="AC110" i="41"/>
  <c r="AC106" i="41"/>
  <c r="AC102" i="41"/>
  <c r="AC98" i="41"/>
  <c r="AC94" i="41"/>
  <c r="AC109" i="41"/>
  <c r="AC101" i="41"/>
  <c r="AC100" i="41"/>
  <c r="AC99" i="41"/>
  <c r="AC89" i="41"/>
  <c r="AC85" i="41"/>
  <c r="AC79" i="41"/>
  <c r="AC75" i="41"/>
  <c r="AC71" i="41"/>
  <c r="AC67" i="41"/>
  <c r="AC111" i="41"/>
  <c r="AC107" i="41"/>
  <c r="AC104" i="41"/>
  <c r="AC97" i="41"/>
  <c r="AC81" i="41"/>
  <c r="AC80" i="41"/>
  <c r="AC66" i="41"/>
  <c r="AC65" i="41"/>
  <c r="AC76" i="41"/>
  <c r="AC73" i="41"/>
  <c r="AC70" i="41"/>
  <c r="AC86" i="41"/>
  <c r="AC77" i="41"/>
  <c r="AC74" i="41"/>
  <c r="AC87" i="41"/>
  <c r="AC78" i="41"/>
  <c r="AC62" i="41"/>
  <c r="AC57" i="41"/>
  <c r="AC52" i="41"/>
  <c r="AC44" i="41"/>
  <c r="AC34" i="41"/>
  <c r="AC25" i="41"/>
  <c r="AC108" i="41"/>
  <c r="AC103" i="41"/>
  <c r="AC96" i="41"/>
  <c r="AC92" i="41"/>
  <c r="AC88" i="41"/>
  <c r="AC72" i="41"/>
  <c r="AC61" i="41"/>
  <c r="AC56" i="41"/>
  <c r="AC51" i="41"/>
  <c r="AC41" i="41"/>
  <c r="AC36" i="41"/>
  <c r="AC33" i="41"/>
  <c r="AC90" i="41"/>
  <c r="AC55" i="41"/>
  <c r="AC38" i="41"/>
  <c r="AC27" i="41"/>
  <c r="AC19" i="41"/>
  <c r="AC95" i="41"/>
  <c r="AC93" i="41"/>
  <c r="AC68" i="41"/>
  <c r="AC50" i="41"/>
  <c r="AC22" i="41"/>
  <c r="AC91" i="41"/>
  <c r="AC37" i="41"/>
  <c r="AC69" i="41"/>
  <c r="AC59" i="41"/>
  <c r="AC49" i="41"/>
  <c r="AC23" i="41"/>
  <c r="AC17" i="41"/>
  <c r="AC105" i="41"/>
  <c r="AC60" i="41"/>
  <c r="AC35" i="41"/>
  <c r="AC54" i="41"/>
  <c r="AC21" i="41"/>
  <c r="AC20" i="41"/>
  <c r="AE17" i="17"/>
  <c r="AF17" i="17" s="1"/>
  <c r="AG17" i="17" s="1"/>
  <c r="AE16" i="17"/>
  <c r="AF16" i="17" s="1"/>
  <c r="AG16" i="17" s="1"/>
  <c r="X16" i="17"/>
  <c r="Z16" i="17"/>
  <c r="AA16" i="17"/>
  <c r="Y16" i="17"/>
  <c r="AA107" i="17"/>
  <c r="Z107" i="17"/>
  <c r="X107" i="17"/>
  <c r="Y107" i="17"/>
  <c r="Z77" i="17"/>
  <c r="X77" i="17"/>
  <c r="Y77" i="17"/>
  <c r="AA77" i="17"/>
  <c r="Z26" i="17"/>
  <c r="Y26" i="17"/>
  <c r="X26" i="17"/>
  <c r="AA26" i="17"/>
  <c r="X80" i="17"/>
  <c r="Y80" i="17"/>
  <c r="AA80" i="17"/>
  <c r="Z80" i="17"/>
  <c r="AA101" i="17"/>
  <c r="X101" i="17"/>
  <c r="Y101" i="17"/>
  <c r="Z101" i="17"/>
  <c r="Y60" i="17"/>
  <c r="X60" i="17"/>
  <c r="AA60" i="17"/>
  <c r="Z60" i="17"/>
  <c r="Z17" i="17"/>
  <c r="AA17" i="17"/>
  <c r="Y17" i="17"/>
  <c r="X17" i="17"/>
  <c r="X91" i="17"/>
  <c r="AA91" i="17"/>
  <c r="Y91" i="17"/>
  <c r="Z91" i="17"/>
  <c r="AE12" i="17"/>
  <c r="AF12" i="17" s="1"/>
  <c r="AG12" i="17" s="1"/>
  <c r="AE10" i="17"/>
  <c r="AF10" i="17" s="1"/>
  <c r="AG10" i="17" s="1"/>
  <c r="AE15" i="17"/>
  <c r="AF15" i="17" s="1"/>
  <c r="AG15" i="17" s="1"/>
  <c r="AE14" i="17"/>
  <c r="AF14" i="17" s="1"/>
  <c r="AG14" i="17" s="1"/>
  <c r="AE11" i="17"/>
  <c r="AF11" i="17" s="1"/>
  <c r="AG11" i="17" s="1"/>
  <c r="AE13" i="17"/>
  <c r="AF13" i="17" s="1"/>
  <c r="AG13" i="17" s="1"/>
  <c r="T10" i="17"/>
  <c r="S10" i="17" s="1"/>
  <c r="Z73" i="17"/>
  <c r="X73" i="17"/>
  <c r="AA73" i="17"/>
  <c r="Y73" i="17"/>
  <c r="Y25" i="17"/>
  <c r="Z25" i="17"/>
  <c r="X25" i="17"/>
  <c r="AA25" i="17"/>
  <c r="AH63" i="41"/>
  <c r="Y50" i="17"/>
  <c r="X50" i="17"/>
  <c r="AA50" i="17"/>
  <c r="Z50" i="17"/>
  <c r="Z70" i="17"/>
  <c r="Y70" i="17"/>
  <c r="AA70" i="17"/>
  <c r="X70" i="17"/>
  <c r="Z104" i="17"/>
  <c r="X104" i="17"/>
  <c r="Y104" i="17"/>
  <c r="AA104" i="17"/>
  <c r="AA41" i="17"/>
  <c r="Y41" i="17"/>
  <c r="Z41" i="17"/>
  <c r="X41" i="17"/>
  <c r="AA40" i="17"/>
  <c r="Y40" i="17"/>
  <c r="X40" i="17"/>
  <c r="Z40" i="17"/>
  <c r="AA33" i="17"/>
  <c r="X33" i="17"/>
  <c r="Y33" i="17"/>
  <c r="Z33" i="17"/>
  <c r="AE63" i="41"/>
  <c r="Z62" i="17"/>
  <c r="Y62" i="17"/>
  <c r="AA62" i="17"/>
  <c r="X62" i="17"/>
  <c r="Y36" i="17"/>
  <c r="AA36" i="17"/>
  <c r="X36" i="17"/>
  <c r="Z36" i="17"/>
  <c r="AA95" i="17"/>
  <c r="Z95" i="17"/>
  <c r="X95" i="17"/>
  <c r="Y95" i="17"/>
  <c r="Z15" i="17"/>
  <c r="AA15" i="17"/>
  <c r="Y15" i="17"/>
  <c r="X15" i="17"/>
  <c r="AG63" i="41"/>
  <c r="Z84" i="17"/>
  <c r="X84" i="17"/>
  <c r="AA84" i="17"/>
  <c r="Y84" i="17"/>
  <c r="Y58" i="17"/>
  <c r="X58" i="17"/>
  <c r="AA58" i="17"/>
  <c r="Z58" i="17"/>
  <c r="AA31" i="17"/>
  <c r="X31" i="17"/>
  <c r="Y31" i="17"/>
  <c r="Z31" i="17"/>
  <c r="Y85" i="17"/>
  <c r="X85" i="17"/>
  <c r="Z85" i="17"/>
  <c r="AA85" i="17"/>
  <c r="AA79" i="17"/>
  <c r="Z79" i="17"/>
  <c r="X79" i="17"/>
  <c r="Y79" i="17"/>
  <c r="Y86" i="17"/>
  <c r="AA86" i="17"/>
  <c r="Z86" i="17"/>
  <c r="X86" i="17"/>
  <c r="X53" i="17"/>
  <c r="Z53" i="17"/>
  <c r="Y53" i="17"/>
  <c r="AA53" i="17"/>
  <c r="Z82" i="17"/>
  <c r="X82" i="17"/>
  <c r="Y82" i="17"/>
  <c r="AA82" i="17"/>
  <c r="Z23" i="17"/>
  <c r="X23" i="17"/>
  <c r="AA23" i="17"/>
  <c r="Y23" i="17"/>
  <c r="Z52" i="17"/>
  <c r="X52" i="17"/>
  <c r="AA52" i="17"/>
  <c r="Y52" i="17"/>
  <c r="X94" i="17"/>
  <c r="Z94" i="17"/>
  <c r="AA94" i="17"/>
  <c r="Y94" i="17"/>
  <c r="Y37" i="17"/>
  <c r="AA37" i="17"/>
  <c r="X37" i="17"/>
  <c r="Z37" i="17"/>
  <c r="Y32" i="17"/>
  <c r="X32" i="17"/>
  <c r="Z32" i="17"/>
  <c r="AA32" i="17"/>
  <c r="Y10" i="17"/>
  <c r="X10" i="17"/>
  <c r="AA10" i="17"/>
  <c r="Z10" i="17"/>
  <c r="X61" i="17"/>
  <c r="AA61" i="17"/>
  <c r="Y61" i="17"/>
  <c r="Z61" i="17"/>
  <c r="Y76" i="17"/>
  <c r="AA76" i="17"/>
  <c r="X76" i="17"/>
  <c r="Z76" i="17"/>
  <c r="Y51" i="17"/>
  <c r="Z51" i="17"/>
  <c r="X51" i="17"/>
  <c r="AA51" i="17"/>
  <c r="AF63" i="41"/>
  <c r="Y64" i="17"/>
  <c r="AA64" i="17"/>
  <c r="X64" i="17"/>
  <c r="Z64" i="17"/>
  <c r="Y105" i="17"/>
  <c r="Z105" i="17"/>
  <c r="AA105" i="17"/>
  <c r="X105" i="17"/>
  <c r="X46" i="17"/>
  <c r="Z46" i="17"/>
  <c r="Y46" i="17"/>
  <c r="AA46" i="17"/>
  <c r="Y69" i="17"/>
  <c r="X69" i="17"/>
  <c r="Z69" i="17"/>
  <c r="AA69" i="17"/>
  <c r="AA106" i="17"/>
  <c r="Z106" i="17"/>
  <c r="X106" i="17"/>
  <c r="Y106" i="17"/>
  <c r="Y18" i="17"/>
  <c r="AA18" i="17"/>
  <c r="Z18" i="17"/>
  <c r="X18" i="17"/>
  <c r="X74" i="17"/>
  <c r="Y74" i="17"/>
  <c r="AA74" i="17"/>
  <c r="Z74" i="17"/>
  <c r="Y42" i="17"/>
  <c r="X42" i="17"/>
  <c r="Z42" i="17"/>
  <c r="AA42" i="17"/>
  <c r="X13" i="17"/>
  <c r="AA13" i="17"/>
  <c r="Y13" i="17"/>
  <c r="Z13" i="17"/>
  <c r="Y27" i="17"/>
  <c r="AA27" i="17"/>
  <c r="Z27" i="17"/>
  <c r="X27" i="17"/>
  <c r="Z100" i="17"/>
  <c r="Y100" i="17"/>
  <c r="X100" i="17"/>
  <c r="AA100" i="17"/>
  <c r="AA34" i="17"/>
  <c r="Y34" i="17"/>
  <c r="Z34" i="17"/>
  <c r="X34" i="17"/>
  <c r="X99" i="17"/>
  <c r="Z99" i="17"/>
  <c r="Y99" i="17"/>
  <c r="AA99" i="17"/>
  <c r="Z75" i="17"/>
  <c r="Y75" i="17"/>
  <c r="AA75" i="17"/>
  <c r="X75" i="17"/>
  <c r="Y83" i="17"/>
  <c r="AA83" i="17"/>
  <c r="Z83" i="17"/>
  <c r="X83" i="17"/>
  <c r="Y92" i="17"/>
  <c r="AA92" i="17"/>
  <c r="Z92" i="17"/>
  <c r="X92" i="17"/>
  <c r="Z11" i="17"/>
  <c r="Y11" i="17"/>
  <c r="X11" i="17"/>
  <c r="AA11" i="17"/>
  <c r="X14" i="17"/>
  <c r="Y14" i="17"/>
  <c r="AA14" i="17"/>
  <c r="Z14" i="17"/>
  <c r="Z29" i="17"/>
  <c r="AA29" i="17"/>
  <c r="X29" i="17"/>
  <c r="Y29" i="17"/>
  <c r="AA108" i="17"/>
  <c r="Y108" i="17"/>
  <c r="X108" i="17"/>
  <c r="Z108" i="17"/>
  <c r="AA78" i="17"/>
  <c r="X78" i="17"/>
  <c r="Y78" i="17"/>
  <c r="Z78" i="17"/>
  <c r="AA93" i="17"/>
  <c r="X93" i="17"/>
  <c r="Z93" i="17"/>
  <c r="Y93" i="17"/>
  <c r="X66" i="17"/>
  <c r="AA66" i="17"/>
  <c r="Z66" i="17"/>
  <c r="Y66" i="17"/>
  <c r="Z12" i="17"/>
  <c r="Y12" i="17"/>
  <c r="AA12" i="17"/>
  <c r="X12" i="17"/>
  <c r="X30" i="17"/>
  <c r="Y30" i="17"/>
  <c r="AA30" i="17"/>
  <c r="Z30" i="17"/>
  <c r="X35" i="17"/>
  <c r="AA35" i="17"/>
  <c r="Y35" i="17"/>
  <c r="Z35" i="17"/>
  <c r="Z38" i="17"/>
  <c r="AA38" i="17"/>
  <c r="X38" i="17"/>
  <c r="Y38" i="17"/>
  <c r="Y87" i="17"/>
  <c r="AA87" i="17"/>
  <c r="Z87" i="17"/>
  <c r="X87" i="17"/>
  <c r="AA22" i="17"/>
  <c r="Z22" i="17"/>
  <c r="X22" i="17"/>
  <c r="Y22" i="17"/>
  <c r="Y43" i="17"/>
  <c r="Z43" i="17"/>
  <c r="X43" i="17"/>
  <c r="AA43" i="17"/>
  <c r="AA89" i="17"/>
  <c r="Y89" i="17"/>
  <c r="Z89" i="17"/>
  <c r="X89" i="17"/>
  <c r="Z48" i="17"/>
  <c r="AA48" i="17"/>
  <c r="Y48" i="17"/>
  <c r="X48" i="17"/>
  <c r="Y59" i="17"/>
  <c r="AA59" i="17"/>
  <c r="Z59" i="17"/>
  <c r="X59" i="17"/>
  <c r="Y98" i="17"/>
  <c r="Z98" i="17"/>
  <c r="AA98" i="17"/>
  <c r="X98" i="17"/>
  <c r="Z47" i="17"/>
  <c r="X47" i="17"/>
  <c r="Y47" i="17"/>
  <c r="AA47" i="17"/>
  <c r="Y71" i="17"/>
  <c r="Z71" i="17"/>
  <c r="X71" i="17"/>
  <c r="AA71" i="17"/>
  <c r="AA96" i="17"/>
  <c r="Z96" i="17"/>
  <c r="X96" i="17"/>
  <c r="Y96" i="17"/>
  <c r="Z57" i="17"/>
  <c r="AA57" i="17"/>
  <c r="Y57" i="17"/>
  <c r="X57" i="17"/>
  <c r="Z81" i="17"/>
  <c r="AA81" i="17"/>
  <c r="Y81" i="17"/>
  <c r="X81" i="17"/>
  <c r="Y24" i="17"/>
  <c r="AA24" i="17"/>
  <c r="Z24" i="17"/>
  <c r="X24" i="17"/>
  <c r="AD63" i="41"/>
  <c r="AA44" i="17"/>
  <c r="Y44" i="17"/>
  <c r="Z44" i="17"/>
  <c r="X44" i="17"/>
  <c r="Z72" i="17"/>
  <c r="X72" i="17"/>
  <c r="Y72" i="17"/>
  <c r="AA72" i="17"/>
  <c r="Y63" i="17"/>
  <c r="Z63" i="17"/>
  <c r="AA63" i="17"/>
  <c r="X63" i="17"/>
  <c r="X68" i="17"/>
  <c r="Z68" i="17"/>
  <c r="Y68" i="17"/>
  <c r="AA68" i="17"/>
  <c r="Z55" i="17"/>
  <c r="Y55" i="17"/>
  <c r="AA55" i="17"/>
  <c r="X55" i="17"/>
  <c r="Y103" i="17"/>
  <c r="Z103" i="17"/>
  <c r="X103" i="17"/>
  <c r="AA103" i="17"/>
  <c r="AA88" i="17"/>
  <c r="Y88" i="17"/>
  <c r="Z88" i="17"/>
  <c r="X88" i="17"/>
  <c r="Z56" i="17"/>
  <c r="Y56" i="17"/>
  <c r="AA56" i="17"/>
  <c r="X56" i="17"/>
  <c r="Z97" i="17"/>
  <c r="Y97" i="17"/>
  <c r="AA97" i="17"/>
  <c r="X97" i="17"/>
  <c r="Y90" i="17"/>
  <c r="Z90" i="17"/>
  <c r="X90" i="17"/>
  <c r="AA90" i="17"/>
  <c r="AA65" i="17"/>
  <c r="Z65" i="17"/>
  <c r="X65" i="17"/>
  <c r="Y65" i="17"/>
  <c r="AA102" i="17"/>
  <c r="Z102" i="17"/>
  <c r="X102" i="17"/>
  <c r="Y102" i="17"/>
  <c r="AA54" i="17"/>
  <c r="Z54" i="17"/>
  <c r="X54" i="17"/>
  <c r="Y54" i="17"/>
  <c r="AA39" i="17"/>
  <c r="Y39" i="17"/>
  <c r="X39" i="17"/>
  <c r="Z39" i="17"/>
  <c r="Z49" i="17"/>
  <c r="AA49" i="17"/>
  <c r="X49" i="17"/>
  <c r="Y49" i="17"/>
  <c r="Z19" i="17"/>
  <c r="X19" i="17"/>
  <c r="AA19" i="17"/>
  <c r="Y19" i="17"/>
  <c r="Y28" i="17"/>
  <c r="AA28" i="17"/>
  <c r="X28" i="17"/>
  <c r="Z28" i="17"/>
  <c r="AA109" i="17"/>
  <c r="Z109" i="17"/>
  <c r="Y109" i="17"/>
  <c r="X109" i="17"/>
  <c r="AA21" i="17"/>
  <c r="Y21" i="17"/>
  <c r="Z21" i="17"/>
  <c r="X21" i="17"/>
  <c r="Y20" i="17"/>
  <c r="AA20" i="17"/>
  <c r="Z20" i="17"/>
  <c r="X20" i="17"/>
  <c r="AA67" i="17"/>
  <c r="Z67" i="17"/>
  <c r="Y67" i="17"/>
  <c r="X67" i="17"/>
  <c r="Y45" i="17"/>
  <c r="Z45" i="17"/>
  <c r="AA45" i="17"/>
  <c r="X45" i="17"/>
  <c r="AG64" i="41" l="1"/>
  <c r="AE64" i="41"/>
  <c r="AH64" i="41"/>
  <c r="AF64" i="41"/>
  <c r="AD64" i="41"/>
  <c r="AE119" i="41"/>
  <c r="AE118" i="41"/>
  <c r="AE121" i="41"/>
  <c r="AE117" i="41"/>
  <c r="AE116" i="41"/>
  <c r="AE114" i="41"/>
  <c r="AE113" i="41"/>
  <c r="AE108" i="41"/>
  <c r="AE107" i="41"/>
  <c r="AE106" i="41"/>
  <c r="AE105" i="41"/>
  <c r="AE104" i="41"/>
  <c r="AE100" i="41"/>
  <c r="AE96" i="41"/>
  <c r="AE92" i="41"/>
  <c r="AE115" i="41"/>
  <c r="AE110" i="41"/>
  <c r="AE91" i="41"/>
  <c r="AE87" i="41"/>
  <c r="AE81" i="41"/>
  <c r="AE77" i="41"/>
  <c r="AE73" i="41"/>
  <c r="AE69" i="41"/>
  <c r="AE65" i="41"/>
  <c r="AE101" i="41"/>
  <c r="AE98" i="41"/>
  <c r="AE95" i="41"/>
  <c r="AE90" i="41"/>
  <c r="AE89" i="41"/>
  <c r="AE88" i="41"/>
  <c r="AE72" i="41"/>
  <c r="AE71" i="41"/>
  <c r="AE70" i="41"/>
  <c r="AE120" i="41"/>
  <c r="AE112" i="41"/>
  <c r="AE109" i="41"/>
  <c r="AE102" i="41"/>
  <c r="AE99" i="41"/>
  <c r="AE86" i="41"/>
  <c r="AE74" i="41"/>
  <c r="AE67" i="41"/>
  <c r="AE94" i="41"/>
  <c r="AE93" i="41"/>
  <c r="AE78" i="41"/>
  <c r="AE75" i="41"/>
  <c r="AE68" i="41"/>
  <c r="AE103" i="41"/>
  <c r="AE79" i="41"/>
  <c r="AE60" i="41"/>
  <c r="AE55" i="41"/>
  <c r="AE50" i="41"/>
  <c r="AE38" i="41"/>
  <c r="AE35" i="41"/>
  <c r="AE27" i="41"/>
  <c r="AE80" i="41"/>
  <c r="AE66" i="41"/>
  <c r="AE59" i="41"/>
  <c r="AE54" i="41"/>
  <c r="AE49" i="41"/>
  <c r="AE37" i="41"/>
  <c r="AE111" i="41"/>
  <c r="AE76" i="41"/>
  <c r="AE62" i="41"/>
  <c r="AE52" i="41"/>
  <c r="AE25" i="41"/>
  <c r="AE22" i="41"/>
  <c r="AE19" i="41"/>
  <c r="AE17" i="41"/>
  <c r="AE97" i="41"/>
  <c r="AE85" i="41"/>
  <c r="AE56" i="41"/>
  <c r="AE41" i="41"/>
  <c r="AE33" i="41"/>
  <c r="AE21" i="41"/>
  <c r="AE20" i="41"/>
  <c r="AE57" i="41"/>
  <c r="AE44" i="41"/>
  <c r="AE34" i="41"/>
  <c r="AE61" i="41"/>
  <c r="AE51" i="41"/>
  <c r="AE36" i="41"/>
  <c r="AE23" i="41"/>
  <c r="AH120" i="41"/>
  <c r="AH119" i="41"/>
  <c r="AH118" i="41"/>
  <c r="AH121" i="41"/>
  <c r="AH117" i="41"/>
  <c r="AH116" i="41"/>
  <c r="AH115" i="41"/>
  <c r="AH114" i="41"/>
  <c r="AH112" i="41"/>
  <c r="AH109" i="41"/>
  <c r="AH105" i="41"/>
  <c r="AH113" i="41"/>
  <c r="AH101" i="41"/>
  <c r="AH97" i="41"/>
  <c r="AH93" i="41"/>
  <c r="AH111" i="41"/>
  <c r="AH108" i="41"/>
  <c r="AH100" i="41"/>
  <c r="AH99" i="41"/>
  <c r="AH98" i="41"/>
  <c r="AH88" i="41"/>
  <c r="AH78" i="41"/>
  <c r="AH74" i="41"/>
  <c r="AH70" i="41"/>
  <c r="AH66" i="41"/>
  <c r="AH103" i="41"/>
  <c r="AH96" i="41"/>
  <c r="AH81" i="41"/>
  <c r="AH80" i="41"/>
  <c r="AH79" i="41"/>
  <c r="AH65" i="41"/>
  <c r="AH104" i="41"/>
  <c r="AH107" i="41"/>
  <c r="AH94" i="41"/>
  <c r="AH91" i="41"/>
  <c r="AH75" i="41"/>
  <c r="AH72" i="41"/>
  <c r="AH69" i="41"/>
  <c r="AH110" i="41"/>
  <c r="AH102" i="41"/>
  <c r="AH95" i="41"/>
  <c r="AH92" i="41"/>
  <c r="AH85" i="41"/>
  <c r="AH76" i="41"/>
  <c r="AH73" i="41"/>
  <c r="AH89" i="41"/>
  <c r="AH67" i="41"/>
  <c r="AH61" i="41"/>
  <c r="AH56" i="41"/>
  <c r="AH51" i="41"/>
  <c r="AH41" i="41"/>
  <c r="AH36" i="41"/>
  <c r="AH33" i="41"/>
  <c r="AH90" i="41"/>
  <c r="AH68" i="41"/>
  <c r="AH60" i="41"/>
  <c r="AH55" i="41"/>
  <c r="AH50" i="41"/>
  <c r="AH38" i="41"/>
  <c r="AH35" i="41"/>
  <c r="AH27" i="41"/>
  <c r="AH54" i="41"/>
  <c r="AH37" i="41"/>
  <c r="AH23" i="41"/>
  <c r="AH17" i="41"/>
  <c r="AH86" i="41"/>
  <c r="AH77" i="41"/>
  <c r="AH49" i="41"/>
  <c r="AH20" i="41"/>
  <c r="AH25" i="41"/>
  <c r="AH19" i="41"/>
  <c r="AH87" i="41"/>
  <c r="AH71" i="41"/>
  <c r="AH57" i="41"/>
  <c r="AH44" i="41"/>
  <c r="AH34" i="41"/>
  <c r="AH22" i="41"/>
  <c r="AH59" i="41"/>
  <c r="AH21" i="41"/>
  <c r="AH106" i="41"/>
  <c r="AH62" i="41"/>
  <c r="AH52" i="41"/>
  <c r="AD120" i="41"/>
  <c r="AD119" i="41"/>
  <c r="AD118" i="41"/>
  <c r="AD121" i="41"/>
  <c r="AD112" i="41"/>
  <c r="AD117" i="41"/>
  <c r="AD109" i="41"/>
  <c r="AD105" i="41"/>
  <c r="AD116" i="41"/>
  <c r="AD114" i="41"/>
  <c r="AD101" i="41"/>
  <c r="AD97" i="41"/>
  <c r="AD93" i="41"/>
  <c r="AD106" i="41"/>
  <c r="AD104" i="41"/>
  <c r="AD103" i="41"/>
  <c r="AD102" i="41"/>
  <c r="AD88" i="41"/>
  <c r="AD78" i="41"/>
  <c r="AD74" i="41"/>
  <c r="AD70" i="41"/>
  <c r="AD66" i="41"/>
  <c r="AD110" i="41"/>
  <c r="AD94" i="41"/>
  <c r="AD87" i="41"/>
  <c r="AD86" i="41"/>
  <c r="AD85" i="41"/>
  <c r="AD69" i="41"/>
  <c r="AD68" i="41"/>
  <c r="AD67" i="41"/>
  <c r="AD115" i="41"/>
  <c r="AD98" i="41"/>
  <c r="AD95" i="41"/>
  <c r="AD99" i="41"/>
  <c r="AD89" i="41"/>
  <c r="AD80" i="41"/>
  <c r="AD77" i="41"/>
  <c r="AD107" i="41"/>
  <c r="AD100" i="41"/>
  <c r="AD90" i="41"/>
  <c r="AD81" i="41"/>
  <c r="AD71" i="41"/>
  <c r="AD113" i="41"/>
  <c r="AD108" i="41"/>
  <c r="AD96" i="41"/>
  <c r="AD92" i="41"/>
  <c r="AD72" i="41"/>
  <c r="AD61" i="41"/>
  <c r="AD56" i="41"/>
  <c r="AD51" i="41"/>
  <c r="AD41" i="41"/>
  <c r="AD36" i="41"/>
  <c r="AD33" i="41"/>
  <c r="AD79" i="41"/>
  <c r="AD73" i="41"/>
  <c r="AD60" i="41"/>
  <c r="AD55" i="41"/>
  <c r="AD50" i="41"/>
  <c r="AD38" i="41"/>
  <c r="AD35" i="41"/>
  <c r="AD27" i="41"/>
  <c r="AD59" i="41"/>
  <c r="AD49" i="41"/>
  <c r="AD23" i="41"/>
  <c r="AD17" i="41"/>
  <c r="AD37" i="41"/>
  <c r="AD21" i="41"/>
  <c r="AD65" i="41"/>
  <c r="AD111" i="41"/>
  <c r="AD76" i="41"/>
  <c r="AD62" i="41"/>
  <c r="AD52" i="41"/>
  <c r="AD25" i="41"/>
  <c r="AD22" i="41"/>
  <c r="AD91" i="41"/>
  <c r="AD75" i="41"/>
  <c r="AD54" i="41"/>
  <c r="AD20" i="41"/>
  <c r="AD57" i="41"/>
  <c r="AD44" i="41"/>
  <c r="AD34" i="41"/>
  <c r="AD19" i="41"/>
  <c r="AG121" i="41"/>
  <c r="AG120" i="41"/>
  <c r="AG119" i="41"/>
  <c r="AG118" i="41"/>
  <c r="AG114" i="41"/>
  <c r="AG117" i="41"/>
  <c r="AG113" i="41"/>
  <c r="AG116" i="41"/>
  <c r="AG115" i="41"/>
  <c r="AG112" i="41"/>
  <c r="AG110" i="41"/>
  <c r="AG106" i="41"/>
  <c r="AG111" i="41"/>
  <c r="AG102" i="41"/>
  <c r="AG98" i="41"/>
  <c r="AG94" i="41"/>
  <c r="AG107" i="41"/>
  <c r="AG97" i="41"/>
  <c r="AG96" i="41"/>
  <c r="AG95" i="41"/>
  <c r="AG89" i="41"/>
  <c r="AG85" i="41"/>
  <c r="AG79" i="41"/>
  <c r="AG75" i="41"/>
  <c r="AG71" i="41"/>
  <c r="AG67" i="41"/>
  <c r="AG109" i="41"/>
  <c r="AG105" i="41"/>
  <c r="AG99" i="41"/>
  <c r="AG92" i="41"/>
  <c r="AG78" i="41"/>
  <c r="AG77" i="41"/>
  <c r="AG76" i="41"/>
  <c r="AG108" i="41"/>
  <c r="AG103" i="41"/>
  <c r="AG100" i="41"/>
  <c r="AG101" i="41"/>
  <c r="AG93" i="41"/>
  <c r="AG90" i="41"/>
  <c r="AG87" i="41"/>
  <c r="AG68" i="41"/>
  <c r="AG91" i="41"/>
  <c r="AG88" i="41"/>
  <c r="AG72" i="41"/>
  <c r="AG69" i="41"/>
  <c r="AG66" i="41"/>
  <c r="AG80" i="41"/>
  <c r="AG73" i="41"/>
  <c r="AG62" i="41"/>
  <c r="AG57" i="41"/>
  <c r="AG52" i="41"/>
  <c r="AG44" i="41"/>
  <c r="AG34" i="41"/>
  <c r="AG25" i="41"/>
  <c r="AG81" i="41"/>
  <c r="AG74" i="41"/>
  <c r="AG61" i="41"/>
  <c r="AG56" i="41"/>
  <c r="AG51" i="41"/>
  <c r="AG41" i="41"/>
  <c r="AG36" i="41"/>
  <c r="AG33" i="41"/>
  <c r="AG60" i="41"/>
  <c r="AG50" i="41"/>
  <c r="AG35" i="41"/>
  <c r="AG19" i="41"/>
  <c r="AG70" i="41"/>
  <c r="AG55" i="41"/>
  <c r="AG59" i="41"/>
  <c r="AG49" i="41"/>
  <c r="AG21" i="41"/>
  <c r="AG54" i="41"/>
  <c r="AG37" i="41"/>
  <c r="AG23" i="41"/>
  <c r="AG17" i="41"/>
  <c r="AG104" i="41"/>
  <c r="AG65" i="41"/>
  <c r="AG38" i="41"/>
  <c r="AG27" i="41"/>
  <c r="AG22" i="41"/>
  <c r="AG86" i="41"/>
  <c r="AG20" i="41"/>
  <c r="AF118" i="41"/>
  <c r="AF121" i="41"/>
  <c r="AF120" i="41"/>
  <c r="AF115" i="41"/>
  <c r="AF119" i="41"/>
  <c r="AF117" i="41"/>
  <c r="AF114" i="41"/>
  <c r="AF113" i="41"/>
  <c r="AF116" i="41"/>
  <c r="AF111" i="41"/>
  <c r="AF107" i="41"/>
  <c r="AF110" i="41"/>
  <c r="AF109" i="41"/>
  <c r="AF108" i="41"/>
  <c r="AF103" i="41"/>
  <c r="AF99" i="41"/>
  <c r="AF95" i="41"/>
  <c r="AF94" i="41"/>
  <c r="AF93" i="41"/>
  <c r="AF92" i="41"/>
  <c r="AF90" i="41"/>
  <c r="AF86" i="41"/>
  <c r="AF80" i="41"/>
  <c r="AF76" i="41"/>
  <c r="AF72" i="41"/>
  <c r="AF68" i="41"/>
  <c r="AF112" i="41"/>
  <c r="AF106" i="41"/>
  <c r="AF102" i="41"/>
  <c r="AF91" i="41"/>
  <c r="AF75" i="41"/>
  <c r="AF74" i="41"/>
  <c r="AF73" i="41"/>
  <c r="AF105" i="41"/>
  <c r="AF96" i="41"/>
  <c r="AF100" i="41"/>
  <c r="AF81" i="41"/>
  <c r="AF78" i="41"/>
  <c r="AF71" i="41"/>
  <c r="AF101" i="41"/>
  <c r="AF87" i="41"/>
  <c r="AF79" i="41"/>
  <c r="AF65" i="41"/>
  <c r="AF88" i="41"/>
  <c r="AF66" i="41"/>
  <c r="AF59" i="41"/>
  <c r="AF54" i="41"/>
  <c r="AF49" i="41"/>
  <c r="AF37" i="41"/>
  <c r="AF98" i="41"/>
  <c r="AF89" i="41"/>
  <c r="AF67" i="41"/>
  <c r="AF62" i="41"/>
  <c r="AF57" i="41"/>
  <c r="AF52" i="41"/>
  <c r="AF44" i="41"/>
  <c r="AF34" i="41"/>
  <c r="AF25" i="41"/>
  <c r="AF97" i="41"/>
  <c r="AF85" i="41"/>
  <c r="AF69" i="41"/>
  <c r="AF56" i="41"/>
  <c r="AF41" i="41"/>
  <c r="AF33" i="41"/>
  <c r="AF21" i="41"/>
  <c r="AF20" i="41"/>
  <c r="AF61" i="41"/>
  <c r="AF51" i="41"/>
  <c r="AF36" i="41"/>
  <c r="AF23" i="41"/>
  <c r="AF17" i="41"/>
  <c r="AF55" i="41"/>
  <c r="AF38" i="41"/>
  <c r="AF27" i="41"/>
  <c r="AF22" i="41"/>
  <c r="AF60" i="41"/>
  <c r="AF50" i="41"/>
  <c r="AF35" i="41"/>
  <c r="AF19" i="41"/>
  <c r="AF104" i="41"/>
  <c r="AF77" i="41"/>
  <c r="AF70" i="41"/>
  <c r="AK63" i="41"/>
  <c r="AO18" i="17"/>
  <c r="AL82" i="17"/>
  <c r="AM82" i="17" s="1"/>
  <c r="AQ102" i="17"/>
  <c r="AQ40" i="17"/>
  <c r="AL29" i="17"/>
  <c r="AM29" i="17" s="1"/>
  <c r="AL84" i="17"/>
  <c r="AM84" i="17" s="1"/>
  <c r="AO100" i="17"/>
  <c r="AR105" i="17"/>
  <c r="AR56" i="17"/>
  <c r="AR104" i="17"/>
  <c r="AQ70" i="17"/>
  <c r="AL68" i="17"/>
  <c r="AM68" i="17" s="1"/>
  <c r="AR40" i="17"/>
  <c r="AL88" i="17"/>
  <c r="AM88" i="17" s="1"/>
  <c r="AO45" i="17"/>
  <c r="AO10" i="17"/>
  <c r="AP107" i="17"/>
  <c r="AL46" i="17"/>
  <c r="AM46" i="17" s="1"/>
  <c r="AP11" i="17"/>
  <c r="AL38" i="17"/>
  <c r="AM38" i="17" s="1"/>
  <c r="AO66" i="17"/>
  <c r="AO91" i="17"/>
  <c r="AQ19" i="17"/>
  <c r="AP97" i="17"/>
  <c r="AQ38" i="17"/>
  <c r="AP101" i="17"/>
  <c r="AQ62" i="17"/>
  <c r="AQ69" i="17"/>
  <c r="AO64" i="17"/>
  <c r="AR61" i="17"/>
  <c r="AO68" i="17"/>
  <c r="AR73" i="17"/>
  <c r="AL59" i="17"/>
  <c r="AM59" i="17" s="1"/>
  <c r="AR32" i="17"/>
  <c r="AO21" i="17"/>
  <c r="AP81" i="17"/>
  <c r="AO40" i="17"/>
  <c r="AQ73" i="17"/>
  <c r="AO32" i="17"/>
  <c r="AR29" i="17"/>
  <c r="AO36" i="17"/>
  <c r="AO75" i="17"/>
  <c r="AO24" i="17"/>
  <c r="AR21" i="17"/>
  <c r="AO28" i="17"/>
  <c r="AR33" i="17"/>
  <c r="AP39" i="17"/>
  <c r="AL76" i="17"/>
  <c r="AM76" i="17" s="1"/>
  <c r="AO16" i="17"/>
  <c r="AR13" i="17"/>
  <c r="AO20" i="17"/>
  <c r="AR25" i="17"/>
  <c r="AP88" i="17"/>
  <c r="AL71" i="17"/>
  <c r="AM71" i="17" s="1"/>
  <c r="AR48" i="17"/>
  <c r="AO19" i="17"/>
  <c r="AP62" i="17"/>
  <c r="AP42" i="17"/>
  <c r="AR16" i="17"/>
  <c r="AL73" i="17"/>
  <c r="AM73" i="17" s="1"/>
  <c r="AR58" i="17"/>
  <c r="AL90" i="17"/>
  <c r="AM90" i="17" s="1"/>
  <c r="AP50" i="17"/>
  <c r="AL40" i="17"/>
  <c r="AM40" i="17" s="1"/>
  <c r="AQ45" i="17"/>
  <c r="AR70" i="17"/>
  <c r="AP58" i="17"/>
  <c r="AQ76" i="17"/>
  <c r="AR91" i="17"/>
  <c r="AO87" i="17"/>
  <c r="AL61" i="17"/>
  <c r="AM61" i="17" s="1"/>
  <c r="AL65" i="17"/>
  <c r="AM65" i="17" s="1"/>
  <c r="AP60" i="17"/>
  <c r="AP75" i="17"/>
  <c r="AR88" i="17"/>
  <c r="AP13" i="17"/>
  <c r="AL107" i="17"/>
  <c r="AM107" i="17" s="1"/>
  <c r="AL51" i="17"/>
  <c r="AM51" i="17" s="1"/>
  <c r="AQ72" i="17"/>
  <c r="AQ31" i="17"/>
  <c r="AQ104" i="17"/>
  <c r="AR107" i="17"/>
  <c r="AR76" i="17"/>
  <c r="AR11" i="17"/>
  <c r="AL109" i="17"/>
  <c r="AM109" i="17" s="1"/>
  <c r="AL33" i="17"/>
  <c r="AM33" i="17" s="1"/>
  <c r="AO62" i="17"/>
  <c r="AQ42" i="17"/>
  <c r="AO81" i="17"/>
  <c r="AP84" i="17"/>
  <c r="AQ21" i="17"/>
  <c r="AO65" i="17"/>
  <c r="AL98" i="17"/>
  <c r="AM98" i="17" s="1"/>
  <c r="AQ67" i="17"/>
  <c r="AL72" i="17"/>
  <c r="AM72" i="17" s="1"/>
  <c r="AO60" i="17"/>
  <c r="AO56" i="17"/>
  <c r="AP72" i="17"/>
  <c r="AQ71" i="17"/>
  <c r="AP18" i="17"/>
  <c r="AR10" i="17"/>
  <c r="AR67" i="17"/>
  <c r="AR83" i="17"/>
  <c r="AQ83" i="17"/>
  <c r="AR75" i="17"/>
  <c r="AO55" i="17"/>
  <c r="AO98" i="17"/>
  <c r="AR46" i="17"/>
  <c r="AR103" i="17"/>
  <c r="AQ99" i="17"/>
  <c r="AQ59" i="17"/>
  <c r="AQ98" i="17"/>
  <c r="AR92" i="17"/>
  <c r="AR94" i="17"/>
  <c r="AP79" i="17"/>
  <c r="AR38" i="17"/>
  <c r="AL27" i="17"/>
  <c r="AM27" i="17" s="1"/>
  <c r="AO29" i="17"/>
  <c r="AQ85" i="17"/>
  <c r="AQ25" i="17"/>
  <c r="AQ80" i="17"/>
  <c r="AP76" i="17"/>
  <c r="AP83" i="17"/>
  <c r="AO99" i="17"/>
  <c r="AP21" i="17"/>
  <c r="AP17" i="17"/>
  <c r="AL92" i="17"/>
  <c r="AM92" i="17" s="1"/>
  <c r="AR54" i="17"/>
  <c r="AR30" i="17"/>
  <c r="AL20" i="17"/>
  <c r="AM20" i="17" s="1"/>
  <c r="AP30" i="17"/>
  <c r="AQ49" i="17"/>
  <c r="AP108" i="17"/>
  <c r="AP80" i="17"/>
  <c r="AR59" i="17"/>
  <c r="AL12" i="17"/>
  <c r="AM12" i="17" s="1"/>
  <c r="AR36" i="17"/>
  <c r="AR57" i="17"/>
  <c r="AR45" i="17"/>
  <c r="AO51" i="17"/>
  <c r="AO107" i="17"/>
  <c r="AQ32" i="17"/>
  <c r="AL26" i="17"/>
  <c r="AM26" i="17" s="1"/>
  <c r="AR43" i="17"/>
  <c r="AL64" i="17"/>
  <c r="AM64" i="17" s="1"/>
  <c r="AQ86" i="17"/>
  <c r="AL31" i="17"/>
  <c r="AM31" i="17" s="1"/>
  <c r="AP59" i="17"/>
  <c r="AQ84" i="17"/>
  <c r="AQ94" i="17"/>
  <c r="AL36" i="17"/>
  <c r="AM36" i="17" s="1"/>
  <c r="AO105" i="17"/>
  <c r="AP105" i="17"/>
  <c r="AQ54" i="17"/>
  <c r="AP109" i="17"/>
  <c r="AQ78" i="17"/>
  <c r="AQ101" i="17"/>
  <c r="AP24" i="17"/>
  <c r="AR96" i="17"/>
  <c r="AO37" i="17"/>
  <c r="AL32" i="17"/>
  <c r="AM32" i="17" s="1"/>
  <c r="AQ36" i="17"/>
  <c r="AQ35" i="17"/>
  <c r="AR71" i="17"/>
  <c r="AR37" i="17"/>
  <c r="AO44" i="17"/>
  <c r="AR41" i="17"/>
  <c r="AP104" i="17"/>
  <c r="AP68" i="17"/>
  <c r="AQ93" i="17"/>
  <c r="AP52" i="17"/>
  <c r="AQ91" i="17"/>
  <c r="AL94" i="17"/>
  <c r="AM94" i="17" s="1"/>
  <c r="AO101" i="17"/>
  <c r="AO43" i="17"/>
  <c r="AP31" i="17"/>
  <c r="AQ108" i="17"/>
  <c r="AR98" i="17"/>
  <c r="AR31" i="17"/>
  <c r="AL70" i="17"/>
  <c r="AM70" i="17" s="1"/>
  <c r="AQ58" i="17"/>
  <c r="AO54" i="17"/>
  <c r="AR90" i="17"/>
  <c r="AR99" i="17"/>
  <c r="AP94" i="17"/>
  <c r="AO83" i="17"/>
  <c r="AL10" i="17"/>
  <c r="AR62" i="17"/>
  <c r="AL80" i="17"/>
  <c r="AM80" i="17" s="1"/>
  <c r="AO71" i="17"/>
  <c r="AP44" i="17"/>
  <c r="AO67" i="17"/>
  <c r="AL34" i="17"/>
  <c r="AM34" i="17" s="1"/>
  <c r="AL75" i="17"/>
  <c r="AM75" i="17" s="1"/>
  <c r="AQ89" i="17"/>
  <c r="AQ96" i="17"/>
  <c r="AQ43" i="17"/>
  <c r="AP70" i="17"/>
  <c r="AO34" i="17"/>
  <c r="AO26" i="17"/>
  <c r="AP23" i="17"/>
  <c r="AQ53" i="17"/>
  <c r="AL89" i="17"/>
  <c r="AM89" i="17" s="1"/>
  <c r="AO94" i="17"/>
  <c r="AR42" i="17"/>
  <c r="AR51" i="17"/>
  <c r="AP46" i="17"/>
  <c r="AL56" i="17"/>
  <c r="AM56" i="17" s="1"/>
  <c r="AL23" i="17"/>
  <c r="AM23" i="17" s="1"/>
  <c r="AP95" i="17"/>
  <c r="AQ14" i="17"/>
  <c r="AL11" i="17"/>
  <c r="AM11" i="17" s="1"/>
  <c r="AR52" i="17"/>
  <c r="AL86" i="17"/>
  <c r="AM86" i="17" s="1"/>
  <c r="AL103" i="17"/>
  <c r="AM103" i="17" s="1"/>
  <c r="AP102" i="17"/>
  <c r="AQ10" i="17"/>
  <c r="AP28" i="17"/>
  <c r="AR78" i="17"/>
  <c r="AL77" i="17"/>
  <c r="AM77" i="17" s="1"/>
  <c r="AP67" i="17"/>
  <c r="AL49" i="17"/>
  <c r="AM49" i="17" s="1"/>
  <c r="AQ56" i="17"/>
  <c r="AL105" i="17"/>
  <c r="AM105" i="17" s="1"/>
  <c r="AP25" i="17"/>
  <c r="AL81" i="17"/>
  <c r="AM81" i="17" s="1"/>
  <c r="AP22" i="17"/>
  <c r="AR106" i="17"/>
  <c r="AL85" i="17"/>
  <c r="AM85" i="17" s="1"/>
  <c r="AO23" i="17"/>
  <c r="AO74" i="17"/>
  <c r="AR27" i="17"/>
  <c r="AR63" i="17"/>
  <c r="AP26" i="17"/>
  <c r="AR60" i="17"/>
  <c r="AQ12" i="17"/>
  <c r="AR79" i="17"/>
  <c r="AL93" i="17"/>
  <c r="AM93" i="17" s="1"/>
  <c r="AR64" i="17"/>
  <c r="AQ33" i="17"/>
  <c r="AP63" i="17"/>
  <c r="AP85" i="17"/>
  <c r="AL41" i="17"/>
  <c r="AM41" i="17" s="1"/>
  <c r="AQ50" i="17"/>
  <c r="AO104" i="17"/>
  <c r="AR101" i="17"/>
  <c r="AO108" i="17"/>
  <c r="AQ64" i="17"/>
  <c r="AP10" i="17"/>
  <c r="AQ48" i="17"/>
  <c r="AP40" i="17"/>
  <c r="AL43" i="17"/>
  <c r="AM43" i="17" s="1"/>
  <c r="AO88" i="17"/>
  <c r="AR85" i="17"/>
  <c r="AP32" i="17"/>
  <c r="AP51" i="17"/>
  <c r="AQ68" i="17"/>
  <c r="AL52" i="17"/>
  <c r="AM52" i="17" s="1"/>
  <c r="AL83" i="17"/>
  <c r="AM83" i="17" s="1"/>
  <c r="AO97" i="17"/>
  <c r="AP48" i="17"/>
  <c r="AP78" i="17"/>
  <c r="AR14" i="17"/>
  <c r="AR20" i="17"/>
  <c r="AP47" i="17"/>
  <c r="AO42" i="17"/>
  <c r="AO72" i="17"/>
  <c r="AR69" i="17"/>
  <c r="AO76" i="17"/>
  <c r="AR81" i="17"/>
  <c r="AP89" i="17"/>
  <c r="AQ22" i="17"/>
  <c r="AP93" i="17"/>
  <c r="AQ46" i="17"/>
  <c r="AQ37" i="17"/>
  <c r="AR68" i="17"/>
  <c r="AP27" i="17"/>
  <c r="AQ20" i="17"/>
  <c r="AP65" i="17"/>
  <c r="AL79" i="17"/>
  <c r="AM79" i="17" s="1"/>
  <c r="AR49" i="17"/>
  <c r="AP57" i="17"/>
  <c r="AQ95" i="17"/>
  <c r="AP61" i="17"/>
  <c r="AL62" i="17"/>
  <c r="AM62" i="17" s="1"/>
  <c r="AL30" i="17"/>
  <c r="AM30" i="17" s="1"/>
  <c r="AQ107" i="17"/>
  <c r="AP49" i="17"/>
  <c r="AQ79" i="17"/>
  <c r="AP53" i="17"/>
  <c r="AQ103" i="17"/>
  <c r="AL13" i="17"/>
  <c r="AM13" i="17" s="1"/>
  <c r="AO41" i="17"/>
  <c r="AP41" i="17"/>
  <c r="AQ63" i="17"/>
  <c r="AP45" i="17"/>
  <c r="AQ87" i="17"/>
  <c r="AR102" i="17"/>
  <c r="AQ61" i="17"/>
  <c r="AP35" i="17"/>
  <c r="AO57" i="17"/>
  <c r="AR34" i="17"/>
  <c r="AO38" i="17"/>
  <c r="AL104" i="17"/>
  <c r="AM104" i="17" s="1"/>
  <c r="AO49" i="17"/>
  <c r="AO47" i="17"/>
  <c r="AP98" i="17"/>
  <c r="AP92" i="17"/>
  <c r="AR22" i="17"/>
  <c r="AP20" i="17"/>
  <c r="AP106" i="17"/>
  <c r="AR95" i="17"/>
  <c r="AP14" i="17"/>
  <c r="AO31" i="17"/>
  <c r="AO30" i="17"/>
  <c r="AQ66" i="17"/>
  <c r="AL78" i="17"/>
  <c r="AM78" i="17" s="1"/>
  <c r="AQ11" i="17"/>
  <c r="AQ65" i="17"/>
  <c r="AQ23" i="17"/>
  <c r="AR109" i="17"/>
  <c r="AL28" i="17"/>
  <c r="AM28" i="17" s="1"/>
  <c r="AQ55" i="17"/>
  <c r="AR17" i="17"/>
  <c r="AP82" i="17"/>
  <c r="AL15" i="17"/>
  <c r="AM15" i="17" s="1"/>
  <c r="AQ17" i="17"/>
  <c r="AO61" i="17"/>
  <c r="AR86" i="17"/>
  <c r="AQ74" i="17"/>
  <c r="AR74" i="17"/>
  <c r="AR87" i="17"/>
  <c r="AL19" i="17"/>
  <c r="AM19" i="17" s="1"/>
  <c r="AL17" i="17"/>
  <c r="AM17" i="17" s="1"/>
  <c r="AQ28" i="17"/>
  <c r="AL25" i="17"/>
  <c r="AM25" i="17" s="1"/>
  <c r="AO35" i="17"/>
  <c r="AR80" i="17"/>
  <c r="AP73" i="17"/>
  <c r="AP71" i="17"/>
  <c r="AR65" i="17"/>
  <c r="AR53" i="17"/>
  <c r="AO85" i="17"/>
  <c r="AL22" i="17"/>
  <c r="AM22" i="17" s="1"/>
  <c r="AQ47" i="17"/>
  <c r="AR28" i="17"/>
  <c r="AO46" i="17"/>
  <c r="AL102" i="17"/>
  <c r="AM102" i="17" s="1"/>
  <c r="AR23" i="17"/>
  <c r="AO15" i="17"/>
  <c r="AO14" i="17"/>
  <c r="AQ34" i="17"/>
  <c r="AP74" i="17"/>
  <c r="AQ109" i="17"/>
  <c r="AO90" i="17"/>
  <c r="AP91" i="17"/>
  <c r="AQ29" i="17"/>
  <c r="AP34" i="17"/>
  <c r="AO82" i="17"/>
  <c r="AR50" i="17"/>
  <c r="AP66" i="17"/>
  <c r="AL44" i="17"/>
  <c r="AM44" i="17" s="1"/>
  <c r="AO63" i="17"/>
  <c r="AL18" i="17"/>
  <c r="AM18" i="17" s="1"/>
  <c r="AO69" i="17"/>
  <c r="AP56" i="17"/>
  <c r="AL24" i="17"/>
  <c r="AM24" i="17" s="1"/>
  <c r="AL63" i="17"/>
  <c r="AM63" i="17" s="1"/>
  <c r="AQ27" i="17"/>
  <c r="AQ97" i="17"/>
  <c r="AQ39" i="17"/>
  <c r="AQ15" i="17"/>
  <c r="AP99" i="17"/>
  <c r="AO79" i="17"/>
  <c r="AO17" i="17"/>
  <c r="AQ82" i="17"/>
  <c r="AO25" i="17"/>
  <c r="AO93" i="17"/>
  <c r="AR44" i="17"/>
  <c r="AL106" i="17"/>
  <c r="AM106" i="17" s="1"/>
  <c r="AO11" i="17"/>
  <c r="AQ24" i="17"/>
  <c r="AO52" i="17"/>
  <c r="AO48" i="17"/>
  <c r="AO73" i="17"/>
  <c r="AO13" i="17"/>
  <c r="AP103" i="17"/>
  <c r="AR15" i="17"/>
  <c r="AL69" i="17"/>
  <c r="AM69" i="17" s="1"/>
  <c r="AL108" i="17"/>
  <c r="AM108" i="17" s="1"/>
  <c r="AO96" i="17"/>
  <c r="AR93" i="17"/>
  <c r="AO53" i="17"/>
  <c r="AL96" i="17"/>
  <c r="AM96" i="17" s="1"/>
  <c r="AO92" i="17"/>
  <c r="AR97" i="17"/>
  <c r="AL47" i="17"/>
  <c r="AM47" i="17" s="1"/>
  <c r="AL91" i="17"/>
  <c r="AM91" i="17" s="1"/>
  <c r="AO80" i="17"/>
  <c r="AR77" i="17"/>
  <c r="AO84" i="17"/>
  <c r="AR89" i="17"/>
  <c r="AR24" i="17"/>
  <c r="AO95" i="17"/>
  <c r="AP43" i="17"/>
  <c r="AQ52" i="17"/>
  <c r="AL74" i="17"/>
  <c r="AM74" i="17" s="1"/>
  <c r="AR84" i="17"/>
  <c r="AP55" i="17"/>
  <c r="AO58" i="17"/>
  <c r="AL99" i="17"/>
  <c r="AM99" i="17" s="1"/>
  <c r="AL45" i="17"/>
  <c r="AM45" i="17" s="1"/>
  <c r="AP69" i="17"/>
  <c r="AL97" i="17"/>
  <c r="AM97" i="17" s="1"/>
  <c r="AQ41" i="17"/>
  <c r="AL101" i="17"/>
  <c r="AM101" i="17" s="1"/>
  <c r="AL60" i="17"/>
  <c r="AM60" i="17" s="1"/>
  <c r="AP96" i="17"/>
  <c r="AR108" i="17"/>
  <c r="AO109" i="17"/>
  <c r="AO59" i="17"/>
  <c r="AL58" i="17"/>
  <c r="AM58" i="17" s="1"/>
  <c r="AP36" i="17"/>
  <c r="AQ75" i="17"/>
  <c r="AQ16" i="17"/>
  <c r="AO33" i="17"/>
  <c r="AQ13" i="17"/>
  <c r="AP15" i="17"/>
  <c r="AL39" i="17"/>
  <c r="AM39" i="17" s="1"/>
  <c r="AR18" i="17"/>
  <c r="AL67" i="17"/>
  <c r="AM67" i="17" s="1"/>
  <c r="AO103" i="17"/>
  <c r="AL14" i="17"/>
  <c r="AM14" i="17" s="1"/>
  <c r="AP86" i="17"/>
  <c r="AO39" i="17"/>
  <c r="AO70" i="17"/>
  <c r="AR66" i="17"/>
  <c r="AO89" i="17"/>
  <c r="AP90" i="17"/>
  <c r="AL50" i="17"/>
  <c r="AM50" i="17" s="1"/>
  <c r="AP12" i="17"/>
  <c r="AR12" i="17"/>
  <c r="AP16" i="17"/>
  <c r="AR72" i="17"/>
  <c r="AQ60" i="17"/>
  <c r="AO77" i="17"/>
  <c r="AP64" i="17"/>
  <c r="AL21" i="17"/>
  <c r="AM21" i="17" s="1"/>
  <c r="AL95" i="17"/>
  <c r="AM95" i="17" s="1"/>
  <c r="AQ90" i="17"/>
  <c r="AL42" i="17"/>
  <c r="AM42" i="17" s="1"/>
  <c r="AR47" i="17"/>
  <c r="AL16" i="17"/>
  <c r="AM16" i="17" s="1"/>
  <c r="AR39" i="17"/>
  <c r="AQ92" i="17"/>
  <c r="AO27" i="17"/>
  <c r="AP54" i="17"/>
  <c r="AQ26" i="17"/>
  <c r="AP38" i="17"/>
  <c r="AQ77" i="17"/>
  <c r="AO22" i="17"/>
  <c r="AR82" i="17"/>
  <c r="AL55" i="17"/>
  <c r="AM55" i="17" s="1"/>
  <c r="AP100" i="17"/>
  <c r="AQ105" i="17"/>
  <c r="AP77" i="17"/>
  <c r="AP19" i="17"/>
  <c r="AL53" i="17"/>
  <c r="AM53" i="17" s="1"/>
  <c r="AL66" i="17"/>
  <c r="AM66" i="17" s="1"/>
  <c r="AO86" i="17"/>
  <c r="AO106" i="17"/>
  <c r="AP87" i="17"/>
  <c r="AQ18" i="17"/>
  <c r="AQ44" i="17"/>
  <c r="AL35" i="17"/>
  <c r="AM35" i="17" s="1"/>
  <c r="AP29" i="17"/>
  <c r="AO12" i="17"/>
  <c r="AO78" i="17"/>
  <c r="AR26" i="17"/>
  <c r="AR35" i="17"/>
  <c r="AR100" i="17"/>
  <c r="AQ100" i="17"/>
  <c r="AQ81" i="17"/>
  <c r="AO50" i="17"/>
  <c r="AQ106" i="17"/>
  <c r="AR55" i="17"/>
  <c r="AQ57" i="17"/>
  <c r="AO102" i="17"/>
  <c r="AR19" i="17"/>
  <c r="AQ51" i="17"/>
  <c r="AL57" i="17"/>
  <c r="AM57" i="17" s="1"/>
  <c r="AQ30" i="17"/>
  <c r="AL48" i="17"/>
  <c r="AM48" i="17" s="1"/>
  <c r="AQ88" i="17"/>
  <c r="AL87" i="17"/>
  <c r="AM87" i="17" s="1"/>
  <c r="AP37" i="17"/>
  <c r="AL37" i="17"/>
  <c r="AM37" i="17" s="1"/>
  <c r="AL54" i="17"/>
  <c r="AM54" i="17" s="1"/>
  <c r="AL100" i="17"/>
  <c r="AM100" i="17" s="1"/>
  <c r="AP33" i="17"/>
  <c r="AL63" i="41"/>
  <c r="AM63" i="41"/>
  <c r="AJ63" i="41"/>
  <c r="AI63" i="41"/>
  <c r="AI64" i="41" l="1"/>
  <c r="AK64" i="41"/>
  <c r="AJ64" i="41"/>
  <c r="AM64" i="41"/>
  <c r="AL64" i="41"/>
  <c r="AJ118" i="41"/>
  <c r="AJ121" i="41"/>
  <c r="AJ120" i="41"/>
  <c r="AJ115" i="41"/>
  <c r="AJ113" i="41"/>
  <c r="AJ112" i="41"/>
  <c r="AJ111" i="41"/>
  <c r="AJ107" i="41"/>
  <c r="AJ119" i="41"/>
  <c r="AJ106" i="41"/>
  <c r="AJ105" i="41"/>
  <c r="AJ103" i="41"/>
  <c r="AJ99" i="41"/>
  <c r="AJ95" i="41"/>
  <c r="AJ109" i="41"/>
  <c r="AJ104" i="41"/>
  <c r="AJ90" i="41"/>
  <c r="AJ86" i="41"/>
  <c r="AJ80" i="41"/>
  <c r="AJ76" i="41"/>
  <c r="AJ72" i="41"/>
  <c r="AJ68" i="41"/>
  <c r="AJ108" i="41"/>
  <c r="AJ100" i="41"/>
  <c r="AJ97" i="41"/>
  <c r="AJ94" i="41"/>
  <c r="AJ89" i="41"/>
  <c r="AJ88" i="41"/>
  <c r="AJ87" i="41"/>
  <c r="AJ71" i="41"/>
  <c r="AJ70" i="41"/>
  <c r="AJ69" i="41"/>
  <c r="AJ116" i="41"/>
  <c r="AJ110" i="41"/>
  <c r="AJ101" i="41"/>
  <c r="AJ98" i="41"/>
  <c r="AJ102" i="41"/>
  <c r="AJ92" i="41"/>
  <c r="AJ85" i="41"/>
  <c r="AJ73" i="41"/>
  <c r="AJ66" i="41"/>
  <c r="AJ114" i="41"/>
  <c r="AJ96" i="41"/>
  <c r="AJ77" i="41"/>
  <c r="AJ74" i="41"/>
  <c r="AJ67" i="41"/>
  <c r="AJ117" i="41"/>
  <c r="AJ81" i="41"/>
  <c r="AJ75" i="41"/>
  <c r="AJ59" i="41"/>
  <c r="AJ54" i="41"/>
  <c r="AJ49" i="41"/>
  <c r="AJ37" i="41"/>
  <c r="AJ93" i="41"/>
  <c r="AJ91" i="41"/>
  <c r="AJ65" i="41"/>
  <c r="AJ62" i="41"/>
  <c r="AJ57" i="41"/>
  <c r="AJ52" i="41"/>
  <c r="AJ44" i="41"/>
  <c r="AJ34" i="41"/>
  <c r="AJ25" i="41"/>
  <c r="AJ78" i="41"/>
  <c r="AJ61" i="41"/>
  <c r="AJ51" i="41"/>
  <c r="AJ36" i="41"/>
  <c r="AJ21" i="41"/>
  <c r="AJ20" i="41"/>
  <c r="AJ35" i="41"/>
  <c r="AJ23" i="41"/>
  <c r="AJ55" i="41"/>
  <c r="AJ38" i="41"/>
  <c r="AJ27" i="41"/>
  <c r="AJ19" i="41"/>
  <c r="AJ56" i="41"/>
  <c r="AJ41" i="41"/>
  <c r="AJ33" i="41"/>
  <c r="AJ17" i="41"/>
  <c r="AJ79" i="41"/>
  <c r="AJ60" i="41"/>
  <c r="AJ50" i="41"/>
  <c r="AJ22" i="41"/>
  <c r="AM119" i="41"/>
  <c r="AM118" i="41"/>
  <c r="AM121" i="41"/>
  <c r="AM117" i="41"/>
  <c r="AM120" i="41"/>
  <c r="AM116" i="41"/>
  <c r="AM115" i="41"/>
  <c r="AM114" i="41"/>
  <c r="AM113" i="41"/>
  <c r="AM108" i="41"/>
  <c r="AM112" i="41"/>
  <c r="AM104" i="41"/>
  <c r="AM100" i="41"/>
  <c r="AM96" i="41"/>
  <c r="AM92" i="41"/>
  <c r="AM110" i="41"/>
  <c r="AM107" i="41"/>
  <c r="AM99" i="41"/>
  <c r="AM98" i="41"/>
  <c r="AM97" i="41"/>
  <c r="AM91" i="41"/>
  <c r="AM87" i="41"/>
  <c r="AM81" i="41"/>
  <c r="AM77" i="41"/>
  <c r="AM73" i="41"/>
  <c r="AM69" i="41"/>
  <c r="AM65" i="41"/>
  <c r="AM102" i="41"/>
  <c r="AM95" i="41"/>
  <c r="AM80" i="41"/>
  <c r="AM79" i="41"/>
  <c r="AM78" i="41"/>
  <c r="AM106" i="41"/>
  <c r="AM103" i="41"/>
  <c r="AM105" i="41"/>
  <c r="AM90" i="41"/>
  <c r="AM74" i="41"/>
  <c r="AM71" i="41"/>
  <c r="AM68" i="41"/>
  <c r="AM111" i="41"/>
  <c r="AM75" i="41"/>
  <c r="AM72" i="41"/>
  <c r="AM109" i="41"/>
  <c r="AM93" i="41"/>
  <c r="AM85" i="41"/>
  <c r="AM76" i="41"/>
  <c r="AM60" i="41"/>
  <c r="AM55" i="41"/>
  <c r="AM50" i="41"/>
  <c r="AM38" i="41"/>
  <c r="AM35" i="41"/>
  <c r="AM27" i="41"/>
  <c r="AM23" i="41"/>
  <c r="AM86" i="41"/>
  <c r="AM70" i="41"/>
  <c r="AM59" i="41"/>
  <c r="AM54" i="41"/>
  <c r="AM49" i="41"/>
  <c r="AM37" i="41"/>
  <c r="AM66" i="41"/>
  <c r="AM62" i="41"/>
  <c r="AM52" i="41"/>
  <c r="AM25" i="41"/>
  <c r="AM22" i="41"/>
  <c r="AM88" i="41"/>
  <c r="AM57" i="41"/>
  <c r="AM44" i="41"/>
  <c r="AM34" i="41"/>
  <c r="AM19" i="41"/>
  <c r="AM94" i="41"/>
  <c r="AM67" i="41"/>
  <c r="AM61" i="41"/>
  <c r="AM51" i="41"/>
  <c r="AM36" i="41"/>
  <c r="AM17" i="41"/>
  <c r="AM101" i="41"/>
  <c r="AM89" i="41"/>
  <c r="AM56" i="41"/>
  <c r="AM41" i="41"/>
  <c r="AM33" i="41"/>
  <c r="AM21" i="41"/>
  <c r="AM20" i="41"/>
  <c r="AK121" i="41"/>
  <c r="AK120" i="41"/>
  <c r="AK119" i="41"/>
  <c r="AK114" i="41"/>
  <c r="AK118" i="41"/>
  <c r="AK113" i="41"/>
  <c r="AK112" i="41"/>
  <c r="AK115" i="41"/>
  <c r="AK110" i="41"/>
  <c r="AK106" i="41"/>
  <c r="AK117" i="41"/>
  <c r="AK116" i="41"/>
  <c r="AK109" i="41"/>
  <c r="AK108" i="41"/>
  <c r="AK107" i="41"/>
  <c r="AK102" i="41"/>
  <c r="AK98" i="41"/>
  <c r="AK94" i="41"/>
  <c r="AK93" i="41"/>
  <c r="AK92" i="41"/>
  <c r="AK89" i="41"/>
  <c r="AK85" i="41"/>
  <c r="AK79" i="41"/>
  <c r="AK75" i="41"/>
  <c r="AK71" i="41"/>
  <c r="AK67" i="41"/>
  <c r="AK111" i="41"/>
  <c r="AK104" i="41"/>
  <c r="AK101" i="41"/>
  <c r="AK91" i="41"/>
  <c r="AK90" i="41"/>
  <c r="AK74" i="41"/>
  <c r="AK73" i="41"/>
  <c r="AK72" i="41"/>
  <c r="AK95" i="41"/>
  <c r="AK96" i="41"/>
  <c r="AK80" i="41"/>
  <c r="AK77" i="41"/>
  <c r="AK70" i="41"/>
  <c r="AK105" i="41"/>
  <c r="AK103" i="41"/>
  <c r="AK97" i="41"/>
  <c r="AK86" i="41"/>
  <c r="AK81" i="41"/>
  <c r="AK78" i="41"/>
  <c r="AK68" i="41"/>
  <c r="AK65" i="41"/>
  <c r="AK62" i="41"/>
  <c r="AK57" i="41"/>
  <c r="AK52" i="41"/>
  <c r="AK44" i="41"/>
  <c r="AK34" i="41"/>
  <c r="AK25" i="41"/>
  <c r="AK100" i="41"/>
  <c r="AK76" i="41"/>
  <c r="AK69" i="41"/>
  <c r="AK61" i="41"/>
  <c r="AK56" i="41"/>
  <c r="AK51" i="41"/>
  <c r="AK41" i="41"/>
  <c r="AK36" i="41"/>
  <c r="AK33" i="41"/>
  <c r="AK87" i="41"/>
  <c r="AK55" i="41"/>
  <c r="AK38" i="41"/>
  <c r="AK27" i="41"/>
  <c r="AK19" i="41"/>
  <c r="AK60" i="41"/>
  <c r="AK35" i="41"/>
  <c r="AK22" i="41"/>
  <c r="AK54" i="41"/>
  <c r="AK20" i="41"/>
  <c r="AK66" i="41"/>
  <c r="AK59" i="41"/>
  <c r="AK49" i="41"/>
  <c r="AK17" i="41"/>
  <c r="AK99" i="41"/>
  <c r="AK50" i="41"/>
  <c r="AK23" i="41"/>
  <c r="AK88" i="41"/>
  <c r="AK37" i="41"/>
  <c r="AK21" i="41"/>
  <c r="AI119" i="41"/>
  <c r="AI118" i="41"/>
  <c r="AI121" i="41"/>
  <c r="AI117" i="41"/>
  <c r="AI116" i="41"/>
  <c r="AI108" i="41"/>
  <c r="AI115" i="41"/>
  <c r="AI104" i="41"/>
  <c r="AI100" i="41"/>
  <c r="AI96" i="41"/>
  <c r="AI92" i="41"/>
  <c r="AI105" i="41"/>
  <c r="AI103" i="41"/>
  <c r="AI102" i="41"/>
  <c r="AI101" i="41"/>
  <c r="AI91" i="41"/>
  <c r="AI87" i="41"/>
  <c r="AI81" i="41"/>
  <c r="AI77" i="41"/>
  <c r="AI73" i="41"/>
  <c r="AI69" i="41"/>
  <c r="AI65" i="41"/>
  <c r="AI120" i="41"/>
  <c r="AI114" i="41"/>
  <c r="AI93" i="41"/>
  <c r="AI86" i="41"/>
  <c r="AI85" i="41"/>
  <c r="AI68" i="41"/>
  <c r="AI67" i="41"/>
  <c r="AI66" i="41"/>
  <c r="AI113" i="41"/>
  <c r="AI111" i="41"/>
  <c r="AI107" i="41"/>
  <c r="AI97" i="41"/>
  <c r="AI94" i="41"/>
  <c r="AI110" i="41"/>
  <c r="AI95" i="41"/>
  <c r="AI88" i="41"/>
  <c r="AI79" i="41"/>
  <c r="AI76" i="41"/>
  <c r="AI112" i="41"/>
  <c r="AI89" i="41"/>
  <c r="AI80" i="41"/>
  <c r="AI70" i="41"/>
  <c r="AI98" i="41"/>
  <c r="AI90" i="41"/>
  <c r="AI74" i="41"/>
  <c r="AI60" i="41"/>
  <c r="AI55" i="41"/>
  <c r="AI50" i="41"/>
  <c r="AI38" i="41"/>
  <c r="AI35" i="41"/>
  <c r="AI27" i="41"/>
  <c r="AI23" i="41"/>
  <c r="AI109" i="41"/>
  <c r="AI75" i="41"/>
  <c r="AI59" i="41"/>
  <c r="AI54" i="41"/>
  <c r="AI49" i="41"/>
  <c r="AI37" i="41"/>
  <c r="AI71" i="41"/>
  <c r="AI57" i="41"/>
  <c r="AI44" i="41"/>
  <c r="AI34" i="41"/>
  <c r="AI22" i="41"/>
  <c r="AI106" i="41"/>
  <c r="AI25" i="41"/>
  <c r="AI99" i="41"/>
  <c r="AI72" i="41"/>
  <c r="AI41" i="41"/>
  <c r="AI78" i="41"/>
  <c r="AI61" i="41"/>
  <c r="AI51" i="41"/>
  <c r="AI36" i="41"/>
  <c r="AI21" i="41"/>
  <c r="AI20" i="41"/>
  <c r="AI62" i="41"/>
  <c r="AI52" i="41"/>
  <c r="AI19" i="41"/>
  <c r="AI56" i="41"/>
  <c r="AI33" i="41"/>
  <c r="AI17" i="41"/>
  <c r="AL120" i="41"/>
  <c r="AL119" i="41"/>
  <c r="AL118" i="41"/>
  <c r="AL121" i="41"/>
  <c r="AL112" i="41"/>
  <c r="AL117" i="41"/>
  <c r="AL116" i="41"/>
  <c r="AL115" i="41"/>
  <c r="AL114" i="41"/>
  <c r="AL109" i="41"/>
  <c r="AL105" i="41"/>
  <c r="AL111" i="41"/>
  <c r="AL110" i="41"/>
  <c r="AL101" i="41"/>
  <c r="AL97" i="41"/>
  <c r="AL93" i="41"/>
  <c r="AL106" i="41"/>
  <c r="AL96" i="41"/>
  <c r="AL95" i="41"/>
  <c r="AL94" i="41"/>
  <c r="AL88" i="41"/>
  <c r="AL78" i="41"/>
  <c r="AL74" i="41"/>
  <c r="AL70" i="41"/>
  <c r="AL66" i="41"/>
  <c r="AL113" i="41"/>
  <c r="AL107" i="41"/>
  <c r="AL98" i="41"/>
  <c r="AL77" i="41"/>
  <c r="AL76" i="41"/>
  <c r="AL75" i="41"/>
  <c r="AL102" i="41"/>
  <c r="AL99" i="41"/>
  <c r="AL103" i="41"/>
  <c r="AL89" i="41"/>
  <c r="AL86" i="41"/>
  <c r="AL81" i="41"/>
  <c r="AL67" i="41"/>
  <c r="AL108" i="41"/>
  <c r="AL104" i="41"/>
  <c r="AL90" i="41"/>
  <c r="AL87" i="41"/>
  <c r="AL71" i="41"/>
  <c r="AL68" i="41"/>
  <c r="AL65" i="41"/>
  <c r="AL100" i="41"/>
  <c r="AL91" i="41"/>
  <c r="AL69" i="41"/>
  <c r="AL61" i="41"/>
  <c r="AL56" i="41"/>
  <c r="AL51" i="41"/>
  <c r="AL41" i="41"/>
  <c r="AL36" i="41"/>
  <c r="AL33" i="41"/>
  <c r="AL85" i="41"/>
  <c r="AL60" i="41"/>
  <c r="AL55" i="41"/>
  <c r="AL50" i="41"/>
  <c r="AL38" i="41"/>
  <c r="AL35" i="41"/>
  <c r="AL27" i="41"/>
  <c r="AL59" i="41"/>
  <c r="AL49" i="41"/>
  <c r="AL17" i="41"/>
  <c r="AL79" i="41"/>
  <c r="AL54" i="41"/>
  <c r="AL37" i="41"/>
  <c r="AL21" i="41"/>
  <c r="AL57" i="41"/>
  <c r="AL44" i="41"/>
  <c r="AL19" i="41"/>
  <c r="AL92" i="41"/>
  <c r="AL80" i="41"/>
  <c r="AL73" i="41"/>
  <c r="AL62" i="41"/>
  <c r="AL52" i="41"/>
  <c r="AL25" i="41"/>
  <c r="AL23" i="41"/>
  <c r="AL22" i="41"/>
  <c r="AL72" i="41"/>
  <c r="AL20" i="41"/>
  <c r="AL34" i="41"/>
  <c r="AN63" i="41"/>
  <c r="AO63" i="41"/>
  <c r="AP63" i="41"/>
  <c r="AR63" i="41"/>
  <c r="AM10" i="17"/>
  <c r="AQ63" i="41"/>
  <c r="AP64" i="41" l="1"/>
  <c r="AN64" i="41"/>
  <c r="AO64" i="41"/>
  <c r="AQ64" i="41"/>
  <c r="AR64" i="41"/>
  <c r="AN118" i="41"/>
  <c r="AN121" i="41"/>
  <c r="AN120" i="41"/>
  <c r="AN117" i="41"/>
  <c r="AN115" i="41"/>
  <c r="AN116" i="41"/>
  <c r="AN113" i="41"/>
  <c r="AN119" i="41"/>
  <c r="AN111" i="41"/>
  <c r="AN107" i="41"/>
  <c r="AN114" i="41"/>
  <c r="AN103" i="41"/>
  <c r="AN99" i="41"/>
  <c r="AN95" i="41"/>
  <c r="AN112" i="41"/>
  <c r="AN102" i="41"/>
  <c r="AN101" i="41"/>
  <c r="AN100" i="41"/>
  <c r="AN90" i="41"/>
  <c r="AN86" i="41"/>
  <c r="AN80" i="41"/>
  <c r="AN76" i="41"/>
  <c r="AN72" i="41"/>
  <c r="AN68" i="41"/>
  <c r="AN110" i="41"/>
  <c r="AN106" i="41"/>
  <c r="AN92" i="41"/>
  <c r="AN85" i="41"/>
  <c r="AN81" i="41"/>
  <c r="AN67" i="41"/>
  <c r="AN66" i="41"/>
  <c r="AN65" i="41"/>
  <c r="AN109" i="41"/>
  <c r="AN105" i="41"/>
  <c r="AN96" i="41"/>
  <c r="AN108" i="41"/>
  <c r="AN104" i="41"/>
  <c r="AN97" i="41"/>
  <c r="AN87" i="41"/>
  <c r="AN78" i="41"/>
  <c r="AN75" i="41"/>
  <c r="AN98" i="41"/>
  <c r="AN93" i="41"/>
  <c r="AN91" i="41"/>
  <c r="AN88" i="41"/>
  <c r="AN79" i="41"/>
  <c r="AN69" i="41"/>
  <c r="AN70" i="41"/>
  <c r="AN59" i="41"/>
  <c r="AN54" i="41"/>
  <c r="AN49" i="41"/>
  <c r="AN37" i="41"/>
  <c r="AN77" i="41"/>
  <c r="AN71" i="41"/>
  <c r="AN62" i="41"/>
  <c r="AN57" i="41"/>
  <c r="AN52" i="41"/>
  <c r="AN44" i="41"/>
  <c r="AN34" i="41"/>
  <c r="AN25" i="41"/>
  <c r="AN89" i="41"/>
  <c r="AN73" i="41"/>
  <c r="AN56" i="41"/>
  <c r="AN41" i="41"/>
  <c r="AN33" i="41"/>
  <c r="AN23" i="41"/>
  <c r="AN21" i="41"/>
  <c r="AN20" i="41"/>
  <c r="AN17" i="41"/>
  <c r="AN38" i="41"/>
  <c r="AN22" i="41"/>
  <c r="AN60" i="41"/>
  <c r="AN50" i="41"/>
  <c r="AN35" i="41"/>
  <c r="AN19" i="41"/>
  <c r="AN94" i="41"/>
  <c r="AN61" i="41"/>
  <c r="AN51" i="41"/>
  <c r="AN36" i="41"/>
  <c r="AN74" i="41"/>
  <c r="AN55" i="41"/>
  <c r="AN27" i="41"/>
  <c r="AQ119" i="41"/>
  <c r="AQ118" i="41"/>
  <c r="AQ121" i="41"/>
  <c r="AQ117" i="41"/>
  <c r="AQ116" i="41"/>
  <c r="AQ120" i="41"/>
  <c r="AQ115" i="41"/>
  <c r="AQ114" i="41"/>
  <c r="AQ108" i="41"/>
  <c r="AQ113" i="41"/>
  <c r="AQ111" i="41"/>
  <c r="AQ110" i="41"/>
  <c r="AQ109" i="41"/>
  <c r="AQ104" i="41"/>
  <c r="AQ100" i="41"/>
  <c r="AQ96" i="41"/>
  <c r="AQ92" i="41"/>
  <c r="AQ105" i="41"/>
  <c r="AQ95" i="41"/>
  <c r="AQ94" i="41"/>
  <c r="AQ93" i="41"/>
  <c r="AQ91" i="41"/>
  <c r="AQ87" i="41"/>
  <c r="AQ81" i="41"/>
  <c r="AQ77" i="41"/>
  <c r="AQ73" i="41"/>
  <c r="AQ69" i="41"/>
  <c r="AQ65" i="41"/>
  <c r="AQ97" i="41"/>
  <c r="AQ76" i="41"/>
  <c r="AQ75" i="41"/>
  <c r="AQ74" i="41"/>
  <c r="AQ101" i="41"/>
  <c r="AQ98" i="41"/>
  <c r="AQ112" i="41"/>
  <c r="AQ99" i="41"/>
  <c r="AQ88" i="41"/>
  <c r="AQ85" i="41"/>
  <c r="AQ80" i="41"/>
  <c r="AQ66" i="41"/>
  <c r="AQ106" i="41"/>
  <c r="AQ89" i="41"/>
  <c r="AQ86" i="41"/>
  <c r="AQ70" i="41"/>
  <c r="AQ67" i="41"/>
  <c r="AQ102" i="41"/>
  <c r="AQ78" i="41"/>
  <c r="AQ71" i="41"/>
  <c r="AQ60" i="41"/>
  <c r="AQ55" i="41"/>
  <c r="AQ50" i="41"/>
  <c r="AQ38" i="41"/>
  <c r="AQ35" i="41"/>
  <c r="AQ27" i="41"/>
  <c r="AQ23" i="41"/>
  <c r="AQ79" i="41"/>
  <c r="AQ72" i="41"/>
  <c r="AQ59" i="41"/>
  <c r="AQ54" i="41"/>
  <c r="AQ49" i="41"/>
  <c r="AQ37" i="41"/>
  <c r="AQ68" i="41"/>
  <c r="AQ57" i="41"/>
  <c r="AQ44" i="41"/>
  <c r="AQ34" i="41"/>
  <c r="AQ22" i="41"/>
  <c r="AQ62" i="41"/>
  <c r="AQ52" i="41"/>
  <c r="AQ103" i="41"/>
  <c r="AQ56" i="41"/>
  <c r="AQ33" i="41"/>
  <c r="AQ61" i="41"/>
  <c r="AQ51" i="41"/>
  <c r="AQ36" i="41"/>
  <c r="AQ21" i="41"/>
  <c r="AQ20" i="41"/>
  <c r="AQ107" i="41"/>
  <c r="AQ90" i="41"/>
  <c r="AQ25" i="41"/>
  <c r="AQ19" i="41"/>
  <c r="AQ41" i="41"/>
  <c r="AQ17" i="41"/>
  <c r="AO121" i="41"/>
  <c r="AO117" i="41"/>
  <c r="AO120" i="41"/>
  <c r="AO119" i="41"/>
  <c r="AO114" i="41"/>
  <c r="AO113" i="41"/>
  <c r="AO112" i="41"/>
  <c r="AO110" i="41"/>
  <c r="AO106" i="41"/>
  <c r="AO116" i="41"/>
  <c r="AO105" i="41"/>
  <c r="AO102" i="41"/>
  <c r="AO98" i="41"/>
  <c r="AO94" i="41"/>
  <c r="AO111" i="41"/>
  <c r="AO108" i="41"/>
  <c r="AO104" i="41"/>
  <c r="AO103" i="41"/>
  <c r="AO89" i="41"/>
  <c r="AO85" i="41"/>
  <c r="AO79" i="41"/>
  <c r="AO75" i="41"/>
  <c r="AO71" i="41"/>
  <c r="AO67" i="41"/>
  <c r="AO118" i="41"/>
  <c r="AO115" i="41"/>
  <c r="AO109" i="41"/>
  <c r="AO99" i="41"/>
  <c r="AO96" i="41"/>
  <c r="AO93" i="41"/>
  <c r="AO88" i="41"/>
  <c r="AO87" i="41"/>
  <c r="AO86" i="41"/>
  <c r="AO70" i="41"/>
  <c r="AO69" i="41"/>
  <c r="AO68" i="41"/>
  <c r="AO100" i="41"/>
  <c r="AO97" i="41"/>
  <c r="AO91" i="41"/>
  <c r="AO72" i="41"/>
  <c r="AO76" i="41"/>
  <c r="AO73" i="41"/>
  <c r="AO66" i="41"/>
  <c r="AO77" i="41"/>
  <c r="AO62" i="41"/>
  <c r="AO57" i="41"/>
  <c r="AO52" i="41"/>
  <c r="AO44" i="41"/>
  <c r="AO34" i="41"/>
  <c r="AO25" i="41"/>
  <c r="AO95" i="41"/>
  <c r="AO78" i="41"/>
  <c r="AO61" i="41"/>
  <c r="AO56" i="41"/>
  <c r="AO51" i="41"/>
  <c r="AO41" i="41"/>
  <c r="AO36" i="41"/>
  <c r="AO33" i="41"/>
  <c r="AO101" i="41"/>
  <c r="AO92" i="41"/>
  <c r="AO80" i="41"/>
  <c r="AO60" i="41"/>
  <c r="AO50" i="41"/>
  <c r="AO35" i="41"/>
  <c r="AO19" i="41"/>
  <c r="AO74" i="41"/>
  <c r="AO38" i="41"/>
  <c r="AO27" i="41"/>
  <c r="AO22" i="41"/>
  <c r="AO107" i="41"/>
  <c r="AO90" i="41"/>
  <c r="AO23" i="41"/>
  <c r="AO21" i="41"/>
  <c r="AO65" i="41"/>
  <c r="AO54" i="41"/>
  <c r="AO37" i="41"/>
  <c r="AO17" i="41"/>
  <c r="AO55" i="41"/>
  <c r="AO81" i="41"/>
  <c r="AO59" i="41"/>
  <c r="AO49" i="41"/>
  <c r="AO20" i="41"/>
  <c r="AR118" i="41"/>
  <c r="AR121" i="41"/>
  <c r="AR117" i="41"/>
  <c r="AR120" i="41"/>
  <c r="AR119" i="41"/>
  <c r="AR115" i="41"/>
  <c r="AR114" i="41"/>
  <c r="AR116" i="41"/>
  <c r="AR113" i="41"/>
  <c r="AR112" i="41"/>
  <c r="AR111" i="41"/>
  <c r="AR107" i="41"/>
  <c r="AR103" i="41"/>
  <c r="AR99" i="41"/>
  <c r="AR95" i="41"/>
  <c r="AR109" i="41"/>
  <c r="AR106" i="41"/>
  <c r="AR98" i="41"/>
  <c r="AR97" i="41"/>
  <c r="AR96" i="41"/>
  <c r="AR90" i="41"/>
  <c r="AR86" i="41"/>
  <c r="AR80" i="41"/>
  <c r="AR76" i="41"/>
  <c r="AR72" i="41"/>
  <c r="AR68" i="41"/>
  <c r="AR105" i="41"/>
  <c r="AR104" i="41"/>
  <c r="AR101" i="41"/>
  <c r="AR94" i="41"/>
  <c r="AR79" i="41"/>
  <c r="AR78" i="41"/>
  <c r="AR77" i="41"/>
  <c r="AR108" i="41"/>
  <c r="AR102" i="41"/>
  <c r="AR93" i="41"/>
  <c r="AR89" i="41"/>
  <c r="AR73" i="41"/>
  <c r="AR70" i="41"/>
  <c r="AR67" i="41"/>
  <c r="AR100" i="41"/>
  <c r="AR92" i="41"/>
  <c r="AR81" i="41"/>
  <c r="AR74" i="41"/>
  <c r="AR71" i="41"/>
  <c r="AR110" i="41"/>
  <c r="AR87" i="41"/>
  <c r="AR59" i="41"/>
  <c r="AR54" i="41"/>
  <c r="AR49" i="41"/>
  <c r="AR37" i="41"/>
  <c r="AR88" i="41"/>
  <c r="AR66" i="41"/>
  <c r="AR65" i="41"/>
  <c r="AR62" i="41"/>
  <c r="AR57" i="41"/>
  <c r="AR52" i="41"/>
  <c r="AR44" i="41"/>
  <c r="AR34" i="41"/>
  <c r="AR25" i="41"/>
  <c r="AR75" i="41"/>
  <c r="AR61" i="41"/>
  <c r="AR51" i="41"/>
  <c r="AR36" i="41"/>
  <c r="AR21" i="41"/>
  <c r="AR20" i="41"/>
  <c r="AR56" i="41"/>
  <c r="AR41" i="41"/>
  <c r="AR33" i="41"/>
  <c r="AR60" i="41"/>
  <c r="AR50" i="41"/>
  <c r="AR91" i="41"/>
  <c r="AR55" i="41"/>
  <c r="AR38" i="41"/>
  <c r="AR27" i="41"/>
  <c r="AR23" i="41"/>
  <c r="AR19" i="41"/>
  <c r="AR17" i="41"/>
  <c r="AR85" i="41"/>
  <c r="AR69" i="41"/>
  <c r="AR35" i="41"/>
  <c r="AR22" i="41"/>
  <c r="AP120" i="41"/>
  <c r="AP119" i="41"/>
  <c r="AP118" i="41"/>
  <c r="AP117" i="41"/>
  <c r="AP112" i="41"/>
  <c r="AP116" i="41"/>
  <c r="AP114" i="41"/>
  <c r="AP109" i="41"/>
  <c r="AP105" i="41"/>
  <c r="AP121" i="41"/>
  <c r="AP115" i="41"/>
  <c r="AP108" i="41"/>
  <c r="AP107" i="41"/>
  <c r="AP106" i="41"/>
  <c r="AP101" i="41"/>
  <c r="AP97" i="41"/>
  <c r="AP93" i="41"/>
  <c r="AP113" i="41"/>
  <c r="AP92" i="41"/>
  <c r="AP88" i="41"/>
  <c r="AP78" i="41"/>
  <c r="AP74" i="41"/>
  <c r="AP70" i="41"/>
  <c r="AP66" i="41"/>
  <c r="AP103" i="41"/>
  <c r="AP100" i="41"/>
  <c r="AP91" i="41"/>
  <c r="AP90" i="41"/>
  <c r="AP89" i="41"/>
  <c r="AP73" i="41"/>
  <c r="AP72" i="41"/>
  <c r="AP71" i="41"/>
  <c r="AP104" i="41"/>
  <c r="AP94" i="41"/>
  <c r="AP111" i="41"/>
  <c r="AP98" i="41"/>
  <c r="AP79" i="41"/>
  <c r="AP76" i="41"/>
  <c r="AP69" i="41"/>
  <c r="AP99" i="41"/>
  <c r="AP85" i="41"/>
  <c r="AP80" i="41"/>
  <c r="AP77" i="41"/>
  <c r="AP95" i="41"/>
  <c r="AP86" i="41"/>
  <c r="AP61" i="41"/>
  <c r="AP56" i="41"/>
  <c r="AP51" i="41"/>
  <c r="AP41" i="41"/>
  <c r="AP36" i="41"/>
  <c r="AP33" i="41"/>
  <c r="AP110" i="41"/>
  <c r="AP102" i="41"/>
  <c r="AP87" i="41"/>
  <c r="AP60" i="41"/>
  <c r="AP55" i="41"/>
  <c r="AP50" i="41"/>
  <c r="AP38" i="41"/>
  <c r="AP35" i="41"/>
  <c r="AP27" i="41"/>
  <c r="AP65" i="41"/>
  <c r="AP54" i="41"/>
  <c r="AP37" i="41"/>
  <c r="AP17" i="41"/>
  <c r="AP67" i="41"/>
  <c r="AP59" i="41"/>
  <c r="AP20" i="41"/>
  <c r="AP52" i="41"/>
  <c r="AP96" i="41"/>
  <c r="AP75" i="41"/>
  <c r="AP68" i="41"/>
  <c r="AP57" i="41"/>
  <c r="AP44" i="41"/>
  <c r="AP34" i="41"/>
  <c r="AP22" i="41"/>
  <c r="AP81" i="41"/>
  <c r="AP49" i="41"/>
  <c r="AP23" i="41"/>
  <c r="AP21" i="41"/>
  <c r="AP62" i="41"/>
  <c r="AP25" i="41"/>
  <c r="AP19" i="41"/>
  <c r="AV63" i="41"/>
  <c r="AW63" i="41"/>
  <c r="AT63" i="41"/>
  <c r="AS63" i="41"/>
  <c r="AU63" i="41"/>
  <c r="AV64" i="41" l="1"/>
  <c r="AU64" i="41"/>
  <c r="AT64" i="41"/>
  <c r="AS64" i="41"/>
  <c r="AW64" i="41"/>
  <c r="AU119" i="41"/>
  <c r="AU118" i="41"/>
  <c r="AU121" i="41"/>
  <c r="AU117" i="41"/>
  <c r="AU116" i="41"/>
  <c r="AU120" i="41"/>
  <c r="AU115" i="41"/>
  <c r="AU113" i="41"/>
  <c r="AU108" i="41"/>
  <c r="AU114" i="41"/>
  <c r="AU107" i="41"/>
  <c r="AU106" i="41"/>
  <c r="AU105" i="41"/>
  <c r="AU104" i="41"/>
  <c r="AU100" i="41"/>
  <c r="AU96" i="41"/>
  <c r="AU92" i="41"/>
  <c r="AU111" i="41"/>
  <c r="AU91" i="41"/>
  <c r="AU87" i="41"/>
  <c r="AU81" i="41"/>
  <c r="AU77" i="41"/>
  <c r="AU73" i="41"/>
  <c r="AU69" i="41"/>
  <c r="AU65" i="41"/>
  <c r="AU102" i="41"/>
  <c r="AU99" i="41"/>
  <c r="AU90" i="41"/>
  <c r="AU89" i="41"/>
  <c r="AU88" i="41"/>
  <c r="AU72" i="41"/>
  <c r="AU71" i="41"/>
  <c r="AU70" i="41"/>
  <c r="AU112" i="41"/>
  <c r="AU110" i="41"/>
  <c r="AU103" i="41"/>
  <c r="AU109" i="41"/>
  <c r="AU94" i="41"/>
  <c r="AU78" i="41"/>
  <c r="AU75" i="41"/>
  <c r="AU68" i="41"/>
  <c r="AU101" i="41"/>
  <c r="AU95" i="41"/>
  <c r="AU79" i="41"/>
  <c r="AU76" i="41"/>
  <c r="AU97" i="41"/>
  <c r="AU80" i="41"/>
  <c r="AU66" i="41"/>
  <c r="AU60" i="41"/>
  <c r="AU55" i="41"/>
  <c r="AU50" i="41"/>
  <c r="AU38" i="41"/>
  <c r="AU35" i="41"/>
  <c r="AU27" i="41"/>
  <c r="AU23" i="41"/>
  <c r="AU74" i="41"/>
  <c r="AU67" i="41"/>
  <c r="AU59" i="41"/>
  <c r="AU54" i="41"/>
  <c r="AU49" i="41"/>
  <c r="AU37" i="41"/>
  <c r="AU93" i="41"/>
  <c r="AU62" i="41"/>
  <c r="AU52" i="41"/>
  <c r="AU25" i="41"/>
  <c r="AU22" i="41"/>
  <c r="AU85" i="41"/>
  <c r="AU17" i="41"/>
  <c r="AU86" i="41"/>
  <c r="AU56" i="41"/>
  <c r="AU41" i="41"/>
  <c r="AU33" i="41"/>
  <c r="AU21" i="41"/>
  <c r="AU20" i="41"/>
  <c r="AU57" i="41"/>
  <c r="AU44" i="41"/>
  <c r="AU34" i="41"/>
  <c r="AU19" i="41"/>
  <c r="AU98" i="41"/>
  <c r="AU61" i="41"/>
  <c r="AU51" i="41"/>
  <c r="AU36" i="41"/>
  <c r="AS121" i="41"/>
  <c r="AS117" i="41"/>
  <c r="AS120" i="41"/>
  <c r="AS119" i="41"/>
  <c r="AS114" i="41"/>
  <c r="AS116" i="41"/>
  <c r="AS115" i="41"/>
  <c r="AS113" i="41"/>
  <c r="AS112" i="41"/>
  <c r="AS110" i="41"/>
  <c r="AS106" i="41"/>
  <c r="AS118" i="41"/>
  <c r="AS102" i="41"/>
  <c r="AS98" i="41"/>
  <c r="AS94" i="41"/>
  <c r="AS101" i="41"/>
  <c r="AS100" i="41"/>
  <c r="AS99" i="41"/>
  <c r="AS89" i="41"/>
  <c r="AS85" i="41"/>
  <c r="AS79" i="41"/>
  <c r="AS75" i="41"/>
  <c r="AS71" i="41"/>
  <c r="AS67" i="41"/>
  <c r="AS108" i="41"/>
  <c r="AS81" i="41"/>
  <c r="AS80" i="41"/>
  <c r="AS66" i="41"/>
  <c r="AS65" i="41"/>
  <c r="AS111" i="41"/>
  <c r="AS107" i="41"/>
  <c r="AS95" i="41"/>
  <c r="AS92" i="41"/>
  <c r="AS86" i="41"/>
  <c r="AS77" i="41"/>
  <c r="AS74" i="41"/>
  <c r="AS109" i="41"/>
  <c r="AS90" i="41"/>
  <c r="AS87" i="41"/>
  <c r="AS78" i="41"/>
  <c r="AS68" i="41"/>
  <c r="AS88" i="41"/>
  <c r="AS72" i="41"/>
  <c r="AS62" i="41"/>
  <c r="AS57" i="41"/>
  <c r="AS52" i="41"/>
  <c r="AS44" i="41"/>
  <c r="AS34" i="41"/>
  <c r="AS25" i="41"/>
  <c r="AS105" i="41"/>
  <c r="AS104" i="41"/>
  <c r="AS97" i="41"/>
  <c r="AS73" i="41"/>
  <c r="AS61" i="41"/>
  <c r="AS56" i="41"/>
  <c r="AS51" i="41"/>
  <c r="AS41" i="41"/>
  <c r="AS36" i="41"/>
  <c r="AS33" i="41"/>
  <c r="AS96" i="41"/>
  <c r="AS91" i="41"/>
  <c r="AS55" i="41"/>
  <c r="AS38" i="41"/>
  <c r="AS27" i="41"/>
  <c r="AS23" i="41"/>
  <c r="AS19" i="41"/>
  <c r="AS103" i="41"/>
  <c r="AS69" i="41"/>
  <c r="AS50" i="41"/>
  <c r="AS37" i="41"/>
  <c r="AS20" i="41"/>
  <c r="AS93" i="41"/>
  <c r="AS70" i="41"/>
  <c r="AS59" i="41"/>
  <c r="AS49" i="41"/>
  <c r="AS17" i="41"/>
  <c r="AS60" i="41"/>
  <c r="AS35" i="41"/>
  <c r="AS22" i="41"/>
  <c r="AS76" i="41"/>
  <c r="AS54" i="41"/>
  <c r="AS21" i="41"/>
  <c r="AT120" i="41"/>
  <c r="AT119" i="41"/>
  <c r="AT118" i="41"/>
  <c r="AT112" i="41"/>
  <c r="AT121" i="41"/>
  <c r="AT109" i="41"/>
  <c r="AT105" i="41"/>
  <c r="AT117" i="41"/>
  <c r="AT115" i="41"/>
  <c r="AT101" i="41"/>
  <c r="AT97" i="41"/>
  <c r="AT93" i="41"/>
  <c r="AT114" i="41"/>
  <c r="AT110" i="41"/>
  <c r="AT107" i="41"/>
  <c r="AT104" i="41"/>
  <c r="AT103" i="41"/>
  <c r="AT102" i="41"/>
  <c r="AT88" i="41"/>
  <c r="AT78" i="41"/>
  <c r="AT74" i="41"/>
  <c r="AT70" i="41"/>
  <c r="AT66" i="41"/>
  <c r="AT116" i="41"/>
  <c r="AT111" i="41"/>
  <c r="AT98" i="41"/>
  <c r="AT95" i="41"/>
  <c r="AT92" i="41"/>
  <c r="AT87" i="41"/>
  <c r="AT86" i="41"/>
  <c r="AT85" i="41"/>
  <c r="AT69" i="41"/>
  <c r="AT68" i="41"/>
  <c r="AT67" i="41"/>
  <c r="AT99" i="41"/>
  <c r="AT96" i="41"/>
  <c r="AT106" i="41"/>
  <c r="AT100" i="41"/>
  <c r="AT90" i="41"/>
  <c r="AT81" i="41"/>
  <c r="AT71" i="41"/>
  <c r="AT113" i="41"/>
  <c r="AT94" i="41"/>
  <c r="AT91" i="41"/>
  <c r="AT75" i="41"/>
  <c r="AT72" i="41"/>
  <c r="AT65" i="41"/>
  <c r="AT79" i="41"/>
  <c r="AT73" i="41"/>
  <c r="AT61" i="41"/>
  <c r="AT56" i="41"/>
  <c r="AT51" i="41"/>
  <c r="AT41" i="41"/>
  <c r="AT36" i="41"/>
  <c r="AT33" i="41"/>
  <c r="AT89" i="41"/>
  <c r="AT80" i="41"/>
  <c r="AT60" i="41"/>
  <c r="AT55" i="41"/>
  <c r="AT50" i="41"/>
  <c r="AT38" i="41"/>
  <c r="AT35" i="41"/>
  <c r="AT27" i="41"/>
  <c r="AT59" i="41"/>
  <c r="AT49" i="41"/>
  <c r="AT17" i="41"/>
  <c r="AT76" i="41"/>
  <c r="AT21" i="41"/>
  <c r="AT34" i="41"/>
  <c r="AT19" i="41"/>
  <c r="AT77" i="41"/>
  <c r="AT62" i="41"/>
  <c r="AT52" i="41"/>
  <c r="AT25" i="41"/>
  <c r="AT22" i="41"/>
  <c r="AT54" i="41"/>
  <c r="AT37" i="41"/>
  <c r="AT20" i="41"/>
  <c r="AT108" i="41"/>
  <c r="AT57" i="41"/>
  <c r="AT44" i="41"/>
  <c r="AT23" i="41"/>
  <c r="AW121" i="41"/>
  <c r="AW117" i="41"/>
  <c r="AW120" i="41"/>
  <c r="AW119" i="41"/>
  <c r="AW118" i="41"/>
  <c r="AW114" i="41"/>
  <c r="AW113" i="41"/>
  <c r="AW116" i="41"/>
  <c r="AW115" i="41"/>
  <c r="AW112" i="41"/>
  <c r="AW110" i="41"/>
  <c r="AW106" i="41"/>
  <c r="AW111" i="41"/>
  <c r="AW102" i="41"/>
  <c r="AW98" i="41"/>
  <c r="AW94" i="41"/>
  <c r="AW108" i="41"/>
  <c r="AW105" i="41"/>
  <c r="AW97" i="41"/>
  <c r="AW96" i="41"/>
  <c r="AW95" i="41"/>
  <c r="AW89" i="41"/>
  <c r="AW85" i="41"/>
  <c r="AW79" i="41"/>
  <c r="AW75" i="41"/>
  <c r="AW71" i="41"/>
  <c r="AW67" i="41"/>
  <c r="AW107" i="41"/>
  <c r="AW103" i="41"/>
  <c r="AW100" i="41"/>
  <c r="AW93" i="41"/>
  <c r="AW78" i="41"/>
  <c r="AW77" i="41"/>
  <c r="AW76" i="41"/>
  <c r="AW109" i="41"/>
  <c r="AW104" i="41"/>
  <c r="AW101" i="41"/>
  <c r="AW91" i="41"/>
  <c r="AW88" i="41"/>
  <c r="AW72" i="41"/>
  <c r="AW69" i="41"/>
  <c r="AW66" i="41"/>
  <c r="AW80" i="41"/>
  <c r="AW73" i="41"/>
  <c r="AW70" i="41"/>
  <c r="AW81" i="41"/>
  <c r="AW74" i="41"/>
  <c r="AW62" i="41"/>
  <c r="AW57" i="41"/>
  <c r="AW52" i="41"/>
  <c r="AW44" i="41"/>
  <c r="AW34" i="41"/>
  <c r="AW25" i="41"/>
  <c r="AW99" i="41"/>
  <c r="AW92" i="41"/>
  <c r="AW90" i="41"/>
  <c r="AW68" i="41"/>
  <c r="AW61" i="41"/>
  <c r="AW56" i="41"/>
  <c r="AW51" i="41"/>
  <c r="AW41" i="41"/>
  <c r="AW36" i="41"/>
  <c r="AW33" i="41"/>
  <c r="AW86" i="41"/>
  <c r="AW60" i="41"/>
  <c r="AW50" i="41"/>
  <c r="AW35" i="41"/>
  <c r="AW19" i="41"/>
  <c r="AW55" i="41"/>
  <c r="AW22" i="41"/>
  <c r="AW59" i="41"/>
  <c r="AW49" i="41"/>
  <c r="AW21" i="41"/>
  <c r="AW54" i="41"/>
  <c r="AW37" i="41"/>
  <c r="AW23" i="41"/>
  <c r="AW17" i="41"/>
  <c r="AW38" i="41"/>
  <c r="AW27" i="41"/>
  <c r="AW87" i="41"/>
  <c r="AW65" i="41"/>
  <c r="AW20" i="41"/>
  <c r="AV118" i="41"/>
  <c r="AV121" i="41"/>
  <c r="AV117" i="41"/>
  <c r="AV120" i="41"/>
  <c r="AV115" i="41"/>
  <c r="AV119" i="41"/>
  <c r="AV114" i="41"/>
  <c r="AV113" i="41"/>
  <c r="AV111" i="41"/>
  <c r="AV107" i="41"/>
  <c r="AV112" i="41"/>
  <c r="AV110" i="41"/>
  <c r="AV109" i="41"/>
  <c r="AV108" i="41"/>
  <c r="AV103" i="41"/>
  <c r="AV99" i="41"/>
  <c r="AV95" i="41"/>
  <c r="AV116" i="41"/>
  <c r="AV94" i="41"/>
  <c r="AV93" i="41"/>
  <c r="AV92" i="41"/>
  <c r="AV90" i="41"/>
  <c r="AV86" i="41"/>
  <c r="AV80" i="41"/>
  <c r="AV76" i="41"/>
  <c r="AV72" i="41"/>
  <c r="AV68" i="41"/>
  <c r="AV96" i="41"/>
  <c r="AV91" i="41"/>
  <c r="AV75" i="41"/>
  <c r="AV74" i="41"/>
  <c r="AV73" i="41"/>
  <c r="AV106" i="41"/>
  <c r="AV100" i="41"/>
  <c r="AV97" i="41"/>
  <c r="AV101" i="41"/>
  <c r="AV87" i="41"/>
  <c r="AV79" i="41"/>
  <c r="AV102" i="41"/>
  <c r="AV88" i="41"/>
  <c r="AV85" i="41"/>
  <c r="AV69" i="41"/>
  <c r="AV66" i="41"/>
  <c r="AV105" i="41"/>
  <c r="AV104" i="41"/>
  <c r="AV89" i="41"/>
  <c r="AV67" i="41"/>
  <c r="AV65" i="41"/>
  <c r="AV59" i="41"/>
  <c r="AV54" i="41"/>
  <c r="AV49" i="41"/>
  <c r="AV37" i="41"/>
  <c r="AV81" i="41"/>
  <c r="AV62" i="41"/>
  <c r="AV57" i="41"/>
  <c r="AV52" i="41"/>
  <c r="AV44" i="41"/>
  <c r="AV34" i="41"/>
  <c r="AV25" i="41"/>
  <c r="AV77" i="41"/>
  <c r="AV70" i="41"/>
  <c r="AV56" i="41"/>
  <c r="AV41" i="41"/>
  <c r="AV33" i="41"/>
  <c r="AV21" i="41"/>
  <c r="AV20" i="41"/>
  <c r="AV98" i="41"/>
  <c r="AV61" i="41"/>
  <c r="AV51" i="41"/>
  <c r="AV36" i="41"/>
  <c r="AV23" i="41"/>
  <c r="AV17" i="41"/>
  <c r="AV71" i="41"/>
  <c r="AV55" i="41"/>
  <c r="AV27" i="41"/>
  <c r="AV22" i="41"/>
  <c r="AV60" i="41"/>
  <c r="AV50" i="41"/>
  <c r="AV35" i="41"/>
  <c r="AV19" i="41"/>
  <c r="AV78" i="41"/>
  <c r="AV38" i="41"/>
  <c r="AY63" i="41"/>
  <c r="BB63" i="41"/>
  <c r="AX63" i="41"/>
  <c r="AZ63" i="41"/>
  <c r="BA63" i="41"/>
  <c r="BA64" i="41" l="1"/>
  <c r="AZ64" i="41"/>
  <c r="AX64" i="41"/>
  <c r="BB64" i="41"/>
  <c r="AY64" i="41"/>
  <c r="BA121" i="41"/>
  <c r="BA117" i="41"/>
  <c r="BA120" i="41"/>
  <c r="BA119" i="41"/>
  <c r="BA114" i="41"/>
  <c r="BA118" i="41"/>
  <c r="BA113" i="41"/>
  <c r="BA112" i="41"/>
  <c r="BA116" i="41"/>
  <c r="BA110" i="41"/>
  <c r="BA106" i="41"/>
  <c r="BA109" i="41"/>
  <c r="BA108" i="41"/>
  <c r="BA107" i="41"/>
  <c r="BA102" i="41"/>
  <c r="BA98" i="41"/>
  <c r="BA94" i="41"/>
  <c r="BA93" i="41"/>
  <c r="BA92" i="41"/>
  <c r="BA89" i="41"/>
  <c r="BA85" i="41"/>
  <c r="BA79" i="41"/>
  <c r="BA75" i="41"/>
  <c r="BA71" i="41"/>
  <c r="BA67" i="41"/>
  <c r="BA105" i="41"/>
  <c r="BA95" i="41"/>
  <c r="BA91" i="41"/>
  <c r="BA90" i="41"/>
  <c r="BA74" i="41"/>
  <c r="BA73" i="41"/>
  <c r="BA72" i="41"/>
  <c r="BA111" i="41"/>
  <c r="BA99" i="41"/>
  <c r="BA96" i="41"/>
  <c r="BA115" i="41"/>
  <c r="BA103" i="41"/>
  <c r="BA97" i="41"/>
  <c r="BA86" i="41"/>
  <c r="BA81" i="41"/>
  <c r="BA78" i="41"/>
  <c r="BA104" i="41"/>
  <c r="BA87" i="41"/>
  <c r="BA68" i="41"/>
  <c r="BA65" i="41"/>
  <c r="BA76" i="41"/>
  <c r="BA69" i="41"/>
  <c r="BA62" i="41"/>
  <c r="BA57" i="41"/>
  <c r="BA52" i="41"/>
  <c r="BA44" i="41"/>
  <c r="BA34" i="41"/>
  <c r="BA25" i="41"/>
  <c r="BA101" i="41"/>
  <c r="BA77" i="41"/>
  <c r="BA70" i="41"/>
  <c r="BA61" i="41"/>
  <c r="BA56" i="41"/>
  <c r="BA51" i="41"/>
  <c r="BA41" i="41"/>
  <c r="BA36" i="41"/>
  <c r="BA33" i="41"/>
  <c r="BA100" i="41"/>
  <c r="BA88" i="41"/>
  <c r="BA55" i="41"/>
  <c r="BA38" i="41"/>
  <c r="BA27" i="41"/>
  <c r="BA19" i="41"/>
  <c r="BA66" i="41"/>
  <c r="BA60" i="41"/>
  <c r="BA35" i="41"/>
  <c r="BA23" i="41"/>
  <c r="BA54" i="41"/>
  <c r="BA20" i="41"/>
  <c r="BA59" i="41"/>
  <c r="BA49" i="41"/>
  <c r="BA17" i="41"/>
  <c r="BA50" i="41"/>
  <c r="BA22" i="41"/>
  <c r="BA80" i="41"/>
  <c r="BA37" i="41"/>
  <c r="BA21" i="41"/>
  <c r="AZ118" i="41"/>
  <c r="AZ121" i="41"/>
  <c r="AZ117" i="41"/>
  <c r="AZ120" i="41"/>
  <c r="AZ115" i="41"/>
  <c r="AZ119" i="41"/>
  <c r="AZ114" i="41"/>
  <c r="AZ112" i="41"/>
  <c r="AZ111" i="41"/>
  <c r="AZ107" i="41"/>
  <c r="AZ116" i="41"/>
  <c r="AZ106" i="41"/>
  <c r="AZ105" i="41"/>
  <c r="AZ103" i="41"/>
  <c r="AZ99" i="41"/>
  <c r="AZ95" i="41"/>
  <c r="AZ110" i="41"/>
  <c r="AZ104" i="41"/>
  <c r="AZ90" i="41"/>
  <c r="AZ86" i="41"/>
  <c r="AZ80" i="41"/>
  <c r="AZ76" i="41"/>
  <c r="AZ72" i="41"/>
  <c r="AZ68" i="41"/>
  <c r="AZ109" i="41"/>
  <c r="AZ101" i="41"/>
  <c r="AZ98" i="41"/>
  <c r="AZ89" i="41"/>
  <c r="AZ88" i="41"/>
  <c r="AZ87" i="41"/>
  <c r="AZ71" i="41"/>
  <c r="AZ70" i="41"/>
  <c r="AZ69" i="41"/>
  <c r="AZ113" i="41"/>
  <c r="AZ108" i="41"/>
  <c r="AZ102" i="41"/>
  <c r="AZ96" i="41"/>
  <c r="AZ93" i="41"/>
  <c r="AZ77" i="41"/>
  <c r="AZ74" i="41"/>
  <c r="AZ67" i="41"/>
  <c r="AZ97" i="41"/>
  <c r="AZ92" i="41"/>
  <c r="AZ81" i="41"/>
  <c r="AZ78" i="41"/>
  <c r="AZ75" i="41"/>
  <c r="AZ91" i="41"/>
  <c r="AZ59" i="41"/>
  <c r="AZ54" i="41"/>
  <c r="AZ49" i="41"/>
  <c r="AZ37" i="41"/>
  <c r="AZ94" i="41"/>
  <c r="AZ85" i="41"/>
  <c r="AZ62" i="41"/>
  <c r="AZ57" i="41"/>
  <c r="AZ52" i="41"/>
  <c r="AZ44" i="41"/>
  <c r="AZ34" i="41"/>
  <c r="AZ25" i="41"/>
  <c r="AZ79" i="41"/>
  <c r="AZ61" i="41"/>
  <c r="AZ51" i="41"/>
  <c r="AZ36" i="41"/>
  <c r="AZ21" i="41"/>
  <c r="AZ20" i="41"/>
  <c r="AZ65" i="41"/>
  <c r="AZ66" i="41"/>
  <c r="AZ35" i="41"/>
  <c r="AZ23" i="41"/>
  <c r="AZ100" i="41"/>
  <c r="AZ55" i="41"/>
  <c r="AZ38" i="41"/>
  <c r="AZ27" i="41"/>
  <c r="AZ19" i="41"/>
  <c r="AZ56" i="41"/>
  <c r="AZ41" i="41"/>
  <c r="AZ33" i="41"/>
  <c r="AZ17" i="41"/>
  <c r="AZ73" i="41"/>
  <c r="AZ60" i="41"/>
  <c r="AZ50" i="41"/>
  <c r="AZ22" i="41"/>
  <c r="AX120" i="41"/>
  <c r="AX119" i="41"/>
  <c r="AX118" i="41"/>
  <c r="AX121" i="41"/>
  <c r="AX113" i="41"/>
  <c r="AX116" i="41"/>
  <c r="AX115" i="41"/>
  <c r="AX114" i="41"/>
  <c r="AX112" i="41"/>
  <c r="AX117" i="41"/>
  <c r="AX109" i="41"/>
  <c r="AX105" i="41"/>
  <c r="AX101" i="41"/>
  <c r="AX97" i="41"/>
  <c r="AX93" i="41"/>
  <c r="AX100" i="41"/>
  <c r="AX99" i="41"/>
  <c r="AX98" i="41"/>
  <c r="AX88" i="41"/>
  <c r="AX78" i="41"/>
  <c r="AX74" i="41"/>
  <c r="AX70" i="41"/>
  <c r="AX66" i="41"/>
  <c r="AX110" i="41"/>
  <c r="AX106" i="41"/>
  <c r="AX104" i="41"/>
  <c r="AX81" i="41"/>
  <c r="AX80" i="41"/>
  <c r="AX79" i="41"/>
  <c r="AX65" i="41"/>
  <c r="AX94" i="41"/>
  <c r="AX102" i="41"/>
  <c r="AX95" i="41"/>
  <c r="AX85" i="41"/>
  <c r="AX76" i="41"/>
  <c r="AX73" i="41"/>
  <c r="AX107" i="41"/>
  <c r="AX103" i="41"/>
  <c r="AX96" i="41"/>
  <c r="AX89" i="41"/>
  <c r="AX86" i="41"/>
  <c r="AX77" i="41"/>
  <c r="AX67" i="41"/>
  <c r="AX92" i="41"/>
  <c r="AX90" i="41"/>
  <c r="AX68" i="41"/>
  <c r="AX61" i="41"/>
  <c r="AX56" i="41"/>
  <c r="AX51" i="41"/>
  <c r="AX41" i="41"/>
  <c r="AX36" i="41"/>
  <c r="AX33" i="41"/>
  <c r="AX111" i="41"/>
  <c r="AX91" i="41"/>
  <c r="AX75" i="41"/>
  <c r="AX69" i="41"/>
  <c r="AX60" i="41"/>
  <c r="AX55" i="41"/>
  <c r="AX50" i="41"/>
  <c r="AX38" i="41"/>
  <c r="AX35" i="41"/>
  <c r="AX27" i="41"/>
  <c r="AX54" i="41"/>
  <c r="AX37" i="41"/>
  <c r="AX23" i="41"/>
  <c r="AX17" i="41"/>
  <c r="AX49" i="41"/>
  <c r="AX62" i="41"/>
  <c r="AX25" i="41"/>
  <c r="AX72" i="41"/>
  <c r="AX57" i="41"/>
  <c r="AX44" i="41"/>
  <c r="AX34" i="41"/>
  <c r="AX22" i="41"/>
  <c r="AX108" i="41"/>
  <c r="AX87" i="41"/>
  <c r="AX71" i="41"/>
  <c r="AX59" i="41"/>
  <c r="AX21" i="41"/>
  <c r="AX20" i="41"/>
  <c r="AX52" i="41"/>
  <c r="AX19" i="41"/>
  <c r="BB120" i="41"/>
  <c r="BB119" i="41"/>
  <c r="BB118" i="41"/>
  <c r="BB121" i="41"/>
  <c r="BB117" i="41"/>
  <c r="BB113" i="41"/>
  <c r="BB112" i="41"/>
  <c r="BB116" i="41"/>
  <c r="BB115" i="41"/>
  <c r="BB114" i="41"/>
  <c r="BB109" i="41"/>
  <c r="BB105" i="41"/>
  <c r="BB111" i="41"/>
  <c r="BB110" i="41"/>
  <c r="BB101" i="41"/>
  <c r="BB97" i="41"/>
  <c r="BB93" i="41"/>
  <c r="BB107" i="41"/>
  <c r="BB96" i="41"/>
  <c r="BB95" i="41"/>
  <c r="BB94" i="41"/>
  <c r="BB88" i="41"/>
  <c r="BB78" i="41"/>
  <c r="BB74" i="41"/>
  <c r="BB70" i="41"/>
  <c r="BB66" i="41"/>
  <c r="BB108" i="41"/>
  <c r="BB102" i="41"/>
  <c r="BB99" i="41"/>
  <c r="BB92" i="41"/>
  <c r="BB77" i="41"/>
  <c r="BB76" i="41"/>
  <c r="BB75" i="41"/>
  <c r="BB103" i="41"/>
  <c r="BB100" i="41"/>
  <c r="BB104" i="41"/>
  <c r="BB90" i="41"/>
  <c r="BB87" i="41"/>
  <c r="BB71" i="41"/>
  <c r="BB68" i="41"/>
  <c r="BB98" i="41"/>
  <c r="BB91" i="41"/>
  <c r="BB79" i="41"/>
  <c r="BB72" i="41"/>
  <c r="BB69" i="41"/>
  <c r="BB85" i="41"/>
  <c r="BB61" i="41"/>
  <c r="BB56" i="41"/>
  <c r="BB51" i="41"/>
  <c r="BB41" i="41"/>
  <c r="BB36" i="41"/>
  <c r="BB33" i="41"/>
  <c r="BB106" i="41"/>
  <c r="BB86" i="41"/>
  <c r="BB65" i="41"/>
  <c r="BB60" i="41"/>
  <c r="BB55" i="41"/>
  <c r="BB50" i="41"/>
  <c r="BB38" i="41"/>
  <c r="BB35" i="41"/>
  <c r="BB27" i="41"/>
  <c r="BB23" i="41"/>
  <c r="BB59" i="41"/>
  <c r="BB49" i="41"/>
  <c r="BB17" i="41"/>
  <c r="BB73" i="41"/>
  <c r="BB54" i="41"/>
  <c r="BB37" i="41"/>
  <c r="BB21" i="41"/>
  <c r="BB20" i="41"/>
  <c r="BB89" i="41"/>
  <c r="BB44" i="41"/>
  <c r="BB19" i="41"/>
  <c r="BB81" i="41"/>
  <c r="BB67" i="41"/>
  <c r="BB62" i="41"/>
  <c r="BB52" i="41"/>
  <c r="BB25" i="41"/>
  <c r="BB22" i="41"/>
  <c r="BB80" i="41"/>
  <c r="BB57" i="41"/>
  <c r="BB34" i="41"/>
  <c r="AY119" i="41"/>
  <c r="AY118" i="41"/>
  <c r="AY121" i="41"/>
  <c r="AY117" i="41"/>
  <c r="AY116" i="41"/>
  <c r="AY108" i="41"/>
  <c r="AY120" i="41"/>
  <c r="AY114" i="41"/>
  <c r="AY104" i="41"/>
  <c r="AY100" i="41"/>
  <c r="AY96" i="41"/>
  <c r="AY92" i="41"/>
  <c r="AY109" i="41"/>
  <c r="AY106" i="41"/>
  <c r="AY103" i="41"/>
  <c r="AY102" i="41"/>
  <c r="AY101" i="41"/>
  <c r="AY91" i="41"/>
  <c r="AY87" i="41"/>
  <c r="AY81" i="41"/>
  <c r="AY77" i="41"/>
  <c r="AY73" i="41"/>
  <c r="AY69" i="41"/>
  <c r="AY65" i="41"/>
  <c r="AY112" i="41"/>
  <c r="AY97" i="41"/>
  <c r="AY94" i="41"/>
  <c r="AY86" i="41"/>
  <c r="AY85" i="41"/>
  <c r="AY68" i="41"/>
  <c r="AY67" i="41"/>
  <c r="AY66" i="41"/>
  <c r="AY105" i="41"/>
  <c r="AY98" i="41"/>
  <c r="AY95" i="41"/>
  <c r="AY113" i="41"/>
  <c r="AY107" i="41"/>
  <c r="AY89" i="41"/>
  <c r="AY80" i="41"/>
  <c r="AY70" i="41"/>
  <c r="AY115" i="41"/>
  <c r="AY110" i="41"/>
  <c r="AY93" i="41"/>
  <c r="AY90" i="41"/>
  <c r="AY74" i="41"/>
  <c r="AY71" i="41"/>
  <c r="AY111" i="41"/>
  <c r="AY99" i="41"/>
  <c r="AY75" i="41"/>
  <c r="AY60" i="41"/>
  <c r="AY55" i="41"/>
  <c r="AY50" i="41"/>
  <c r="AY38" i="41"/>
  <c r="AY35" i="41"/>
  <c r="AY27" i="41"/>
  <c r="AY23" i="41"/>
  <c r="AY76" i="41"/>
  <c r="AY59" i="41"/>
  <c r="AY54" i="41"/>
  <c r="AY49" i="41"/>
  <c r="AY37" i="41"/>
  <c r="AY72" i="41"/>
  <c r="AY57" i="41"/>
  <c r="AY44" i="41"/>
  <c r="AY34" i="41"/>
  <c r="AY22" i="41"/>
  <c r="AY25" i="41"/>
  <c r="AY19" i="41"/>
  <c r="AY41" i="41"/>
  <c r="AY88" i="41"/>
  <c r="AY79" i="41"/>
  <c r="AY61" i="41"/>
  <c r="AY51" i="41"/>
  <c r="AY36" i="41"/>
  <c r="AY21" i="41"/>
  <c r="AY20" i="41"/>
  <c r="AY78" i="41"/>
  <c r="AY62" i="41"/>
  <c r="AY52" i="41"/>
  <c r="AY56" i="41"/>
  <c r="AY33" i="41"/>
  <c r="AY17" i="41"/>
  <c r="BE63" i="41"/>
  <c r="BF63" i="41"/>
  <c r="BG63" i="41"/>
  <c r="BD63" i="41"/>
  <c r="BC63" i="41"/>
  <c r="BD64" i="41" l="1"/>
  <c r="BC64" i="41"/>
  <c r="BG64" i="41"/>
  <c r="BF64" i="41"/>
  <c r="BE64" i="41"/>
  <c r="BD118" i="41"/>
  <c r="BD121" i="41"/>
  <c r="BD117" i="41"/>
  <c r="BD120" i="41"/>
  <c r="BD115" i="41"/>
  <c r="BD116" i="41"/>
  <c r="BD111" i="41"/>
  <c r="BD107" i="41"/>
  <c r="BD113" i="41"/>
  <c r="BD103" i="41"/>
  <c r="BD99" i="41"/>
  <c r="BD95" i="41"/>
  <c r="BD108" i="41"/>
  <c r="BD105" i="41"/>
  <c r="BD102" i="41"/>
  <c r="BD101" i="41"/>
  <c r="BD100" i="41"/>
  <c r="BD90" i="41"/>
  <c r="BD86" i="41"/>
  <c r="BD80" i="41"/>
  <c r="BD76" i="41"/>
  <c r="BD72" i="41"/>
  <c r="BD68" i="41"/>
  <c r="BD96" i="41"/>
  <c r="BD93" i="41"/>
  <c r="BD85" i="41"/>
  <c r="BD81" i="41"/>
  <c r="BD67" i="41"/>
  <c r="BD66" i="41"/>
  <c r="BD65" i="41"/>
  <c r="BD110" i="41"/>
  <c r="BD106" i="41"/>
  <c r="BD104" i="41"/>
  <c r="BD97" i="41"/>
  <c r="BD94" i="41"/>
  <c r="BD119" i="41"/>
  <c r="BD114" i="41"/>
  <c r="BD98" i="41"/>
  <c r="BD92" i="41"/>
  <c r="BD91" i="41"/>
  <c r="BD88" i="41"/>
  <c r="BD79" i="41"/>
  <c r="BD69" i="41"/>
  <c r="BD89" i="41"/>
  <c r="BD73" i="41"/>
  <c r="BD70" i="41"/>
  <c r="BD77" i="41"/>
  <c r="BD71" i="41"/>
  <c r="BD59" i="41"/>
  <c r="BD54" i="41"/>
  <c r="BD49" i="41"/>
  <c r="BD37" i="41"/>
  <c r="BD87" i="41"/>
  <c r="BD78" i="41"/>
  <c r="BD62" i="41"/>
  <c r="BD57" i="41"/>
  <c r="BD52" i="41"/>
  <c r="BD44" i="41"/>
  <c r="BD34" i="41"/>
  <c r="BD25" i="41"/>
  <c r="BD74" i="41"/>
  <c r="BD56" i="41"/>
  <c r="BD41" i="41"/>
  <c r="BD33" i="41"/>
  <c r="BD21" i="41"/>
  <c r="BD20" i="41"/>
  <c r="BD17" i="41"/>
  <c r="BD38" i="41"/>
  <c r="BD22" i="41"/>
  <c r="BD112" i="41"/>
  <c r="BD60" i="41"/>
  <c r="BD50" i="41"/>
  <c r="BD35" i="41"/>
  <c r="BD23" i="41"/>
  <c r="BD19" i="41"/>
  <c r="BD109" i="41"/>
  <c r="BD61" i="41"/>
  <c r="BD51" i="41"/>
  <c r="BD36" i="41"/>
  <c r="BD75" i="41"/>
  <c r="BD55" i="41"/>
  <c r="BD27" i="41"/>
  <c r="BE121" i="41"/>
  <c r="BE117" i="41"/>
  <c r="BE120" i="41"/>
  <c r="BE119" i="41"/>
  <c r="BE114" i="41"/>
  <c r="BE118" i="41"/>
  <c r="BE112" i="41"/>
  <c r="BE113" i="41"/>
  <c r="BE110" i="41"/>
  <c r="BE106" i="41"/>
  <c r="BE115" i="41"/>
  <c r="BE105" i="41"/>
  <c r="BE102" i="41"/>
  <c r="BE98" i="41"/>
  <c r="BE94" i="41"/>
  <c r="BE109" i="41"/>
  <c r="BE104" i="41"/>
  <c r="BE103" i="41"/>
  <c r="BE89" i="41"/>
  <c r="BE85" i="41"/>
  <c r="BE79" i="41"/>
  <c r="BE75" i="41"/>
  <c r="BE71" i="41"/>
  <c r="BE67" i="41"/>
  <c r="BE111" i="41"/>
  <c r="BE107" i="41"/>
  <c r="BE100" i="41"/>
  <c r="BE97" i="41"/>
  <c r="BE88" i="41"/>
  <c r="BE87" i="41"/>
  <c r="BE86" i="41"/>
  <c r="BE70" i="41"/>
  <c r="BE69" i="41"/>
  <c r="BE68" i="41"/>
  <c r="BE101" i="41"/>
  <c r="BE76" i="41"/>
  <c r="BE73" i="41"/>
  <c r="BE66" i="41"/>
  <c r="BE116" i="41"/>
  <c r="BE108" i="41"/>
  <c r="BE99" i="41"/>
  <c r="BE80" i="41"/>
  <c r="BE77" i="41"/>
  <c r="BE74" i="41"/>
  <c r="BE93" i="41"/>
  <c r="BE78" i="41"/>
  <c r="BE65" i="41"/>
  <c r="BE62" i="41"/>
  <c r="BE57" i="41"/>
  <c r="BE52" i="41"/>
  <c r="BE44" i="41"/>
  <c r="BE34" i="41"/>
  <c r="BE25" i="41"/>
  <c r="BE96" i="41"/>
  <c r="BE72" i="41"/>
  <c r="BE61" i="41"/>
  <c r="BE56" i="41"/>
  <c r="BE51" i="41"/>
  <c r="BE41" i="41"/>
  <c r="BE36" i="41"/>
  <c r="BE33" i="41"/>
  <c r="BE95" i="41"/>
  <c r="BE90" i="41"/>
  <c r="BE81" i="41"/>
  <c r="BE60" i="41"/>
  <c r="BE50" i="41"/>
  <c r="BE35" i="41"/>
  <c r="BE23" i="41"/>
  <c r="BE19" i="41"/>
  <c r="BE38" i="41"/>
  <c r="BE27" i="41"/>
  <c r="BE22" i="41"/>
  <c r="BE54" i="41"/>
  <c r="BE37" i="41"/>
  <c r="BE17" i="41"/>
  <c r="BE55" i="41"/>
  <c r="BE92" i="41"/>
  <c r="BE91" i="41"/>
  <c r="BE59" i="41"/>
  <c r="BE49" i="41"/>
  <c r="BE21" i="41"/>
  <c r="BE20" i="41"/>
  <c r="BG119" i="41"/>
  <c r="BG118" i="41"/>
  <c r="BG121" i="41"/>
  <c r="BG117" i="41"/>
  <c r="BG116" i="41"/>
  <c r="BG115" i="41"/>
  <c r="BG114" i="41"/>
  <c r="BG113" i="41"/>
  <c r="BG120" i="41"/>
  <c r="BG108" i="41"/>
  <c r="BG112" i="41"/>
  <c r="BG111" i="41"/>
  <c r="BG110" i="41"/>
  <c r="BG109" i="41"/>
  <c r="BG104" i="41"/>
  <c r="BG100" i="41"/>
  <c r="BG96" i="41"/>
  <c r="BG92" i="41"/>
  <c r="BG106" i="41"/>
  <c r="BG95" i="41"/>
  <c r="BG94" i="41"/>
  <c r="BG93" i="41"/>
  <c r="BG91" i="41"/>
  <c r="BG87" i="41"/>
  <c r="BG81" i="41"/>
  <c r="BG77" i="41"/>
  <c r="BG73" i="41"/>
  <c r="BG69" i="41"/>
  <c r="BG65" i="41"/>
  <c r="BG101" i="41"/>
  <c r="BG98" i="41"/>
  <c r="BG76" i="41"/>
  <c r="BG75" i="41"/>
  <c r="BG74" i="41"/>
  <c r="BG102" i="41"/>
  <c r="BG99" i="41"/>
  <c r="BG105" i="41"/>
  <c r="BG89" i="41"/>
  <c r="BG86" i="41"/>
  <c r="BG70" i="41"/>
  <c r="BG67" i="41"/>
  <c r="BG90" i="41"/>
  <c r="BG78" i="41"/>
  <c r="BG71" i="41"/>
  <c r="BG68" i="41"/>
  <c r="BG103" i="41"/>
  <c r="BG79" i="41"/>
  <c r="BG72" i="41"/>
  <c r="BG60" i="41"/>
  <c r="BG55" i="41"/>
  <c r="BG50" i="41"/>
  <c r="BG38" i="41"/>
  <c r="BG35" i="41"/>
  <c r="BG27" i="41"/>
  <c r="BG23" i="41"/>
  <c r="BG107" i="41"/>
  <c r="BG88" i="41"/>
  <c r="BG80" i="41"/>
  <c r="BG66" i="41"/>
  <c r="BG59" i="41"/>
  <c r="BG54" i="41"/>
  <c r="BG49" i="41"/>
  <c r="BG37" i="41"/>
  <c r="BG57" i="41"/>
  <c r="BG44" i="41"/>
  <c r="BG34" i="41"/>
  <c r="BG22" i="41"/>
  <c r="BG62" i="41"/>
  <c r="BG52" i="41"/>
  <c r="BG19" i="41"/>
  <c r="BG97" i="41"/>
  <c r="BG56" i="41"/>
  <c r="BG33" i="41"/>
  <c r="BG85" i="41"/>
  <c r="BG61" i="41"/>
  <c r="BG51" i="41"/>
  <c r="BG36" i="41"/>
  <c r="BG21" i="41"/>
  <c r="BG20" i="41"/>
  <c r="BG25" i="41"/>
  <c r="BG41" i="41"/>
  <c r="BG17" i="41"/>
  <c r="BF120" i="41"/>
  <c r="BF119" i="41"/>
  <c r="BF118" i="41"/>
  <c r="BF113" i="41"/>
  <c r="BF112" i="41"/>
  <c r="BF121" i="41"/>
  <c r="BF117" i="41"/>
  <c r="BF115" i="41"/>
  <c r="BF109" i="41"/>
  <c r="BF105" i="41"/>
  <c r="BF116" i="41"/>
  <c r="BF108" i="41"/>
  <c r="BF107" i="41"/>
  <c r="BF106" i="41"/>
  <c r="BF101" i="41"/>
  <c r="BF97" i="41"/>
  <c r="BF93" i="41"/>
  <c r="BF92" i="41"/>
  <c r="BF88" i="41"/>
  <c r="BF78" i="41"/>
  <c r="BF74" i="41"/>
  <c r="BF70" i="41"/>
  <c r="BF66" i="41"/>
  <c r="BF110" i="41"/>
  <c r="BF104" i="41"/>
  <c r="BF94" i="41"/>
  <c r="BF91" i="41"/>
  <c r="BF90" i="41"/>
  <c r="BF89" i="41"/>
  <c r="BF73" i="41"/>
  <c r="BF72" i="41"/>
  <c r="BF71" i="41"/>
  <c r="BF114" i="41"/>
  <c r="BF98" i="41"/>
  <c r="BF95" i="41"/>
  <c r="BF99" i="41"/>
  <c r="BF85" i="41"/>
  <c r="BF80" i="41"/>
  <c r="BF77" i="41"/>
  <c r="BF111" i="41"/>
  <c r="BF100" i="41"/>
  <c r="BF86" i="41"/>
  <c r="BF81" i="41"/>
  <c r="BF67" i="41"/>
  <c r="BF96" i="41"/>
  <c r="BF87" i="41"/>
  <c r="BF61" i="41"/>
  <c r="BF56" i="41"/>
  <c r="BF51" i="41"/>
  <c r="BF41" i="41"/>
  <c r="BF36" i="41"/>
  <c r="BF33" i="41"/>
  <c r="BF103" i="41"/>
  <c r="BF79" i="41"/>
  <c r="BF60" i="41"/>
  <c r="BF55" i="41"/>
  <c r="BF50" i="41"/>
  <c r="BF38" i="41"/>
  <c r="BF35" i="41"/>
  <c r="BF27" i="41"/>
  <c r="BF23" i="41"/>
  <c r="BF54" i="41"/>
  <c r="BF37" i="41"/>
  <c r="BF17" i="41"/>
  <c r="BF75" i="41"/>
  <c r="BF59" i="41"/>
  <c r="BF62" i="41"/>
  <c r="BF52" i="41"/>
  <c r="BF76" i="41"/>
  <c r="BF69" i="41"/>
  <c r="BF65" i="41"/>
  <c r="BF57" i="41"/>
  <c r="BF44" i="41"/>
  <c r="BF34" i="41"/>
  <c r="BF22" i="41"/>
  <c r="BF102" i="41"/>
  <c r="BF68" i="41"/>
  <c r="BF49" i="41"/>
  <c r="BF21" i="41"/>
  <c r="BF20" i="41"/>
  <c r="BF25" i="41"/>
  <c r="BF19" i="41"/>
  <c r="BC119" i="41"/>
  <c r="BC118" i="41"/>
  <c r="BC121" i="41"/>
  <c r="BC117" i="41"/>
  <c r="BC120" i="41"/>
  <c r="BC116" i="41"/>
  <c r="BC115" i="41"/>
  <c r="BC114" i="41"/>
  <c r="BC113" i="41"/>
  <c r="BC108" i="41"/>
  <c r="BC104" i="41"/>
  <c r="BC100" i="41"/>
  <c r="BC96" i="41"/>
  <c r="BC92" i="41"/>
  <c r="BC112" i="41"/>
  <c r="BC111" i="41"/>
  <c r="BC99" i="41"/>
  <c r="BC98" i="41"/>
  <c r="BC97" i="41"/>
  <c r="BC91" i="41"/>
  <c r="BC87" i="41"/>
  <c r="BC81" i="41"/>
  <c r="BC77" i="41"/>
  <c r="BC73" i="41"/>
  <c r="BC69" i="41"/>
  <c r="BC65" i="41"/>
  <c r="BC103" i="41"/>
  <c r="BC80" i="41"/>
  <c r="BC79" i="41"/>
  <c r="BC78" i="41"/>
  <c r="BC107" i="41"/>
  <c r="BC110" i="41"/>
  <c r="BC75" i="41"/>
  <c r="BC72" i="41"/>
  <c r="BC105" i="41"/>
  <c r="BC88" i="41"/>
  <c r="BC85" i="41"/>
  <c r="BC76" i="41"/>
  <c r="BC66" i="41"/>
  <c r="BC106" i="41"/>
  <c r="BC101" i="41"/>
  <c r="BC94" i="41"/>
  <c r="BC86" i="41"/>
  <c r="BC70" i="41"/>
  <c r="BC60" i="41"/>
  <c r="BC55" i="41"/>
  <c r="BC50" i="41"/>
  <c r="BC38" i="41"/>
  <c r="BC35" i="41"/>
  <c r="BC27" i="41"/>
  <c r="BC23" i="41"/>
  <c r="BC93" i="41"/>
  <c r="BC71" i="41"/>
  <c r="BC59" i="41"/>
  <c r="BC54" i="41"/>
  <c r="BC49" i="41"/>
  <c r="BC37" i="41"/>
  <c r="BC67" i="41"/>
  <c r="BC62" i="41"/>
  <c r="BC52" i="41"/>
  <c r="BC25" i="41"/>
  <c r="BC22" i="41"/>
  <c r="BC57" i="41"/>
  <c r="BC44" i="41"/>
  <c r="BC34" i="41"/>
  <c r="BC109" i="41"/>
  <c r="BC61" i="41"/>
  <c r="BC51" i="41"/>
  <c r="BC36" i="41"/>
  <c r="BC17" i="41"/>
  <c r="BC95" i="41"/>
  <c r="BC90" i="41"/>
  <c r="BC74" i="41"/>
  <c r="BC56" i="41"/>
  <c r="BC41" i="41"/>
  <c r="BC33" i="41"/>
  <c r="BC21" i="41"/>
  <c r="BC20" i="41"/>
  <c r="BC89" i="41"/>
  <c r="BC19" i="41"/>
  <c r="BC102" i="41"/>
  <c r="BC68" i="41"/>
  <c r="BH63" i="41"/>
  <c r="BJ63" i="41"/>
  <c r="BK63" i="41"/>
  <c r="BI63" i="41"/>
  <c r="BL63" i="41"/>
  <c r="BI64" i="41" l="1"/>
  <c r="BK64" i="41"/>
  <c r="BL64" i="41"/>
  <c r="BJ64" i="41"/>
  <c r="BH64" i="41"/>
  <c r="BL118" i="41"/>
  <c r="BL121" i="41"/>
  <c r="BL117" i="41"/>
  <c r="BL120" i="41"/>
  <c r="BL115" i="41"/>
  <c r="BL114" i="41"/>
  <c r="BL113" i="41"/>
  <c r="BL116" i="41"/>
  <c r="BL111" i="41"/>
  <c r="BL107" i="41"/>
  <c r="BL119" i="41"/>
  <c r="BL110" i="41"/>
  <c r="BL109" i="41"/>
  <c r="BL108" i="41"/>
  <c r="BL103" i="41"/>
  <c r="BL99" i="41"/>
  <c r="BL95" i="41"/>
  <c r="BL105" i="41"/>
  <c r="BL94" i="41"/>
  <c r="BL93" i="41"/>
  <c r="BL92" i="41"/>
  <c r="BL90" i="41"/>
  <c r="BL86" i="41"/>
  <c r="BL80" i="41"/>
  <c r="BL76" i="41"/>
  <c r="BL72" i="41"/>
  <c r="BL68" i="41"/>
  <c r="BL100" i="41"/>
  <c r="BL97" i="41"/>
  <c r="BL91" i="41"/>
  <c r="BL75" i="41"/>
  <c r="BL74" i="41"/>
  <c r="BL73" i="41"/>
  <c r="BL112" i="41"/>
  <c r="BL104" i="41"/>
  <c r="BL101" i="41"/>
  <c r="BL98" i="41"/>
  <c r="BL106" i="41"/>
  <c r="BL102" i="41"/>
  <c r="BL88" i="41"/>
  <c r="BL85" i="41"/>
  <c r="BL69" i="41"/>
  <c r="BL66" i="41"/>
  <c r="BL96" i="41"/>
  <c r="BL89" i="41"/>
  <c r="BL77" i="41"/>
  <c r="BL70" i="41"/>
  <c r="BL67" i="41"/>
  <c r="BL81" i="41"/>
  <c r="BL59" i="41"/>
  <c r="BL54" i="41"/>
  <c r="BL49" i="41"/>
  <c r="BL37" i="41"/>
  <c r="BL65" i="41"/>
  <c r="BL62" i="41"/>
  <c r="BL57" i="41"/>
  <c r="BL52" i="41"/>
  <c r="BL44" i="41"/>
  <c r="BL34" i="41"/>
  <c r="BL25" i="41"/>
  <c r="BL78" i="41"/>
  <c r="BL71" i="41"/>
  <c r="BL56" i="41"/>
  <c r="BL41" i="41"/>
  <c r="BL33" i="41"/>
  <c r="BL21" i="41"/>
  <c r="BL20" i="41"/>
  <c r="BL61" i="41"/>
  <c r="BL51" i="41"/>
  <c r="BL36" i="41"/>
  <c r="BL17" i="41"/>
  <c r="BL55" i="41"/>
  <c r="BL27" i="41"/>
  <c r="BL22" i="41"/>
  <c r="BL87" i="41"/>
  <c r="BL60" i="41"/>
  <c r="BL50" i="41"/>
  <c r="BL35" i="41"/>
  <c r="BL23" i="41"/>
  <c r="BL19" i="41"/>
  <c r="BL79" i="41"/>
  <c r="BL38" i="41"/>
  <c r="BJ120" i="41"/>
  <c r="BJ119" i="41"/>
  <c r="BJ118" i="41"/>
  <c r="BJ113" i="41"/>
  <c r="BJ121" i="41"/>
  <c r="BJ117" i="41"/>
  <c r="BJ112" i="41"/>
  <c r="BJ109" i="41"/>
  <c r="BJ105" i="41"/>
  <c r="BJ116" i="41"/>
  <c r="BJ114" i="41"/>
  <c r="BJ101" i="41"/>
  <c r="BJ97" i="41"/>
  <c r="BJ93" i="41"/>
  <c r="BJ115" i="41"/>
  <c r="BJ111" i="41"/>
  <c r="BJ108" i="41"/>
  <c r="BJ104" i="41"/>
  <c r="BJ103" i="41"/>
  <c r="BJ102" i="41"/>
  <c r="BJ88" i="41"/>
  <c r="BJ78" i="41"/>
  <c r="BJ74" i="41"/>
  <c r="BJ70" i="41"/>
  <c r="BJ66" i="41"/>
  <c r="BJ99" i="41"/>
  <c r="BJ96" i="41"/>
  <c r="BJ87" i="41"/>
  <c r="BJ86" i="41"/>
  <c r="BJ85" i="41"/>
  <c r="BJ69" i="41"/>
  <c r="BJ68" i="41"/>
  <c r="BJ67" i="41"/>
  <c r="BJ100" i="41"/>
  <c r="BJ94" i="41"/>
  <c r="BJ91" i="41"/>
  <c r="BJ75" i="41"/>
  <c r="BJ72" i="41"/>
  <c r="BJ106" i="41"/>
  <c r="BJ95" i="41"/>
  <c r="BJ92" i="41"/>
  <c r="BJ79" i="41"/>
  <c r="BJ76" i="41"/>
  <c r="BJ73" i="41"/>
  <c r="BJ107" i="41"/>
  <c r="BJ89" i="41"/>
  <c r="BJ80" i="41"/>
  <c r="BJ61" i="41"/>
  <c r="BJ56" i="41"/>
  <c r="BJ51" i="41"/>
  <c r="BJ41" i="41"/>
  <c r="BJ36" i="41"/>
  <c r="BJ33" i="41"/>
  <c r="BJ98" i="41"/>
  <c r="BJ90" i="41"/>
  <c r="BJ81" i="41"/>
  <c r="BJ60" i="41"/>
  <c r="BJ55" i="41"/>
  <c r="BJ50" i="41"/>
  <c r="BJ38" i="41"/>
  <c r="BJ35" i="41"/>
  <c r="BJ27" i="41"/>
  <c r="BJ23" i="41"/>
  <c r="BJ65" i="41"/>
  <c r="BJ59" i="41"/>
  <c r="BJ49" i="41"/>
  <c r="BJ17" i="41"/>
  <c r="BJ21" i="41"/>
  <c r="BJ20" i="41"/>
  <c r="BJ57" i="41"/>
  <c r="BJ34" i="41"/>
  <c r="BJ19" i="41"/>
  <c r="BJ71" i="41"/>
  <c r="BJ62" i="41"/>
  <c r="BJ52" i="41"/>
  <c r="BJ25" i="41"/>
  <c r="BJ22" i="41"/>
  <c r="BJ77" i="41"/>
  <c r="BJ54" i="41"/>
  <c r="BJ37" i="41"/>
  <c r="BJ110" i="41"/>
  <c r="BJ44" i="41"/>
  <c r="BH118" i="41"/>
  <c r="BH121" i="41"/>
  <c r="BH117" i="41"/>
  <c r="BH120" i="41"/>
  <c r="BH119" i="41"/>
  <c r="BH115" i="41"/>
  <c r="BH114" i="41"/>
  <c r="BH113" i="41"/>
  <c r="BH116" i="41"/>
  <c r="BH112" i="41"/>
  <c r="BH111" i="41"/>
  <c r="BH107" i="41"/>
  <c r="BH103" i="41"/>
  <c r="BH99" i="41"/>
  <c r="BH95" i="41"/>
  <c r="BH110" i="41"/>
  <c r="BH98" i="41"/>
  <c r="BH97" i="41"/>
  <c r="BH96" i="41"/>
  <c r="BH90" i="41"/>
  <c r="BH86" i="41"/>
  <c r="BH80" i="41"/>
  <c r="BH76" i="41"/>
  <c r="BH72" i="41"/>
  <c r="BH68" i="41"/>
  <c r="BH106" i="41"/>
  <c r="BH102" i="41"/>
  <c r="BH79" i="41"/>
  <c r="BH78" i="41"/>
  <c r="BH77" i="41"/>
  <c r="BH109" i="41"/>
  <c r="BH105" i="41"/>
  <c r="BH108" i="41"/>
  <c r="BH100" i="41"/>
  <c r="BH81" i="41"/>
  <c r="BH74" i="41"/>
  <c r="BH71" i="41"/>
  <c r="BH101" i="41"/>
  <c r="BH94" i="41"/>
  <c r="BH93" i="41"/>
  <c r="BH87" i="41"/>
  <c r="BH75" i="41"/>
  <c r="BH65" i="41"/>
  <c r="BH88" i="41"/>
  <c r="BH66" i="41"/>
  <c r="BH59" i="41"/>
  <c r="BH54" i="41"/>
  <c r="BH49" i="41"/>
  <c r="BH37" i="41"/>
  <c r="BH89" i="41"/>
  <c r="BH73" i="41"/>
  <c r="BH67" i="41"/>
  <c r="BH62" i="41"/>
  <c r="BH57" i="41"/>
  <c r="BH52" i="41"/>
  <c r="BH44" i="41"/>
  <c r="BH34" i="41"/>
  <c r="BH25" i="41"/>
  <c r="BH85" i="41"/>
  <c r="BH69" i="41"/>
  <c r="BH61" i="41"/>
  <c r="BH51" i="41"/>
  <c r="BH36" i="41"/>
  <c r="BH21" i="41"/>
  <c r="BH20" i="41"/>
  <c r="BH92" i="41"/>
  <c r="BH91" i="41"/>
  <c r="BH56" i="41"/>
  <c r="BH41" i="41"/>
  <c r="BH33" i="41"/>
  <c r="BH70" i="41"/>
  <c r="BH60" i="41"/>
  <c r="BH50" i="41"/>
  <c r="BH23" i="41"/>
  <c r="BH104" i="41"/>
  <c r="BH55" i="41"/>
  <c r="BH38" i="41"/>
  <c r="BH27" i="41"/>
  <c r="BH19" i="41"/>
  <c r="BH17" i="41"/>
  <c r="BH35" i="41"/>
  <c r="BH22" i="41"/>
  <c r="BI121" i="41"/>
  <c r="BI117" i="41"/>
  <c r="BI120" i="41"/>
  <c r="BI119" i="41"/>
  <c r="BI114" i="41"/>
  <c r="BI116" i="41"/>
  <c r="BI115" i="41"/>
  <c r="BI112" i="41"/>
  <c r="BI110" i="41"/>
  <c r="BI106" i="41"/>
  <c r="BI118" i="41"/>
  <c r="BI102" i="41"/>
  <c r="BI98" i="41"/>
  <c r="BI94" i="41"/>
  <c r="BI113" i="41"/>
  <c r="BI107" i="41"/>
  <c r="BI101" i="41"/>
  <c r="BI100" i="41"/>
  <c r="BI99" i="41"/>
  <c r="BI89" i="41"/>
  <c r="BI85" i="41"/>
  <c r="BI79" i="41"/>
  <c r="BI75" i="41"/>
  <c r="BI71" i="41"/>
  <c r="BI67" i="41"/>
  <c r="BI109" i="41"/>
  <c r="BI105" i="41"/>
  <c r="BI95" i="41"/>
  <c r="BI92" i="41"/>
  <c r="BI81" i="41"/>
  <c r="BI80" i="41"/>
  <c r="BI66" i="41"/>
  <c r="BI65" i="41"/>
  <c r="BI108" i="41"/>
  <c r="BI103" i="41"/>
  <c r="BI96" i="41"/>
  <c r="BI111" i="41"/>
  <c r="BI93" i="41"/>
  <c r="BI90" i="41"/>
  <c r="BI87" i="41"/>
  <c r="BI78" i="41"/>
  <c r="BI68" i="41"/>
  <c r="BI91" i="41"/>
  <c r="BI88" i="41"/>
  <c r="BI72" i="41"/>
  <c r="BI69" i="41"/>
  <c r="BI73" i="41"/>
  <c r="BI62" i="41"/>
  <c r="BI57" i="41"/>
  <c r="BI52" i="41"/>
  <c r="BI44" i="41"/>
  <c r="BI34" i="41"/>
  <c r="BI25" i="41"/>
  <c r="BI74" i="41"/>
  <c r="BI61" i="41"/>
  <c r="BI56" i="41"/>
  <c r="BI51" i="41"/>
  <c r="BI41" i="41"/>
  <c r="BI36" i="41"/>
  <c r="BI33" i="41"/>
  <c r="BI104" i="41"/>
  <c r="BI76" i="41"/>
  <c r="BI55" i="41"/>
  <c r="BI38" i="41"/>
  <c r="BI27" i="41"/>
  <c r="BI19" i="41"/>
  <c r="BI50" i="41"/>
  <c r="BI22" i="41"/>
  <c r="BI86" i="41"/>
  <c r="BI77" i="41"/>
  <c r="BI37" i="41"/>
  <c r="BI21" i="41"/>
  <c r="BI20" i="41"/>
  <c r="BI59" i="41"/>
  <c r="BI49" i="41"/>
  <c r="BI17" i="41"/>
  <c r="BI97" i="41"/>
  <c r="BI70" i="41"/>
  <c r="BI60" i="41"/>
  <c r="BI35" i="41"/>
  <c r="BI23" i="41"/>
  <c r="BI54" i="41"/>
  <c r="BK119" i="41"/>
  <c r="BK118" i="41"/>
  <c r="BK121" i="41"/>
  <c r="BK117" i="41"/>
  <c r="BK116" i="41"/>
  <c r="BK120" i="41"/>
  <c r="BK114" i="41"/>
  <c r="BK108" i="41"/>
  <c r="BK115" i="41"/>
  <c r="BK107" i="41"/>
  <c r="BK106" i="41"/>
  <c r="BK105" i="41"/>
  <c r="BK104" i="41"/>
  <c r="BK100" i="41"/>
  <c r="BK96" i="41"/>
  <c r="BK92" i="41"/>
  <c r="BK91" i="41"/>
  <c r="BK87" i="41"/>
  <c r="BK81" i="41"/>
  <c r="BK77" i="41"/>
  <c r="BK73" i="41"/>
  <c r="BK69" i="41"/>
  <c r="BK65" i="41"/>
  <c r="BK113" i="41"/>
  <c r="BK103" i="41"/>
  <c r="BK93" i="41"/>
  <c r="BK90" i="41"/>
  <c r="BK89" i="41"/>
  <c r="BK88" i="41"/>
  <c r="BK72" i="41"/>
  <c r="BK71" i="41"/>
  <c r="BK70" i="41"/>
  <c r="BK111" i="41"/>
  <c r="BK97" i="41"/>
  <c r="BK94" i="41"/>
  <c r="BK101" i="41"/>
  <c r="BK95" i="41"/>
  <c r="BK79" i="41"/>
  <c r="BK76" i="41"/>
  <c r="BK109" i="41"/>
  <c r="BK102" i="41"/>
  <c r="BK85" i="41"/>
  <c r="BK80" i="41"/>
  <c r="BK66" i="41"/>
  <c r="BK98" i="41"/>
  <c r="BK74" i="41"/>
  <c r="BK67" i="41"/>
  <c r="BK60" i="41"/>
  <c r="BK55" i="41"/>
  <c r="BK50" i="41"/>
  <c r="BK38" i="41"/>
  <c r="BK35" i="41"/>
  <c r="BK27" i="41"/>
  <c r="BK23" i="41"/>
  <c r="BK75" i="41"/>
  <c r="BK68" i="41"/>
  <c r="BK59" i="41"/>
  <c r="BK54" i="41"/>
  <c r="BK49" i="41"/>
  <c r="BK37" i="41"/>
  <c r="BK112" i="41"/>
  <c r="BK62" i="41"/>
  <c r="BK52" i="41"/>
  <c r="BK25" i="41"/>
  <c r="BK22" i="41"/>
  <c r="BK110" i="41"/>
  <c r="BK51" i="41"/>
  <c r="BK17" i="41"/>
  <c r="BK99" i="41"/>
  <c r="BK78" i="41"/>
  <c r="BK56" i="41"/>
  <c r="BK41" i="41"/>
  <c r="BK33" i="41"/>
  <c r="BK21" i="41"/>
  <c r="BK20" i="41"/>
  <c r="BK86" i="41"/>
  <c r="BK57" i="41"/>
  <c r="BK44" i="41"/>
  <c r="BK34" i="41"/>
  <c r="BK19" i="41"/>
  <c r="BK61" i="41"/>
  <c r="BK36" i="41"/>
  <c r="BQ63" i="41"/>
  <c r="BP63" i="41"/>
  <c r="BO63" i="41"/>
  <c r="BN63" i="41"/>
  <c r="BM63" i="41"/>
  <c r="BQ64" i="41" l="1"/>
  <c r="BM64" i="41"/>
  <c r="BO64" i="41"/>
  <c r="BN64" i="41"/>
  <c r="BP64" i="41"/>
  <c r="BN120" i="41"/>
  <c r="BN119" i="41"/>
  <c r="BN118" i="41"/>
  <c r="BN121" i="41"/>
  <c r="BN113" i="41"/>
  <c r="BN116" i="41"/>
  <c r="BN115" i="41"/>
  <c r="BN114" i="41"/>
  <c r="BN112" i="41"/>
  <c r="BN109" i="41"/>
  <c r="BN105" i="41"/>
  <c r="BN101" i="41"/>
  <c r="BN97" i="41"/>
  <c r="BN93" i="41"/>
  <c r="BN117" i="41"/>
  <c r="BN106" i="41"/>
  <c r="BN100" i="41"/>
  <c r="BN99" i="41"/>
  <c r="BN98" i="41"/>
  <c r="BN88" i="41"/>
  <c r="BN78" i="41"/>
  <c r="BN74" i="41"/>
  <c r="BN70" i="41"/>
  <c r="BN66" i="41"/>
  <c r="BN111" i="41"/>
  <c r="BN107" i="41"/>
  <c r="BN94" i="41"/>
  <c r="BN81" i="41"/>
  <c r="BN80" i="41"/>
  <c r="BN79" i="41"/>
  <c r="BN65" i="41"/>
  <c r="BN110" i="41"/>
  <c r="BN102" i="41"/>
  <c r="BN95" i="41"/>
  <c r="BN103" i="41"/>
  <c r="BN96" i="41"/>
  <c r="BN89" i="41"/>
  <c r="BN86" i="41"/>
  <c r="BN77" i="41"/>
  <c r="BN67" i="41"/>
  <c r="BN104" i="41"/>
  <c r="BN90" i="41"/>
  <c r="BN87" i="41"/>
  <c r="BN71" i="41"/>
  <c r="BN68" i="41"/>
  <c r="BN91" i="41"/>
  <c r="BN75" i="41"/>
  <c r="BN69" i="41"/>
  <c r="BN61" i="41"/>
  <c r="BN56" i="41"/>
  <c r="BN51" i="41"/>
  <c r="BN41" i="41"/>
  <c r="BN36" i="41"/>
  <c r="BN33" i="41"/>
  <c r="BN108" i="41"/>
  <c r="BN92" i="41"/>
  <c r="BN85" i="41"/>
  <c r="BN76" i="41"/>
  <c r="BN60" i="41"/>
  <c r="BN55" i="41"/>
  <c r="BN50" i="41"/>
  <c r="BN38" i="41"/>
  <c r="BN35" i="41"/>
  <c r="BN27" i="41"/>
  <c r="BN23" i="41"/>
  <c r="BN54" i="41"/>
  <c r="BN37" i="41"/>
  <c r="BN17" i="41"/>
  <c r="BN72" i="41"/>
  <c r="BN49" i="41"/>
  <c r="BN25" i="41"/>
  <c r="BN73" i="41"/>
  <c r="BN57" i="41"/>
  <c r="BN44" i="41"/>
  <c r="BN34" i="41"/>
  <c r="BN22" i="41"/>
  <c r="BN59" i="41"/>
  <c r="BN21" i="41"/>
  <c r="BN20" i="41"/>
  <c r="BN62" i="41"/>
  <c r="BN52" i="41"/>
  <c r="BN19" i="41"/>
  <c r="BO119" i="41"/>
  <c r="BO118" i="41"/>
  <c r="BO121" i="41"/>
  <c r="BO117" i="41"/>
  <c r="BO116" i="41"/>
  <c r="BO120" i="41"/>
  <c r="BO108" i="41"/>
  <c r="BO104" i="41"/>
  <c r="BO115" i="41"/>
  <c r="BO113" i="41"/>
  <c r="BO100" i="41"/>
  <c r="BO96" i="41"/>
  <c r="BO92" i="41"/>
  <c r="BO112" i="41"/>
  <c r="BO110" i="41"/>
  <c r="BO107" i="41"/>
  <c r="BO103" i="41"/>
  <c r="BO102" i="41"/>
  <c r="BO101" i="41"/>
  <c r="BO91" i="41"/>
  <c r="BO87" i="41"/>
  <c r="BO81" i="41"/>
  <c r="BO77" i="41"/>
  <c r="BO73" i="41"/>
  <c r="BO69" i="41"/>
  <c r="BO65" i="41"/>
  <c r="BO114" i="41"/>
  <c r="BO98" i="41"/>
  <c r="BO95" i="41"/>
  <c r="BO86" i="41"/>
  <c r="BO85" i="41"/>
  <c r="BO68" i="41"/>
  <c r="BO67" i="41"/>
  <c r="BO66" i="41"/>
  <c r="BO106" i="41"/>
  <c r="BO99" i="41"/>
  <c r="BO109" i="41"/>
  <c r="BO90" i="41"/>
  <c r="BO74" i="41"/>
  <c r="BO71" i="41"/>
  <c r="BO97" i="41"/>
  <c r="BO78" i="41"/>
  <c r="BO75" i="41"/>
  <c r="BO72" i="41"/>
  <c r="BO76" i="41"/>
  <c r="BO60" i="41"/>
  <c r="BO55" i="41"/>
  <c r="BO50" i="41"/>
  <c r="BO38" i="41"/>
  <c r="BO35" i="41"/>
  <c r="BO27" i="41"/>
  <c r="BO23" i="41"/>
  <c r="BO70" i="41"/>
  <c r="BO59" i="41"/>
  <c r="BO54" i="41"/>
  <c r="BO49" i="41"/>
  <c r="BO37" i="41"/>
  <c r="BO105" i="41"/>
  <c r="BO57" i="41"/>
  <c r="BO44" i="41"/>
  <c r="BO34" i="41"/>
  <c r="BO22" i="41"/>
  <c r="BO25" i="41"/>
  <c r="BO19" i="41"/>
  <c r="BO41" i="41"/>
  <c r="BO94" i="41"/>
  <c r="BO89" i="41"/>
  <c r="BO80" i="41"/>
  <c r="BO61" i="41"/>
  <c r="BO51" i="41"/>
  <c r="BO36" i="41"/>
  <c r="BO21" i="41"/>
  <c r="BO20" i="41"/>
  <c r="BO93" i="41"/>
  <c r="BO88" i="41"/>
  <c r="BO79" i="41"/>
  <c r="BO62" i="41"/>
  <c r="BO52" i="41"/>
  <c r="BO111" i="41"/>
  <c r="BO56" i="41"/>
  <c r="BO33" i="41"/>
  <c r="BO17" i="41"/>
  <c r="BP118" i="41"/>
  <c r="BP121" i="41"/>
  <c r="BP117" i="41"/>
  <c r="BP120" i="41"/>
  <c r="BP115" i="41"/>
  <c r="BP119" i="41"/>
  <c r="BP113" i="41"/>
  <c r="BP112" i="41"/>
  <c r="BP111" i="41"/>
  <c r="BP107" i="41"/>
  <c r="BP114" i="41"/>
  <c r="BP106" i="41"/>
  <c r="BP105" i="41"/>
  <c r="BP104" i="41"/>
  <c r="BP103" i="41"/>
  <c r="BP99" i="41"/>
  <c r="BP95" i="41"/>
  <c r="BP90" i="41"/>
  <c r="BP86" i="41"/>
  <c r="BP80" i="41"/>
  <c r="BP76" i="41"/>
  <c r="BP72" i="41"/>
  <c r="BP68" i="41"/>
  <c r="BP110" i="41"/>
  <c r="BP102" i="41"/>
  <c r="BP92" i="41"/>
  <c r="BP89" i="41"/>
  <c r="BP88" i="41"/>
  <c r="BP87" i="41"/>
  <c r="BP71" i="41"/>
  <c r="BP70" i="41"/>
  <c r="BP69" i="41"/>
  <c r="BP109" i="41"/>
  <c r="BP96" i="41"/>
  <c r="BP116" i="41"/>
  <c r="BP97" i="41"/>
  <c r="BP81" i="41"/>
  <c r="BP78" i="41"/>
  <c r="BP75" i="41"/>
  <c r="BP98" i="41"/>
  <c r="BP93" i="41"/>
  <c r="BP91" i="41"/>
  <c r="BP79" i="41"/>
  <c r="BP65" i="41"/>
  <c r="BP108" i="41"/>
  <c r="BP100" i="41"/>
  <c r="BP85" i="41"/>
  <c r="BP59" i="41"/>
  <c r="BP54" i="41"/>
  <c r="BP49" i="41"/>
  <c r="BP37" i="41"/>
  <c r="BP77" i="41"/>
  <c r="BP62" i="41"/>
  <c r="BP57" i="41"/>
  <c r="BP52" i="41"/>
  <c r="BP44" i="41"/>
  <c r="BP34" i="41"/>
  <c r="BP25" i="41"/>
  <c r="BP94" i="41"/>
  <c r="BP73" i="41"/>
  <c r="BP66" i="41"/>
  <c r="BP61" i="41"/>
  <c r="BP51" i="41"/>
  <c r="BP36" i="41"/>
  <c r="BP21" i="41"/>
  <c r="BP20" i="41"/>
  <c r="BP101" i="41"/>
  <c r="BP74" i="41"/>
  <c r="BP55" i="41"/>
  <c r="BP38" i="41"/>
  <c r="BP27" i="41"/>
  <c r="BP19" i="41"/>
  <c r="BP56" i="41"/>
  <c r="BP41" i="41"/>
  <c r="BP33" i="41"/>
  <c r="BP17" i="41"/>
  <c r="BP67" i="41"/>
  <c r="BP60" i="41"/>
  <c r="BP50" i="41"/>
  <c r="BP35" i="41"/>
  <c r="BP23" i="41"/>
  <c r="BP22" i="41"/>
  <c r="BM121" i="41"/>
  <c r="BM117" i="41"/>
  <c r="BM120" i="41"/>
  <c r="BM119" i="41"/>
  <c r="BM118" i="41"/>
  <c r="BM114" i="41"/>
  <c r="BM113" i="41"/>
  <c r="BM116" i="41"/>
  <c r="BM115" i="41"/>
  <c r="BM112" i="41"/>
  <c r="BM110" i="41"/>
  <c r="BM106" i="41"/>
  <c r="BM111" i="41"/>
  <c r="BM102" i="41"/>
  <c r="BM98" i="41"/>
  <c r="BM94" i="41"/>
  <c r="BM109" i="41"/>
  <c r="BM97" i="41"/>
  <c r="BM96" i="41"/>
  <c r="BM95" i="41"/>
  <c r="BM89" i="41"/>
  <c r="BM85" i="41"/>
  <c r="BM79" i="41"/>
  <c r="BM75" i="41"/>
  <c r="BM71" i="41"/>
  <c r="BM67" i="41"/>
  <c r="BM108" i="41"/>
  <c r="BM104" i="41"/>
  <c r="BM101" i="41"/>
  <c r="BM78" i="41"/>
  <c r="BM77" i="41"/>
  <c r="BM76" i="41"/>
  <c r="BM107" i="41"/>
  <c r="BM92" i="41"/>
  <c r="BM80" i="41"/>
  <c r="BM73" i="41"/>
  <c r="BM70" i="41"/>
  <c r="BM103" i="41"/>
  <c r="BM86" i="41"/>
  <c r="BM81" i="41"/>
  <c r="BM74" i="41"/>
  <c r="BM90" i="41"/>
  <c r="BM68" i="41"/>
  <c r="BM65" i="41"/>
  <c r="BM62" i="41"/>
  <c r="BM57" i="41"/>
  <c r="BM52" i="41"/>
  <c r="BM44" i="41"/>
  <c r="BM34" i="41"/>
  <c r="BM25" i="41"/>
  <c r="BM100" i="41"/>
  <c r="BM91" i="41"/>
  <c r="BM69" i="41"/>
  <c r="BM61" i="41"/>
  <c r="BM56" i="41"/>
  <c r="BM51" i="41"/>
  <c r="BM41" i="41"/>
  <c r="BM36" i="41"/>
  <c r="BM33" i="41"/>
  <c r="BM99" i="41"/>
  <c r="BM87" i="41"/>
  <c r="BM60" i="41"/>
  <c r="BM50" i="41"/>
  <c r="BM35" i="41"/>
  <c r="BM23" i="41"/>
  <c r="BM19" i="41"/>
  <c r="BM55" i="41"/>
  <c r="BM38" i="41"/>
  <c r="BM88" i="41"/>
  <c r="BM59" i="41"/>
  <c r="BM49" i="41"/>
  <c r="BM105" i="41"/>
  <c r="BM66" i="41"/>
  <c r="BM54" i="41"/>
  <c r="BM37" i="41"/>
  <c r="BM17" i="41"/>
  <c r="BM27" i="41"/>
  <c r="BM22" i="41"/>
  <c r="BM93" i="41"/>
  <c r="BM72" i="41"/>
  <c r="BM21" i="41"/>
  <c r="BM20" i="41"/>
  <c r="BQ121" i="41"/>
  <c r="BQ117" i="41"/>
  <c r="BQ120" i="41"/>
  <c r="BQ119" i="41"/>
  <c r="BQ114" i="41"/>
  <c r="BQ113" i="41"/>
  <c r="BQ112" i="41"/>
  <c r="BQ118" i="41"/>
  <c r="BQ115" i="41"/>
  <c r="BQ110" i="41"/>
  <c r="BQ106" i="41"/>
  <c r="BQ109" i="41"/>
  <c r="BQ108" i="41"/>
  <c r="BQ107" i="41"/>
  <c r="BQ102" i="41"/>
  <c r="BQ98" i="41"/>
  <c r="BQ94" i="41"/>
  <c r="BQ111" i="41"/>
  <c r="BQ104" i="41"/>
  <c r="BQ93" i="41"/>
  <c r="BQ92" i="41"/>
  <c r="BQ89" i="41"/>
  <c r="BQ85" i="41"/>
  <c r="BQ79" i="41"/>
  <c r="BQ75" i="41"/>
  <c r="BQ71" i="41"/>
  <c r="BQ67" i="41"/>
  <c r="BQ99" i="41"/>
  <c r="BQ96" i="41"/>
  <c r="BQ91" i="41"/>
  <c r="BQ90" i="41"/>
  <c r="BQ74" i="41"/>
  <c r="BQ73" i="41"/>
  <c r="BQ72" i="41"/>
  <c r="BQ116" i="41"/>
  <c r="BQ105" i="41"/>
  <c r="BQ103" i="41"/>
  <c r="BQ100" i="41"/>
  <c r="BQ97" i="41"/>
  <c r="BQ87" i="41"/>
  <c r="BQ68" i="41"/>
  <c r="BQ88" i="41"/>
  <c r="BQ76" i="41"/>
  <c r="BQ69" i="41"/>
  <c r="BQ66" i="41"/>
  <c r="BQ77" i="41"/>
  <c r="BQ70" i="41"/>
  <c r="BQ62" i="41"/>
  <c r="BQ57" i="41"/>
  <c r="BQ52" i="41"/>
  <c r="BQ44" i="41"/>
  <c r="BQ34" i="41"/>
  <c r="BQ25" i="41"/>
  <c r="BQ95" i="41"/>
  <c r="BQ86" i="41"/>
  <c r="BQ78" i="41"/>
  <c r="BQ61" i="41"/>
  <c r="BQ56" i="41"/>
  <c r="BQ51" i="41"/>
  <c r="BQ41" i="41"/>
  <c r="BQ36" i="41"/>
  <c r="BQ33" i="41"/>
  <c r="BQ80" i="41"/>
  <c r="BQ55" i="41"/>
  <c r="BQ38" i="41"/>
  <c r="BQ27" i="41"/>
  <c r="BQ19" i="41"/>
  <c r="BQ101" i="41"/>
  <c r="BQ60" i="41"/>
  <c r="BQ35" i="41"/>
  <c r="BQ23" i="41"/>
  <c r="BQ22" i="41"/>
  <c r="BQ81" i="41"/>
  <c r="BQ65" i="41"/>
  <c r="BQ54" i="41"/>
  <c r="BQ21" i="41"/>
  <c r="BQ20" i="41"/>
  <c r="BQ59" i="41"/>
  <c r="BQ49" i="41"/>
  <c r="BQ17" i="41"/>
  <c r="BQ50" i="41"/>
  <c r="BQ37" i="41"/>
  <c r="BR63" i="41"/>
  <c r="BU63" i="41"/>
  <c r="BS63" i="41"/>
  <c r="BV63" i="41"/>
  <c r="BT63" i="41"/>
  <c r="BS64" i="41" l="1"/>
  <c r="BV64" i="41"/>
  <c r="BU64" i="41"/>
  <c r="BR64" i="41"/>
  <c r="BT64" i="41"/>
  <c r="BU121" i="41"/>
  <c r="BU117" i="41"/>
  <c r="BU120" i="41"/>
  <c r="BU119" i="41"/>
  <c r="BU114" i="41"/>
  <c r="BU118" i="41"/>
  <c r="BU112" i="41"/>
  <c r="BU110" i="41"/>
  <c r="BU106" i="41"/>
  <c r="BU116" i="41"/>
  <c r="BU113" i="41"/>
  <c r="BU105" i="41"/>
  <c r="BU104" i="41"/>
  <c r="BU102" i="41"/>
  <c r="BU98" i="41"/>
  <c r="BU94" i="41"/>
  <c r="BU103" i="41"/>
  <c r="BU89" i="41"/>
  <c r="BU85" i="41"/>
  <c r="BU79" i="41"/>
  <c r="BU75" i="41"/>
  <c r="BU71" i="41"/>
  <c r="BU67" i="41"/>
  <c r="BU108" i="41"/>
  <c r="BU101" i="41"/>
  <c r="BU88" i="41"/>
  <c r="BU87" i="41"/>
  <c r="BU86" i="41"/>
  <c r="BU70" i="41"/>
  <c r="BU69" i="41"/>
  <c r="BU68" i="41"/>
  <c r="BU115" i="41"/>
  <c r="BU111" i="41"/>
  <c r="BU107" i="41"/>
  <c r="BU95" i="41"/>
  <c r="BU99" i="41"/>
  <c r="BU92" i="41"/>
  <c r="BU80" i="41"/>
  <c r="BU77" i="41"/>
  <c r="BU74" i="41"/>
  <c r="BU100" i="41"/>
  <c r="BU90" i="41"/>
  <c r="BU81" i="41"/>
  <c r="BU78" i="41"/>
  <c r="BU72" i="41"/>
  <c r="BU62" i="41"/>
  <c r="BU57" i="41"/>
  <c r="BU52" i="41"/>
  <c r="BU44" i="41"/>
  <c r="BU34" i="41"/>
  <c r="BU25" i="41"/>
  <c r="BU109" i="41"/>
  <c r="BU97" i="41"/>
  <c r="BU93" i="41"/>
  <c r="BU73" i="41"/>
  <c r="BU66" i="41"/>
  <c r="BU65" i="41"/>
  <c r="BU61" i="41"/>
  <c r="BU56" i="41"/>
  <c r="BU51" i="41"/>
  <c r="BU41" i="41"/>
  <c r="BU36" i="41"/>
  <c r="BU33" i="41"/>
  <c r="BU91" i="41"/>
  <c r="BU60" i="41"/>
  <c r="BU50" i="41"/>
  <c r="BU35" i="41"/>
  <c r="BU23" i="41"/>
  <c r="BU19" i="41"/>
  <c r="BU96" i="41"/>
  <c r="BU27" i="41"/>
  <c r="BU76" i="41"/>
  <c r="BU54" i="41"/>
  <c r="BU37" i="41"/>
  <c r="BU17" i="41"/>
  <c r="BU55" i="41"/>
  <c r="BU38" i="41"/>
  <c r="BU22" i="41"/>
  <c r="BU59" i="41"/>
  <c r="BU49" i="41"/>
  <c r="BU21" i="41"/>
  <c r="BU20" i="41"/>
  <c r="BT118" i="41"/>
  <c r="BT121" i="41"/>
  <c r="BT117" i="41"/>
  <c r="BT120" i="41"/>
  <c r="BT115" i="41"/>
  <c r="BT119" i="41"/>
  <c r="BT116" i="41"/>
  <c r="BT111" i="41"/>
  <c r="BT107" i="41"/>
  <c r="BT114" i="41"/>
  <c r="BT103" i="41"/>
  <c r="BT99" i="41"/>
  <c r="BT95" i="41"/>
  <c r="BT109" i="41"/>
  <c r="BT106" i="41"/>
  <c r="BT102" i="41"/>
  <c r="BT101" i="41"/>
  <c r="BT100" i="41"/>
  <c r="BT90" i="41"/>
  <c r="BT86" i="41"/>
  <c r="BT80" i="41"/>
  <c r="BT76" i="41"/>
  <c r="BT72" i="41"/>
  <c r="BT68" i="41"/>
  <c r="BT112" i="41"/>
  <c r="BT105" i="41"/>
  <c r="BT97" i="41"/>
  <c r="BT94" i="41"/>
  <c r="BT85" i="41"/>
  <c r="BT81" i="41"/>
  <c r="BT67" i="41"/>
  <c r="BT66" i="41"/>
  <c r="BT65" i="41"/>
  <c r="BT108" i="41"/>
  <c r="BT104" i="41"/>
  <c r="BT98" i="41"/>
  <c r="BT110" i="41"/>
  <c r="BT93" i="41"/>
  <c r="BT89" i="41"/>
  <c r="BT73" i="41"/>
  <c r="BT70" i="41"/>
  <c r="BT92" i="41"/>
  <c r="BT77" i="41"/>
  <c r="BT74" i="41"/>
  <c r="BT71" i="41"/>
  <c r="BT87" i="41"/>
  <c r="BT78" i="41"/>
  <c r="BT59" i="41"/>
  <c r="BT54" i="41"/>
  <c r="BT49" i="41"/>
  <c r="BT37" i="41"/>
  <c r="BT88" i="41"/>
  <c r="BT79" i="41"/>
  <c r="BT62" i="41"/>
  <c r="BT57" i="41"/>
  <c r="BT52" i="41"/>
  <c r="BT44" i="41"/>
  <c r="BT34" i="41"/>
  <c r="BT25" i="41"/>
  <c r="BT75" i="41"/>
  <c r="BT56" i="41"/>
  <c r="BT41" i="41"/>
  <c r="BT33" i="41"/>
  <c r="BT21" i="41"/>
  <c r="BT20" i="41"/>
  <c r="BT17" i="41"/>
  <c r="BT113" i="41"/>
  <c r="BT69" i="41"/>
  <c r="BT38" i="41"/>
  <c r="BT22" i="41"/>
  <c r="BT91" i="41"/>
  <c r="BT60" i="41"/>
  <c r="BT50" i="41"/>
  <c r="BT35" i="41"/>
  <c r="BT23" i="41"/>
  <c r="BT19" i="41"/>
  <c r="BT61" i="41"/>
  <c r="BT51" i="41"/>
  <c r="BT36" i="41"/>
  <c r="BT96" i="41"/>
  <c r="BT55" i="41"/>
  <c r="BT27" i="41"/>
  <c r="BS119" i="41"/>
  <c r="BS118" i="41"/>
  <c r="BS121" i="41"/>
  <c r="BS117" i="41"/>
  <c r="BS120" i="41"/>
  <c r="BS116" i="41"/>
  <c r="BS115" i="41"/>
  <c r="BS114" i="41"/>
  <c r="BS113" i="41"/>
  <c r="BS108" i="41"/>
  <c r="BS104" i="41"/>
  <c r="BS112" i="41"/>
  <c r="BS100" i="41"/>
  <c r="BS96" i="41"/>
  <c r="BS92" i="41"/>
  <c r="BS105" i="41"/>
  <c r="BS99" i="41"/>
  <c r="BS98" i="41"/>
  <c r="BS97" i="41"/>
  <c r="BS91" i="41"/>
  <c r="BS87" i="41"/>
  <c r="BS81" i="41"/>
  <c r="BS77" i="41"/>
  <c r="BS73" i="41"/>
  <c r="BS69" i="41"/>
  <c r="BS65" i="41"/>
  <c r="BS109" i="41"/>
  <c r="BS93" i="41"/>
  <c r="BS80" i="41"/>
  <c r="BS79" i="41"/>
  <c r="BS78" i="41"/>
  <c r="BS101" i="41"/>
  <c r="BS94" i="41"/>
  <c r="BS107" i="41"/>
  <c r="BS88" i="41"/>
  <c r="BS85" i="41"/>
  <c r="BS76" i="41"/>
  <c r="BS66" i="41"/>
  <c r="BS110" i="41"/>
  <c r="BS89" i="41"/>
  <c r="BS86" i="41"/>
  <c r="BS70" i="41"/>
  <c r="BS67" i="41"/>
  <c r="BS102" i="41"/>
  <c r="BS95" i="41"/>
  <c r="BS71" i="41"/>
  <c r="BS60" i="41"/>
  <c r="BS55" i="41"/>
  <c r="BS50" i="41"/>
  <c r="BS38" i="41"/>
  <c r="BS35" i="41"/>
  <c r="BS27" i="41"/>
  <c r="BS23" i="41"/>
  <c r="BS72" i="41"/>
  <c r="BS59" i="41"/>
  <c r="BS54" i="41"/>
  <c r="BS49" i="41"/>
  <c r="BS37" i="41"/>
  <c r="BS68" i="41"/>
  <c r="BS62" i="41"/>
  <c r="BS52" i="41"/>
  <c r="BS25" i="41"/>
  <c r="BS22" i="41"/>
  <c r="BS90" i="41"/>
  <c r="BS74" i="41"/>
  <c r="BS57" i="41"/>
  <c r="BS44" i="41"/>
  <c r="BS34" i="41"/>
  <c r="BS36" i="41"/>
  <c r="BS17" i="41"/>
  <c r="BS106" i="41"/>
  <c r="BS103" i="41"/>
  <c r="BS75" i="41"/>
  <c r="BS56" i="41"/>
  <c r="BS41" i="41"/>
  <c r="BS33" i="41"/>
  <c r="BS21" i="41"/>
  <c r="BS20" i="41"/>
  <c r="BS111" i="41"/>
  <c r="BS19" i="41"/>
  <c r="BS61" i="41"/>
  <c r="BS51" i="41"/>
  <c r="BV120" i="41"/>
  <c r="BV119" i="41"/>
  <c r="BV118" i="41"/>
  <c r="BV113" i="41"/>
  <c r="BV112" i="41"/>
  <c r="BV116" i="41"/>
  <c r="BV114" i="41"/>
  <c r="BV109" i="41"/>
  <c r="BV105" i="41"/>
  <c r="BV108" i="41"/>
  <c r="BV107" i="41"/>
  <c r="BV106" i="41"/>
  <c r="BV101" i="41"/>
  <c r="BV97" i="41"/>
  <c r="BV93" i="41"/>
  <c r="BV110" i="41"/>
  <c r="BV92" i="41"/>
  <c r="BV88" i="41"/>
  <c r="BV78" i="41"/>
  <c r="BV74" i="41"/>
  <c r="BV70" i="41"/>
  <c r="BV66" i="41"/>
  <c r="BV115" i="41"/>
  <c r="BV111" i="41"/>
  <c r="BV104" i="41"/>
  <c r="BV98" i="41"/>
  <c r="BV95" i="41"/>
  <c r="BV91" i="41"/>
  <c r="BV90" i="41"/>
  <c r="BV89" i="41"/>
  <c r="BV73" i="41"/>
  <c r="BV72" i="41"/>
  <c r="BV71" i="41"/>
  <c r="BV117" i="41"/>
  <c r="BV102" i="41"/>
  <c r="BV99" i="41"/>
  <c r="BV96" i="41"/>
  <c r="BV100" i="41"/>
  <c r="BV86" i="41"/>
  <c r="BV81" i="41"/>
  <c r="BV67" i="41"/>
  <c r="BV94" i="41"/>
  <c r="BV87" i="41"/>
  <c r="BV75" i="41"/>
  <c r="BV68" i="41"/>
  <c r="BV65" i="41"/>
  <c r="BV79" i="41"/>
  <c r="BV61" i="41"/>
  <c r="BV56" i="41"/>
  <c r="BV51" i="41"/>
  <c r="BV41" i="41"/>
  <c r="BV36" i="41"/>
  <c r="BV33" i="41"/>
  <c r="BV80" i="41"/>
  <c r="BV60" i="41"/>
  <c r="BV55" i="41"/>
  <c r="BV50" i="41"/>
  <c r="BV38" i="41"/>
  <c r="BV35" i="41"/>
  <c r="BV27" i="41"/>
  <c r="BV23" i="41"/>
  <c r="BV103" i="41"/>
  <c r="BV54" i="41"/>
  <c r="BV37" i="41"/>
  <c r="BV17" i="41"/>
  <c r="BV59" i="41"/>
  <c r="BV85" i="41"/>
  <c r="BV62" i="41"/>
  <c r="BV52" i="41"/>
  <c r="BV77" i="41"/>
  <c r="BV57" i="41"/>
  <c r="BV44" i="41"/>
  <c r="BV34" i="41"/>
  <c r="BV22" i="41"/>
  <c r="BV76" i="41"/>
  <c r="BV69" i="41"/>
  <c r="BV49" i="41"/>
  <c r="BV21" i="41"/>
  <c r="BV20" i="41"/>
  <c r="BV121" i="41"/>
  <c r="BV25" i="41"/>
  <c r="BV19" i="41"/>
  <c r="BR120" i="41"/>
  <c r="BR119" i="41"/>
  <c r="BR118" i="41"/>
  <c r="BR121" i="41"/>
  <c r="BR117" i="41"/>
  <c r="BR113" i="41"/>
  <c r="BR112" i="41"/>
  <c r="BR116" i="41"/>
  <c r="BR115" i="41"/>
  <c r="BR114" i="41"/>
  <c r="BR109" i="41"/>
  <c r="BR105" i="41"/>
  <c r="BR111" i="41"/>
  <c r="BR110" i="41"/>
  <c r="BR101" i="41"/>
  <c r="BR97" i="41"/>
  <c r="BR93" i="41"/>
  <c r="BR108" i="41"/>
  <c r="BR96" i="41"/>
  <c r="BR95" i="41"/>
  <c r="BR94" i="41"/>
  <c r="BR88" i="41"/>
  <c r="BR78" i="41"/>
  <c r="BR74" i="41"/>
  <c r="BR70" i="41"/>
  <c r="BR66" i="41"/>
  <c r="BR106" i="41"/>
  <c r="BR103" i="41"/>
  <c r="BR100" i="41"/>
  <c r="BR77" i="41"/>
  <c r="BR76" i="41"/>
  <c r="BR75" i="41"/>
  <c r="BR104" i="41"/>
  <c r="BR98" i="41"/>
  <c r="BR91" i="41"/>
  <c r="BR79" i="41"/>
  <c r="BR72" i="41"/>
  <c r="BR69" i="41"/>
  <c r="BR107" i="41"/>
  <c r="BR99" i="41"/>
  <c r="BR85" i="41"/>
  <c r="BR80" i="41"/>
  <c r="BR73" i="41"/>
  <c r="BR92" i="41"/>
  <c r="BR86" i="41"/>
  <c r="BR61" i="41"/>
  <c r="BR56" i="41"/>
  <c r="BR51" i="41"/>
  <c r="BR41" i="41"/>
  <c r="BR36" i="41"/>
  <c r="BR33" i="41"/>
  <c r="BR102" i="41"/>
  <c r="BR87" i="41"/>
  <c r="BR71" i="41"/>
  <c r="BR60" i="41"/>
  <c r="BR55" i="41"/>
  <c r="BR50" i="41"/>
  <c r="BR38" i="41"/>
  <c r="BR35" i="41"/>
  <c r="BR27" i="41"/>
  <c r="BR23" i="41"/>
  <c r="BR89" i="41"/>
  <c r="BR59" i="41"/>
  <c r="BR49" i="41"/>
  <c r="BR17" i="41"/>
  <c r="BR81" i="41"/>
  <c r="BR54" i="41"/>
  <c r="BR37" i="41"/>
  <c r="BR21" i="41"/>
  <c r="BR20" i="41"/>
  <c r="BR44" i="41"/>
  <c r="BR19" i="41"/>
  <c r="BR68" i="41"/>
  <c r="BR62" i="41"/>
  <c r="BR52" i="41"/>
  <c r="BR25" i="41"/>
  <c r="BR22" i="41"/>
  <c r="BR67" i="41"/>
  <c r="BR65" i="41"/>
  <c r="BR90" i="41"/>
  <c r="BR57" i="41"/>
  <c r="BR34" i="41"/>
  <c r="BZ63" i="41"/>
  <c r="CA63" i="41"/>
  <c r="BY63" i="41"/>
  <c r="BW63" i="41"/>
  <c r="BX63" i="41"/>
  <c r="BY64" i="41" l="1"/>
  <c r="BX64" i="41"/>
  <c r="BW64" i="41"/>
  <c r="CA64" i="41"/>
  <c r="BZ64" i="41"/>
  <c r="BY121" i="41"/>
  <c r="BY117" i="41"/>
  <c r="BY120" i="41"/>
  <c r="BY119" i="41"/>
  <c r="BY114" i="41"/>
  <c r="BY118" i="41"/>
  <c r="BY116" i="41"/>
  <c r="BY115" i="41"/>
  <c r="BY112" i="41"/>
  <c r="BY110" i="41"/>
  <c r="BY106" i="41"/>
  <c r="BY113" i="41"/>
  <c r="BY102" i="41"/>
  <c r="BY98" i="41"/>
  <c r="BY94" i="41"/>
  <c r="BY111" i="41"/>
  <c r="BY108" i="41"/>
  <c r="BY105" i="41"/>
  <c r="BY101" i="41"/>
  <c r="BY100" i="41"/>
  <c r="BY99" i="41"/>
  <c r="BY89" i="41"/>
  <c r="BY85" i="41"/>
  <c r="BY79" i="41"/>
  <c r="BY75" i="41"/>
  <c r="BY71" i="41"/>
  <c r="BY67" i="41"/>
  <c r="BY107" i="41"/>
  <c r="BY103" i="41"/>
  <c r="BY96" i="41"/>
  <c r="BY93" i="41"/>
  <c r="BY81" i="41"/>
  <c r="BY80" i="41"/>
  <c r="BY66" i="41"/>
  <c r="BY65" i="41"/>
  <c r="BY109" i="41"/>
  <c r="BY97" i="41"/>
  <c r="BY91" i="41"/>
  <c r="BY88" i="41"/>
  <c r="BY72" i="41"/>
  <c r="BY69" i="41"/>
  <c r="BY95" i="41"/>
  <c r="BY76" i="41"/>
  <c r="BY73" i="41"/>
  <c r="BY70" i="41"/>
  <c r="BY74" i="41"/>
  <c r="BY62" i="41"/>
  <c r="BY57" i="41"/>
  <c r="BY52" i="41"/>
  <c r="BY44" i="41"/>
  <c r="BY34" i="41"/>
  <c r="BY25" i="41"/>
  <c r="BY104" i="41"/>
  <c r="BY90" i="41"/>
  <c r="BY68" i="41"/>
  <c r="BY61" i="41"/>
  <c r="BY56" i="41"/>
  <c r="BY51" i="41"/>
  <c r="BY41" i="41"/>
  <c r="BY36" i="41"/>
  <c r="BY33" i="41"/>
  <c r="BY86" i="41"/>
  <c r="BY77" i="41"/>
  <c r="BY55" i="41"/>
  <c r="BY38" i="41"/>
  <c r="BY27" i="41"/>
  <c r="BY19" i="41"/>
  <c r="BY50" i="41"/>
  <c r="BY22" i="41"/>
  <c r="BY87" i="41"/>
  <c r="BY78" i="41"/>
  <c r="BY21" i="41"/>
  <c r="BY20" i="41"/>
  <c r="BY92" i="41"/>
  <c r="BY59" i="41"/>
  <c r="BY49" i="41"/>
  <c r="BY17" i="41"/>
  <c r="BY60" i="41"/>
  <c r="BY35" i="41"/>
  <c r="BY23" i="41"/>
  <c r="BY54" i="41"/>
  <c r="BY37" i="41"/>
  <c r="BX118" i="41"/>
  <c r="BX121" i="41"/>
  <c r="BX117" i="41"/>
  <c r="BX120" i="41"/>
  <c r="BX119" i="41"/>
  <c r="BX115" i="41"/>
  <c r="BX114" i="41"/>
  <c r="BX113" i="41"/>
  <c r="BX116" i="41"/>
  <c r="BX112" i="41"/>
  <c r="BX111" i="41"/>
  <c r="BX107" i="41"/>
  <c r="BX103" i="41"/>
  <c r="BX99" i="41"/>
  <c r="BX95" i="41"/>
  <c r="BX104" i="41"/>
  <c r="BX98" i="41"/>
  <c r="BX97" i="41"/>
  <c r="BX96" i="41"/>
  <c r="BX90" i="41"/>
  <c r="BX86" i="41"/>
  <c r="BX80" i="41"/>
  <c r="BX76" i="41"/>
  <c r="BX72" i="41"/>
  <c r="BX68" i="41"/>
  <c r="BX92" i="41"/>
  <c r="BX79" i="41"/>
  <c r="BX78" i="41"/>
  <c r="BX77" i="41"/>
  <c r="BX110" i="41"/>
  <c r="BX106" i="41"/>
  <c r="BX100" i="41"/>
  <c r="BX105" i="41"/>
  <c r="BX101" i="41"/>
  <c r="BX94" i="41"/>
  <c r="BX87" i="41"/>
  <c r="BX75" i="41"/>
  <c r="BX108" i="41"/>
  <c r="BX102" i="41"/>
  <c r="BX91" i="41"/>
  <c r="BX88" i="41"/>
  <c r="BX85" i="41"/>
  <c r="BX69" i="41"/>
  <c r="BX66" i="41"/>
  <c r="BX109" i="41"/>
  <c r="BX93" i="41"/>
  <c r="BX89" i="41"/>
  <c r="BX73" i="41"/>
  <c r="BX67" i="41"/>
  <c r="BX65" i="41"/>
  <c r="BX59" i="41"/>
  <c r="BX54" i="41"/>
  <c r="BX49" i="41"/>
  <c r="BX37" i="41"/>
  <c r="BX81" i="41"/>
  <c r="BX74" i="41"/>
  <c r="BX62" i="41"/>
  <c r="BX57" i="41"/>
  <c r="BX52" i="41"/>
  <c r="BX44" i="41"/>
  <c r="BX34" i="41"/>
  <c r="BX25" i="41"/>
  <c r="BX70" i="41"/>
  <c r="BX61" i="41"/>
  <c r="BX51" i="41"/>
  <c r="BX36" i="41"/>
  <c r="BX21" i="41"/>
  <c r="BX20" i="41"/>
  <c r="BX56" i="41"/>
  <c r="BX41" i="41"/>
  <c r="BX33" i="41"/>
  <c r="BX50" i="41"/>
  <c r="BX35" i="41"/>
  <c r="BX23" i="41"/>
  <c r="BX55" i="41"/>
  <c r="BX38" i="41"/>
  <c r="BX27" i="41"/>
  <c r="BX19" i="41"/>
  <c r="BX17" i="41"/>
  <c r="BX71" i="41"/>
  <c r="BX60" i="41"/>
  <c r="BX22" i="41"/>
  <c r="CA119" i="41"/>
  <c r="CA118" i="41"/>
  <c r="CA121" i="41"/>
  <c r="CA117" i="41"/>
  <c r="CA116" i="41"/>
  <c r="CA115" i="41"/>
  <c r="CA113" i="41"/>
  <c r="CA108" i="41"/>
  <c r="CA104" i="41"/>
  <c r="CA107" i="41"/>
  <c r="CA106" i="41"/>
  <c r="CA105" i="41"/>
  <c r="CA100" i="41"/>
  <c r="CA96" i="41"/>
  <c r="CA92" i="41"/>
  <c r="CA120" i="41"/>
  <c r="CA109" i="41"/>
  <c r="CA91" i="41"/>
  <c r="CA87" i="41"/>
  <c r="CA81" i="41"/>
  <c r="CA77" i="41"/>
  <c r="CA73" i="41"/>
  <c r="CA69" i="41"/>
  <c r="CA65" i="41"/>
  <c r="CA97" i="41"/>
  <c r="CA94" i="41"/>
  <c r="CA90" i="41"/>
  <c r="CA89" i="41"/>
  <c r="CA88" i="41"/>
  <c r="CA72" i="41"/>
  <c r="CA71" i="41"/>
  <c r="CA70" i="41"/>
  <c r="CA101" i="41"/>
  <c r="CA98" i="41"/>
  <c r="CA95" i="41"/>
  <c r="CA112" i="41"/>
  <c r="CA102" i="41"/>
  <c r="CA85" i="41"/>
  <c r="CA80" i="41"/>
  <c r="CA66" i="41"/>
  <c r="CA111" i="41"/>
  <c r="CA103" i="41"/>
  <c r="CA93" i="41"/>
  <c r="CA86" i="41"/>
  <c r="CA74" i="41"/>
  <c r="CA67" i="41"/>
  <c r="CA99" i="41"/>
  <c r="CA75" i="41"/>
  <c r="CA68" i="41"/>
  <c r="CA60" i="41"/>
  <c r="CA55" i="41"/>
  <c r="CA50" i="41"/>
  <c r="CA38" i="41"/>
  <c r="CA35" i="41"/>
  <c r="CA27" i="41"/>
  <c r="CA23" i="41"/>
  <c r="CA114" i="41"/>
  <c r="CA110" i="41"/>
  <c r="CA76" i="41"/>
  <c r="CA59" i="41"/>
  <c r="CA54" i="41"/>
  <c r="CA49" i="41"/>
  <c r="CA37" i="41"/>
  <c r="CA62" i="41"/>
  <c r="CA52" i="41"/>
  <c r="CA25" i="41"/>
  <c r="CA22" i="41"/>
  <c r="CA61" i="41"/>
  <c r="CA51" i="41"/>
  <c r="CA17" i="41"/>
  <c r="CA79" i="41"/>
  <c r="CA56" i="41"/>
  <c r="CA41" i="41"/>
  <c r="CA33" i="41"/>
  <c r="CA21" i="41"/>
  <c r="CA20" i="41"/>
  <c r="CA78" i="41"/>
  <c r="CA57" i="41"/>
  <c r="CA44" i="41"/>
  <c r="CA34" i="41"/>
  <c r="CA19" i="41"/>
  <c r="CA36" i="41"/>
  <c r="BW119" i="41"/>
  <c r="BW118" i="41"/>
  <c r="BW121" i="41"/>
  <c r="BW117" i="41"/>
  <c r="BW120" i="41"/>
  <c r="BW116" i="41"/>
  <c r="BW115" i="41"/>
  <c r="BW114" i="41"/>
  <c r="BW113" i="41"/>
  <c r="BW108" i="41"/>
  <c r="BW104" i="41"/>
  <c r="BW111" i="41"/>
  <c r="BW110" i="41"/>
  <c r="BW109" i="41"/>
  <c r="BW100" i="41"/>
  <c r="BW96" i="41"/>
  <c r="BW92" i="41"/>
  <c r="BW107" i="41"/>
  <c r="BW95" i="41"/>
  <c r="BW94" i="41"/>
  <c r="BW93" i="41"/>
  <c r="BW91" i="41"/>
  <c r="BW87" i="41"/>
  <c r="BW81" i="41"/>
  <c r="BW77" i="41"/>
  <c r="BW73" i="41"/>
  <c r="BW69" i="41"/>
  <c r="BW65" i="41"/>
  <c r="BW102" i="41"/>
  <c r="BW99" i="41"/>
  <c r="BW76" i="41"/>
  <c r="BW75" i="41"/>
  <c r="BW74" i="41"/>
  <c r="BW103" i="41"/>
  <c r="BW90" i="41"/>
  <c r="BW78" i="41"/>
  <c r="BW71" i="41"/>
  <c r="BW68" i="41"/>
  <c r="BW112" i="41"/>
  <c r="BW105" i="41"/>
  <c r="BW101" i="41"/>
  <c r="BW79" i="41"/>
  <c r="BW72" i="41"/>
  <c r="BW97" i="41"/>
  <c r="BW88" i="41"/>
  <c r="BW80" i="41"/>
  <c r="BW66" i="41"/>
  <c r="BW60" i="41"/>
  <c r="BW55" i="41"/>
  <c r="BW50" i="41"/>
  <c r="BW38" i="41"/>
  <c r="BW35" i="41"/>
  <c r="BW27" i="41"/>
  <c r="BW23" i="41"/>
  <c r="BW89" i="41"/>
  <c r="BW67" i="41"/>
  <c r="BW59" i="41"/>
  <c r="BW54" i="41"/>
  <c r="BW49" i="41"/>
  <c r="BW37" i="41"/>
  <c r="BW106" i="41"/>
  <c r="BW57" i="41"/>
  <c r="BW44" i="41"/>
  <c r="BW34" i="41"/>
  <c r="BW22" i="41"/>
  <c r="BW62" i="41"/>
  <c r="BW19" i="41"/>
  <c r="BW56" i="41"/>
  <c r="BW33" i="41"/>
  <c r="BW98" i="41"/>
  <c r="BW86" i="41"/>
  <c r="BW70" i="41"/>
  <c r="BW61" i="41"/>
  <c r="BW51" i="41"/>
  <c r="BW36" i="41"/>
  <c r="BW21" i="41"/>
  <c r="BW20" i="41"/>
  <c r="BW85" i="41"/>
  <c r="BW52" i="41"/>
  <c r="BW25" i="41"/>
  <c r="BW41" i="41"/>
  <c r="BW17" i="41"/>
  <c r="BZ120" i="41"/>
  <c r="BZ119" i="41"/>
  <c r="BZ118" i="41"/>
  <c r="BZ113" i="41"/>
  <c r="BZ112" i="41"/>
  <c r="BZ117" i="41"/>
  <c r="BZ111" i="41"/>
  <c r="BZ109" i="41"/>
  <c r="BZ105" i="41"/>
  <c r="BZ115" i="41"/>
  <c r="BZ104" i="41"/>
  <c r="BZ101" i="41"/>
  <c r="BZ97" i="41"/>
  <c r="BZ93" i="41"/>
  <c r="BZ116" i="41"/>
  <c r="BZ114" i="41"/>
  <c r="BZ103" i="41"/>
  <c r="BZ102" i="41"/>
  <c r="BZ88" i="41"/>
  <c r="BZ78" i="41"/>
  <c r="BZ74" i="41"/>
  <c r="BZ70" i="41"/>
  <c r="BZ66" i="41"/>
  <c r="BZ110" i="41"/>
  <c r="BZ106" i="41"/>
  <c r="BZ100" i="41"/>
  <c r="BZ87" i="41"/>
  <c r="BZ86" i="41"/>
  <c r="BZ85" i="41"/>
  <c r="BZ69" i="41"/>
  <c r="BZ68" i="41"/>
  <c r="BZ67" i="41"/>
  <c r="BZ94" i="41"/>
  <c r="BZ108" i="41"/>
  <c r="BZ95" i="41"/>
  <c r="BZ79" i="41"/>
  <c r="BZ76" i="41"/>
  <c r="BZ73" i="41"/>
  <c r="BZ96" i="41"/>
  <c r="BZ89" i="41"/>
  <c r="BZ80" i="41"/>
  <c r="BZ77" i="41"/>
  <c r="BZ90" i="41"/>
  <c r="BZ81" i="41"/>
  <c r="BZ61" i="41"/>
  <c r="BZ56" i="41"/>
  <c r="BZ51" i="41"/>
  <c r="BZ41" i="41"/>
  <c r="BZ36" i="41"/>
  <c r="BZ33" i="41"/>
  <c r="BZ99" i="41"/>
  <c r="BZ91" i="41"/>
  <c r="BZ75" i="41"/>
  <c r="BZ60" i="41"/>
  <c r="BZ55" i="41"/>
  <c r="BZ50" i="41"/>
  <c r="BZ38" i="41"/>
  <c r="BZ35" i="41"/>
  <c r="BZ27" i="41"/>
  <c r="BZ23" i="41"/>
  <c r="BZ98" i="41"/>
  <c r="BZ92" i="41"/>
  <c r="BZ59" i="41"/>
  <c r="BZ49" i="41"/>
  <c r="BZ17" i="41"/>
  <c r="BZ71" i="41"/>
  <c r="BZ20" i="41"/>
  <c r="BZ57" i="41"/>
  <c r="BZ34" i="41"/>
  <c r="BZ19" i="41"/>
  <c r="BZ107" i="41"/>
  <c r="BZ72" i="41"/>
  <c r="BZ65" i="41"/>
  <c r="BZ62" i="41"/>
  <c r="BZ52" i="41"/>
  <c r="BZ25" i="41"/>
  <c r="BZ22" i="41"/>
  <c r="BZ121" i="41"/>
  <c r="BZ54" i="41"/>
  <c r="BZ37" i="41"/>
  <c r="BZ21" i="41"/>
  <c r="BZ44"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tc={0AFD4943-F749-4EC7-9AF9-FE3C32C38C00}</author>
    <author>tc={7439AE11-6CC9-4BB3-9CB9-9DE89270C032}</author>
    <author>tc={65663EC4-CA94-41BC-BCCB-353B20EA10BE}</author>
    <author>tc={3E38866A-682A-42EF-A363-2D584A33B33D}</author>
    <author>tc={F4883523-7FA2-4D24-8D3E-E0AD0F253882}</author>
    <author>tc={E0F3B0EC-707C-4792-8252-C133A9468690}</author>
    <author>tc={B103DD25-AA52-4B97-A366-754B33C1DFD1}</author>
    <author>tc={93D7783F-3CF3-4F96-8113-A7FF8124AD01}</author>
  </authors>
  <commentList>
    <comment ref="B93" authorId="0" shapeId="0" xr:uid="{0AFD4943-F749-4EC7-9AF9-FE3C32C38C00}">
      <text>
        <t xml:space="preserve">[Threaded comment]
Your version of Excel allows you to read this threaded comment; however, any edits to it will get removed if the file is opened in a newer version of Excel. Learn more: https://go.microsoft.com/fwlink/?linkid=870924
Comment:
    Need to have discussion with Farhan 
</t>
      </text>
    </comment>
    <comment ref="C114" authorId="1" shapeId="0" xr:uid="{7439AE11-6CC9-4BB3-9CB9-9DE89270C032}">
      <text>
        <t xml:space="preserve">[Threaded comment]
Your version of Excel allows you to read this threaded comment; however, any edits to it will get removed if the file is opened in a newer version of Excel. Learn more: https://go.microsoft.com/fwlink/?linkid=870924
Comment:
    Discussion with Imran, mention the steps to define structure of ADLS-Gen2
</t>
      </text>
    </comment>
    <comment ref="B138" authorId="2" shapeId="0" xr:uid="{65663EC4-CA94-41BC-BCCB-353B20EA10BE}">
      <text>
        <t xml:space="preserve">[Threaded comment]
Your version of Excel allows you to read this threaded comment; however, any edits to it will get removed if the file is opened in a newer version of Excel. Learn more: https://go.microsoft.com/fwlink/?linkid=870924
Comment:
    Discussion with Farhan 
</t>
      </text>
    </comment>
    <comment ref="C157" authorId="3" shapeId="0" xr:uid="{3E38866A-682A-42EF-A363-2D584A33B33D}">
      <text>
        <t xml:space="preserve">[Threaded comment]
Your version of Excel allows you to read this threaded comment; however, any edits to it will get removed if the file is opened in a newer version of Excel. Learn more: https://go.microsoft.com/fwlink/?linkid=870924
Comment:
    Discussion with Imran, mention the steps to define structure of ADLS-Gen2
</t>
      </text>
    </comment>
    <comment ref="C199" authorId="4" shapeId="0" xr:uid="{F4883523-7FA2-4D24-8D3E-E0AD0F253882}">
      <text>
        <t xml:space="preserve">[Threaded comment]
Your version of Excel allows you to read this threaded comment; however, any edits to it will get removed if the file is opened in a newer version of Excel. Learn more: https://go.microsoft.com/fwlink/?linkid=870924
Comment:
    Discussion with Imran, mention the steps to define structure of ADLS-Gen2
</t>
      </text>
    </comment>
    <comment ref="B223" authorId="5" shapeId="0" xr:uid="{E0F3B0EC-707C-4792-8252-C133A9468690}">
      <text>
        <t xml:space="preserve">[Threaded comment]
Your version of Excel allows you to read this threaded comment; however, any edits to it will get removed if the file is opened in a newer version of Excel. Learn more: https://go.microsoft.com/fwlink/?linkid=870924
Comment:
    Discussion with Farhan 
</t>
      </text>
    </comment>
    <comment ref="C241" authorId="6" shapeId="0" xr:uid="{B103DD25-AA52-4B97-A366-754B33C1DFD1}">
      <text>
        <t xml:space="preserve">[Threaded comment]
Your version of Excel allows you to read this threaded comment; however, any edits to it will get removed if the file is opened in a newer version of Excel. Learn more: https://go.microsoft.com/fwlink/?linkid=870924
Comment:
    Discussion with Imran, mention the steps to define structure of ADLS-Gen2
</t>
      </text>
    </comment>
    <comment ref="B265" authorId="7" shapeId="0" xr:uid="{93D7783F-3CF3-4F96-8113-A7FF8124AD01}">
      <text>
        <t xml:space="preserve">[Threaded comment]
Your version of Excel allows you to read this threaded comment; however, any edits to it will get removed if the file is opened in a newer version of Excel. Learn more: https://go.microsoft.com/fwlink/?linkid=870924
Comment:
    Discussion with Farhan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Duncan Haughey</author>
  </authors>
  <commentList>
    <comment ref="E3" authorId="0" shapeId="0" xr:uid="{00000000-0006-0000-0600-000001000000}">
      <text>
        <r>
          <rPr>
            <b/>
            <sz val="9"/>
            <color indexed="81"/>
            <rFont val="Tahoma"/>
            <family val="2"/>
          </rPr>
          <t>Scoring:</t>
        </r>
        <r>
          <rPr>
            <sz val="9"/>
            <color indexed="81"/>
            <rFont val="Tahoma"/>
            <family val="2"/>
          </rPr>
          <t xml:space="preserve">
Low = 1
Medium = 3
High = 5</t>
        </r>
        <r>
          <rPr>
            <sz val="8"/>
            <color indexed="81"/>
            <rFont val="Tahoma"/>
            <family val="2"/>
          </rPr>
          <t xml:space="preserve">
</t>
        </r>
      </text>
    </comment>
    <comment ref="F3" authorId="0" shapeId="0" xr:uid="{00000000-0006-0000-0600-000002000000}">
      <text>
        <r>
          <rPr>
            <b/>
            <sz val="9"/>
            <color indexed="81"/>
            <rFont val="Tahoma"/>
            <family val="2"/>
          </rPr>
          <t xml:space="preserve">Scoring:
</t>
        </r>
        <r>
          <rPr>
            <sz val="9"/>
            <color indexed="81"/>
            <rFont val="Tahoma"/>
            <family val="2"/>
          </rPr>
          <t>Low = 1
Medium = 3
High =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Duncan Haughey</author>
  </authors>
  <commentList>
    <comment ref="E3" authorId="0" shapeId="0" xr:uid="{00000000-0006-0000-0800-000001000000}">
      <text>
        <r>
          <rPr>
            <b/>
            <sz val="9"/>
            <color indexed="81"/>
            <rFont val="Tahoma"/>
            <family val="2"/>
          </rPr>
          <t>Scoring:</t>
        </r>
        <r>
          <rPr>
            <sz val="9"/>
            <color indexed="81"/>
            <rFont val="Tahoma"/>
            <family val="2"/>
          </rPr>
          <t xml:space="preserve">
High
Medium
Low</t>
        </r>
        <r>
          <rPr>
            <sz val="8"/>
            <color indexed="81"/>
            <rFont val="Tahoma"/>
            <family val="2"/>
          </rPr>
          <t xml:space="preserve">
</t>
        </r>
      </text>
    </comment>
    <comment ref="F3" authorId="0" shapeId="0" xr:uid="{00000000-0006-0000-0800-000002000000}">
      <text>
        <r>
          <rPr>
            <b/>
            <sz val="9"/>
            <color indexed="81"/>
            <rFont val="Tahoma"/>
            <family val="2"/>
          </rPr>
          <t>Scoring:</t>
        </r>
        <r>
          <rPr>
            <sz val="9"/>
            <color indexed="81"/>
            <rFont val="Tahoma"/>
            <family val="2"/>
          </rPr>
          <t xml:space="preserve">
High
Medium
Low</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Duncan Haughey</author>
  </authors>
  <commentList>
    <comment ref="E3" authorId="0" shapeId="0" xr:uid="{00000000-0006-0000-0900-000001000000}">
      <text>
        <r>
          <rPr>
            <b/>
            <sz val="9"/>
            <color indexed="81"/>
            <rFont val="Tahoma"/>
            <family val="2"/>
          </rPr>
          <t>Scoring:</t>
        </r>
        <r>
          <rPr>
            <sz val="9"/>
            <color indexed="81"/>
            <rFont val="Tahoma"/>
            <family val="2"/>
          </rPr>
          <t xml:space="preserve">
High
Medium
Low
</t>
        </r>
      </text>
    </comment>
  </commentList>
</comments>
</file>

<file path=xl/sharedStrings.xml><?xml version="1.0" encoding="utf-8"?>
<sst xmlns="http://schemas.openxmlformats.org/spreadsheetml/2006/main" count="606" uniqueCount="407">
  <si>
    <t>INDEX</t>
  </si>
  <si>
    <t>Date Modified: 20-Sep-2022</t>
  </si>
  <si>
    <t>PROJECT DETAILS</t>
  </si>
  <si>
    <t>PROJECT TASK PLANNING</t>
  </si>
  <si>
    <t>Go to Project Details</t>
  </si>
  <si>
    <t>Go to Project Task Planning</t>
  </si>
  <si>
    <t>PROJECT MONITORING CHART</t>
  </si>
  <si>
    <t>RISK LOG</t>
  </si>
  <si>
    <t>Go to Project Monitoring</t>
  </si>
  <si>
    <t>Go to the Risk Log</t>
  </si>
  <si>
    <t>PROJECT ASSUMPTIONS</t>
  </si>
  <si>
    <t>ISSUE LOG</t>
  </si>
  <si>
    <t>Go to Assumptions</t>
  </si>
  <si>
    <t>Go to Issue Log</t>
  </si>
  <si>
    <t>PROJECT DEPENDENCIES</t>
  </si>
  <si>
    <t>MEETING NOTES</t>
  </si>
  <si>
    <t>Go to Project Dependencies</t>
  </si>
  <si>
    <t>Go to the Meeting Notes</t>
  </si>
  <si>
    <t>Sr. no</t>
  </si>
  <si>
    <t>Activity Requirement</t>
  </si>
  <si>
    <t>Actionable by</t>
  </si>
  <si>
    <t>Status</t>
  </si>
  <si>
    <t>Remarks</t>
  </si>
  <si>
    <t>Establish connectivity to client enviornment VDI/Laptops</t>
  </si>
  <si>
    <t>Note: This is generic list. Need to be updated for specific platform project</t>
  </si>
  <si>
    <t>Ensure all the required software installed on each VDI/Laptops</t>
  </si>
  <si>
    <t>Microsoft Azure Subscription:  Obtain an active Azure subscription from the Azure portal or through an Enterprise agreement.</t>
  </si>
  <si>
    <t>Region Selection:
Choose appropriate Azure region for deploying the Azure Databricks workspace as suggested by Exponentia team/considering factors like latency and compliance requirements.</t>
  </si>
  <si>
    <t>Azure Resource Group: Create an Azure resource group to deploy required services like Databricks, ADLS, Cosmos DB,etc. Existing resource group currently being used for synapse can also be used.</t>
  </si>
  <si>
    <t>A contributor role is required for the user to access the Resource group.</t>
  </si>
  <si>
    <t>A vnet is required with a  public and private subnet for databricks workspace secure connectivity.</t>
  </si>
  <si>
    <t>Required Databricks workspace account, ADLS Gen2 account  and SQL/Oracle/Cosmos DB.</t>
  </si>
  <si>
    <t>Allow Cosmos DB and Databricks workspace ports in inbound-outboud rule.</t>
  </si>
  <si>
    <t>To integrate with Azure Synapse Analytics, ensure you have the following information:
Database name, database server name, user name, and password for your Azure Synapse.</t>
  </si>
  <si>
    <t xml:space="preserve">Required App registration and access to the Blob storage account. </t>
  </si>
  <si>
    <t>In the Databricks portal, As per the requirement workspace access need to be provided with the appropriate user role.</t>
  </si>
  <si>
    <t>SR</t>
  </si>
  <si>
    <t>Area</t>
  </si>
  <si>
    <t>Description</t>
  </si>
  <si>
    <t>Implemented Yes/No</t>
  </si>
  <si>
    <t>Clear Project Objectives</t>
  </si>
  <si>
    <t>Define clear Purpose, Scope, outcome, Timeline and esnure its aligned to overall organizational goals and priorities
Define specific, measurable, achievable, relevant, and time-bound (SMART) goals in the proposal
Ensure all stakeholders understand the project objectives.</t>
  </si>
  <si>
    <t xml:space="preserve">Detailed Planning </t>
  </si>
  <si>
    <t>Develop a comprehensive project plan that outlines tasks, timelines, resources, and Effort/budgets.
Define and highlight all critical milestones like 
  - Business Requirment Document
 - Technical Design
 - Syntem Integration Test 
 - User Acceptance Test to ensure timely communication and approvals.
Check with Sales team on Payment Milestones and ensure timely completion of activities to meet the milestones.
Develop Project Plan by utilizing not more than 85% of the resource capacity.
Develop plan considering resource leave plan, public Holidays etc from customer and Exponentia
Develop Plan using granular WBS (Work Break Down structure). WBS should not take less than 8 hours of effort and a the same time, not more than 16 hours, assigned to one person for better progress monitoring
Use project management methodologies (e.g., Agile(Scrum), Waterfall) suited to the project type.
Deliver project in sprint by following Scrum ceremonies  like Sprint Planning, Daily Scrum, Sprint Review(Playbacks) and Sprint retrospective and have regular Governance calls</t>
  </si>
  <si>
    <t>Involve Stake Holders</t>
  </si>
  <si>
    <t>Identify all stakeholders early and involve them in the planning process.
Maintain regular communication to keep stakeholders informed and engaged.</t>
  </si>
  <si>
    <t>Risk Management</t>
  </si>
  <si>
    <t>Conduct a risk assessment to identify potential issues.
Create a risk management plan that includes mitigation strategies for identified risks.
Review Risk register on weekly basis to asses the impact and probabiity of the Risk and its impact on the Time, cost and scope of the Project
Invoke Change Management if any of the above constraints (Time, cost and scope) is impacted.</t>
  </si>
  <si>
    <t>Resource Management</t>
  </si>
  <si>
    <t>Allocate resources effectively, considering skills and availability.
Allocate resources with clear start and end date to avoid cost over run
Define clear role and responsibility and share with the team
Ensure team members are adequately trained and equipped on the required technology and platform to perform their tasks.</t>
  </si>
  <si>
    <t>Regular Monitoring and Reporting</t>
  </si>
  <si>
    <t>Hold regular status meetings to discuss progress, challenges, and next steps.
Implement tools to track project progress and performance against the plan.
Look for EWS(Early Warning Sign) and take appropriate action(s), Inform and seek help from management if needed.</t>
  </si>
  <si>
    <t>Change Management</t>
  </si>
  <si>
    <t>Establish a formal change control process to manage scope changes.
Assess the impact of changes on project timelines, costs, and resources before approval.
Adjust and publish the revised plan.</t>
  </si>
  <si>
    <t>Quality Assurance</t>
  </si>
  <si>
    <t>Define quality standards and metrics for deliverables.
Develop detailed Test strategy, Test plan and Test cases
Prepare Bi-Directional traceability matrix, Requirment &lt;-&gt; Design &lt;-&gt;Test cases &lt;-&gt; Test Result
Conduct regular quality checks and incorporate feedback into the development process.
Conduct RCA meeting for all the finding (Change and Bug) and take corrective action</t>
  </si>
  <si>
    <t>Effective Communication</t>
  </si>
  <si>
    <t>Establish clear communication channels among team members and stakeholders.
Hold Weekly and Monthly governance meeting to update on the progress
Use collaboration tools like MS Teams to facilitate communication and information sharing.</t>
  </si>
  <si>
    <t>Client and User Involvement</t>
  </si>
  <si>
    <t>Involve clients and end-users throughout the project to gather input and feedback.
Validate requirements and expectations to ensure alignment.</t>
  </si>
  <si>
    <t>Change and Release Management</t>
  </si>
  <si>
    <t>Plan and execute changes and releases carefully to minimize disruption.
Ensure proper testing and validation of changes before deployment.</t>
  </si>
  <si>
    <t>Agile Practices</t>
  </si>
  <si>
    <t>If applicable, adopt Agile practices such as iterative development and regular feedback loops.
Foster a culture of continuous improvement and adaptability.</t>
  </si>
  <si>
    <t>Documentation</t>
  </si>
  <si>
    <t>Maintain clear and comprehensive documentation throughout the project lifecycle.
Document decisions, changes, and lessons learned for future reference.</t>
  </si>
  <si>
    <t>Post Project Evaluation</t>
  </si>
  <si>
    <t>Conduct a project or sprint retrospective to evaluate what went well and what could be improved.
Gather feedback from stakeholders and team members to identify lessons learned.</t>
  </si>
  <si>
    <t>Scope of Work</t>
  </si>
  <si>
    <t>Component</t>
  </si>
  <si>
    <t>Project Name</t>
  </si>
  <si>
    <t>Target product</t>
  </si>
  <si>
    <t>Priority for Implementation</t>
  </si>
  <si>
    <t>Report Description</t>
  </si>
  <si>
    <t>Report Source</t>
  </si>
  <si>
    <t>Report Access</t>
  </si>
  <si>
    <t>Goto Index</t>
  </si>
  <si>
    <t>Estimated Project Start Date</t>
  </si>
  <si>
    <t>Estimated Project End Date</t>
  </si>
  <si>
    <t>Project Manager Name</t>
  </si>
  <si>
    <t>1. Project Team Members, Task Groups &amp; Stakeholders</t>
  </si>
  <si>
    <t>2. Holidays / Time Off Project</t>
  </si>
  <si>
    <t>Governance Model</t>
  </si>
  <si>
    <t>Planned Leaves</t>
  </si>
  <si>
    <t>Name</t>
  </si>
  <si>
    <t>Date</t>
  </si>
  <si>
    <t>Holiday</t>
  </si>
  <si>
    <t>Team</t>
  </si>
  <si>
    <t>Month</t>
  </si>
  <si>
    <t>Start</t>
  </si>
  <si>
    <t>End</t>
  </si>
  <si>
    <t>Daily Stand-up Call</t>
  </si>
  <si>
    <t>Bi-Weekly Sprint Planning Meeting and Retrospective</t>
  </si>
  <si>
    <t>Weekly Project Review Meeting</t>
  </si>
  <si>
    <t>Show-n-Tell</t>
  </si>
  <si>
    <t xml:space="preserve">Steerco: Once a Month </t>
  </si>
  <si>
    <t>Access</t>
  </si>
  <si>
    <t>Name </t>
  </si>
  <si>
    <t>ID</t>
  </si>
  <si>
    <t xml:space="preserve">VDI </t>
  </si>
  <si>
    <t>Domain</t>
  </si>
  <si>
    <t>Password</t>
  </si>
  <si>
    <t>Email ID</t>
  </si>
  <si>
    <t>Trainings</t>
  </si>
  <si>
    <t>Resource Name</t>
  </si>
  <si>
    <t>Training(s)</t>
  </si>
  <si>
    <t>Start Date</t>
  </si>
  <si>
    <t>End Date</t>
  </si>
  <si>
    <t>Project Plan</t>
  </si>
  <si>
    <t>Project Task Information</t>
  </si>
  <si>
    <t>Project Task</t>
  </si>
  <si>
    <t>Sub Tasks</t>
  </si>
  <si>
    <t>Man Days</t>
  </si>
  <si>
    <t xml:space="preserve">Hours </t>
  </si>
  <si>
    <t>Estimated Start Date</t>
  </si>
  <si>
    <t>Estimated Completion Date</t>
  </si>
  <si>
    <t>Task Owner</t>
  </si>
  <si>
    <t xml:space="preserve"> User/Stakeholder Involvement</t>
  </si>
  <si>
    <t>Remarks/Pre-requisites</t>
  </si>
  <si>
    <t>Project Initiation and Requirement Gathering</t>
  </si>
  <si>
    <t>Project Kick off</t>
  </si>
  <si>
    <t>Post Kick-off Activities</t>
  </si>
  <si>
    <t xml:space="preserve">Ensure all team members understand their tasks.
</t>
  </si>
  <si>
    <t xml:space="preserve">Address any immediate questions or concerns.
</t>
  </si>
  <si>
    <t>Verify that all necessary resources are in place.</t>
  </si>
  <si>
    <t xml:space="preserve">Client VPN Installation </t>
  </si>
  <si>
    <t xml:space="preserve">Arcon Installation </t>
  </si>
  <si>
    <t xml:space="preserve">Azure and SQL Server Access </t>
  </si>
  <si>
    <t xml:space="preserve">SSMS installation and Access </t>
  </si>
  <si>
    <t xml:space="preserve">Source Server details to have connection with ADF </t>
  </si>
  <si>
    <t xml:space="preserve">Shared the 150 variables with transformation rules </t>
  </si>
  <si>
    <t xml:space="preserve">Shared the Source of Variables as well </t>
  </si>
  <si>
    <t xml:space="preserve">Identified Stakeholders for requirement gathering </t>
  </si>
  <si>
    <t>Business Requirement Document</t>
  </si>
  <si>
    <t xml:space="preserve">Schedule a connect with client </t>
  </si>
  <si>
    <t xml:space="preserve">Requirement gathering deck for Operations </t>
  </si>
  <si>
    <t xml:space="preserve">Requirement gathering deck for Strategy </t>
  </si>
  <si>
    <t xml:space="preserve">Requirement gathering deck for technology </t>
  </si>
  <si>
    <t xml:space="preserve">Requirement gathering deck for Risk </t>
  </si>
  <si>
    <t>Gather requirement of various environment</t>
  </si>
  <si>
    <t xml:space="preserve">BRD preparation </t>
  </si>
  <si>
    <t xml:space="preserve">BRD Signoff </t>
  </si>
  <si>
    <t>Project Planning</t>
  </si>
  <si>
    <t xml:space="preserve">Prepare a detailed project plan </t>
  </si>
  <si>
    <t>Identify the resources</t>
  </si>
  <si>
    <t xml:space="preserve">Task allocation </t>
  </si>
  <si>
    <t>Monitor the assigned activities</t>
  </si>
  <si>
    <t>Existing architecture assessment</t>
  </si>
  <si>
    <t>Understand Source data and definitions</t>
  </si>
  <si>
    <t>Prepare Architecture for proposed solution</t>
  </si>
  <si>
    <t>Review  the existing transformation document</t>
  </si>
  <si>
    <t xml:space="preserve">Prepare the transformation document </t>
  </si>
  <si>
    <t>Prepare the document of data quality checks (data cleaning) to be applied for silver layer</t>
  </si>
  <si>
    <t xml:space="preserve">Define data storage, processing and performance optimization techniques </t>
  </si>
  <si>
    <t>Define logging and error handling strategies to be implemented in the solution</t>
  </si>
  <si>
    <t xml:space="preserve">Data Modeling </t>
  </si>
  <si>
    <t>Conceptual data modelling</t>
  </si>
  <si>
    <t>Logical data modelling</t>
  </si>
  <si>
    <t xml:space="preserve">Physical data modelling </t>
  </si>
  <si>
    <t>Physical data modelling converting Four DataMart's</t>
  </si>
  <si>
    <t>Prepare a mapping document to identify source to destination mapping</t>
  </si>
  <si>
    <t>Review the mapping documents</t>
  </si>
  <si>
    <t>Define ETL Framework</t>
  </si>
  <si>
    <t>Development Strategy</t>
  </si>
  <si>
    <t>Create Development Framework</t>
  </si>
  <si>
    <t xml:space="preserve">Explain assigned Task to developers
</t>
  </si>
  <si>
    <t xml:space="preserve">Ensure they understand development framework and assigned task
</t>
  </si>
  <si>
    <t xml:space="preserve">Test Strategy </t>
  </si>
  <si>
    <t>Create testing Framework</t>
  </si>
  <si>
    <t xml:space="preserve">Explain assigned Task to tester
</t>
  </si>
  <si>
    <t>Ensure they understand Testing framework and assigned task</t>
  </si>
  <si>
    <t xml:space="preserve">Risk assessment, project plan refinement </t>
  </si>
  <si>
    <t>Analyze the risks ( Technical Risks, Security Risks, Change Management etc.)</t>
  </si>
  <si>
    <t>Refine the project plan in case of any risk</t>
  </si>
  <si>
    <t xml:space="preserve">Environment set up </t>
  </si>
  <si>
    <t>Azure environment set up  (IAM,Access,Configration)</t>
  </si>
  <si>
    <t xml:space="preserve">Databrciks environment set up </t>
  </si>
  <si>
    <t>Azure Storage,Datafactory ,Azure Databricks connector setup</t>
  </si>
  <si>
    <t>Unity Catlog setup</t>
  </si>
  <si>
    <t>Connectivity for inter azure services(Have a check on the accessibility on SQL server, Databricks private network )</t>
  </si>
  <si>
    <t xml:space="preserve">Dev, Stage, Prod environment/databricks workspace set up planning </t>
  </si>
  <si>
    <t>Assist in environment validation</t>
  </si>
  <si>
    <t>Client communication setup</t>
  </si>
  <si>
    <t xml:space="preserve">Daily internal stand up </t>
  </si>
  <si>
    <t xml:space="preserve">Weekly &amp; Monthly connect </t>
  </si>
  <si>
    <t>Sprint 1 - Implementation of ETL Frame Work</t>
  </si>
  <si>
    <t xml:space="preserve">Implement defined folder structure </t>
  </si>
  <si>
    <t>Create Folder structure in Storage account with proper RBAC</t>
  </si>
  <si>
    <t>Create Folder structure in Databrick workspace account with proper RBAC</t>
  </si>
  <si>
    <t xml:space="preserve">Prepare Loading Strategy </t>
  </si>
  <si>
    <t>Identifying Full Load and Delta Load tables</t>
  </si>
  <si>
    <t xml:space="preserve">Create CT in SQL server for delta records </t>
  </si>
  <si>
    <t>Create cluster indexing for non primary key tables for CT tables</t>
  </si>
  <si>
    <t>Unity catalog configuration</t>
  </si>
  <si>
    <t>Create container for megastore in ADLS gen2 storage account</t>
  </si>
  <si>
    <t>Create Access Connector for Azure Databricks</t>
  </si>
  <si>
    <t>Assign the permission to access connector for ADLS-Gen2</t>
  </si>
  <si>
    <t>Create Catalog, Schema  and tables</t>
  </si>
  <si>
    <t>Login in the  Databricks workspace and go to manage account and setup metastore for workspace</t>
  </si>
  <si>
    <t xml:space="preserve">Manage and create users and groups and their permissions </t>
  </si>
  <si>
    <t>Common Code</t>
  </si>
  <si>
    <t xml:space="preserve">Prepare a common script to implement transformation </t>
  </si>
  <si>
    <t xml:space="preserve">Prepare a common script to implement error log and error handling </t>
  </si>
  <si>
    <t xml:space="preserve">Prepare a common script to share the notification </t>
  </si>
  <si>
    <t xml:space="preserve">Prepare a mechanism to re-run the failed task </t>
  </si>
  <si>
    <t xml:space="preserve">Define a strategy to re-run the failed task in case of failure </t>
  </si>
  <si>
    <t>Data Ingestion</t>
  </si>
  <si>
    <t>Create Datafactory pipelines to have full load in ADLS gen2</t>
  </si>
  <si>
    <t>Create Datafactory pipelines to have Delta  load in ADLS gen2</t>
  </si>
  <si>
    <t>TDD preparation and sign-off</t>
  </si>
  <si>
    <t>Preparation of technical design document(for each task assigned)</t>
  </si>
  <si>
    <t>Sprint 2 - Implementation of Complex Data Mart</t>
  </si>
  <si>
    <t>Data Transformation (Bronze to Silver Layer)</t>
  </si>
  <si>
    <t>Identify the key raw data sources to be ingested</t>
  </si>
  <si>
    <t>Write code to ingest raw data from identified sources.</t>
  </si>
  <si>
    <t>Apply initial data cleaning steps (e.g., removing duplicates, handling null values).</t>
  </si>
  <si>
    <t>Document the preprocessing steps for future reference.</t>
  </si>
  <si>
    <t>Handle missing values, outliers, and data inconsistencies</t>
  </si>
  <si>
    <t>Enrich data with additional information if necessary (e.g., lookups, audit columns).</t>
  </si>
  <si>
    <t>Define and enforce data schemas to ensure data quality.</t>
  </si>
  <si>
    <t>Load the cleaned and enriched data into the silver layer.</t>
  </si>
  <si>
    <t>Perform a final quality check on the Silver layer data.</t>
  </si>
  <si>
    <t>Pipeline creation from Silver to Gold Layer</t>
  </si>
  <si>
    <t>Review and validate the data model with business stakeholders.</t>
  </si>
  <si>
    <t>Write scripts to aggregate data from the Silver layer (e.g., sum, average).</t>
  </si>
  <si>
    <t>Test the aggregation and summarization scripts with sample data</t>
  </si>
  <si>
    <t>Optimize scripts for performance and scalability.</t>
  </si>
  <si>
    <t>Integrate data from multiple sources or silver tables to create comprehensive gold tables.</t>
  </si>
  <si>
    <t/>
  </si>
  <si>
    <t>Load the final transformed data into the gold layer.</t>
  </si>
  <si>
    <t>Verify the integrity of the loaded data.</t>
  </si>
  <si>
    <t>Perform a final quality check on the Gold layer data.</t>
  </si>
  <si>
    <t>Additional Tasks</t>
  </si>
  <si>
    <t>Implement monitoring and logging for each phase to track data movement and transformation.</t>
  </si>
  <si>
    <t>Implement robust error handling mechanisms to manage failures and retries.</t>
  </si>
  <si>
    <t>Implement data security through secrete scope</t>
  </si>
  <si>
    <t>Maintain document the architecture, data flows, and scripts for future reference and maintenance.</t>
  </si>
  <si>
    <r>
      <t>Testing and Validation</t>
    </r>
    <r>
      <rPr>
        <sz val="10"/>
        <rFont val="Arial"/>
        <family val="2"/>
      </rPr>
      <t>:</t>
    </r>
  </si>
  <si>
    <t>Document testing procedures and expected outcomes.</t>
  </si>
  <si>
    <t>Develop automated test scripts for data validation.</t>
  </si>
  <si>
    <t>Create manual test cases for scenarios not covered by automation.</t>
  </si>
  <si>
    <t>Run automated test scripts on the data pipeline.</t>
  </si>
  <si>
    <t>Execute manual test cases and document results</t>
  </si>
  <si>
    <t>Verify test results against expected outcomes and document discrepancies.</t>
  </si>
  <si>
    <t>Set up a bug tracking system</t>
  </si>
  <si>
    <t>Log all identified bugs with detailed descriptions and steps to reproduce</t>
  </si>
  <si>
    <t>Categorize bugs based on severity and impact.</t>
  </si>
  <si>
    <t>Assign bugs to relevant team members for resolution.</t>
  </si>
  <si>
    <t>Prioritize bug fixing based on project timelines and impact.</t>
  </si>
  <si>
    <t>Conduct regular bug review meetings to track progress</t>
  </si>
  <si>
    <t>Validate bug fixes with re-testing.</t>
  </si>
  <si>
    <t>Update bug status in the tracking system.</t>
  </si>
  <si>
    <t>Communicate resolved bugs and testing outcomes to stakeholders.</t>
  </si>
  <si>
    <t>Document lessons learned and best practices from the bug resolution process</t>
  </si>
  <si>
    <t>Daily Standup</t>
  </si>
  <si>
    <t xml:space="preserve">Weekly client updates </t>
  </si>
  <si>
    <t>Sprint 3 -   Implementation of Medium Data Mart</t>
  </si>
  <si>
    <t>Sprint 4 - Simple Data Marts</t>
  </si>
  <si>
    <t>Sprint 5 - Simple Data Marts</t>
  </si>
  <si>
    <t xml:space="preserve">UAT and Final Adjustment </t>
  </si>
  <si>
    <t>Support UAT, address feedback, perform bug fixes</t>
  </si>
  <si>
    <t>Oversee UAT process, manage change requests</t>
  </si>
  <si>
    <t>Lead UAT execution, document issues and resolutions</t>
  </si>
  <si>
    <t xml:space="preserve">Facilitate UAT sign-off </t>
  </si>
  <si>
    <t>Move to the Stage/Production</t>
  </si>
  <si>
    <t>Go-Live</t>
  </si>
  <si>
    <t xml:space="preserve">Coordinate go-live activities </t>
  </si>
  <si>
    <t>Oversee technical aspects of go-live</t>
  </si>
  <si>
    <t xml:space="preserve">Support go-live, address any last-minute issues </t>
  </si>
  <si>
    <t>Assist with user transition, provide documentation support</t>
  </si>
  <si>
    <t>Conduct final verification tests</t>
  </si>
  <si>
    <t>Coordinate go-live sign-off</t>
  </si>
  <si>
    <t>Work Schedule Monitoring</t>
  </si>
  <si>
    <t>Return to the Index</t>
  </si>
  <si>
    <t>GANTT CHART LEGEND</t>
  </si>
  <si>
    <t>Holiday / Vacation / No Work</t>
  </si>
  <si>
    <t>Planned Project Work Day</t>
  </si>
  <si>
    <t>Task Completed</t>
  </si>
  <si>
    <t>COMPLETION STATUS LEGEND</t>
  </si>
  <si>
    <t>Task Completed Ahead of Schedule</t>
  </si>
  <si>
    <t>Task Completed Behind Schedule</t>
  </si>
  <si>
    <t>Week 1</t>
  </si>
  <si>
    <t>Week 2</t>
  </si>
  <si>
    <t>Week 3</t>
  </si>
  <si>
    <t>Week 4</t>
  </si>
  <si>
    <t>Week 5</t>
  </si>
  <si>
    <t>Week 6</t>
  </si>
  <si>
    <t>Week 7</t>
  </si>
  <si>
    <t>Week 8</t>
  </si>
  <si>
    <t>Week 9</t>
  </si>
  <si>
    <t>Week 10</t>
  </si>
  <si>
    <t>Week 11</t>
  </si>
  <si>
    <t>Week 12</t>
  </si>
  <si>
    <t>Week 13</t>
  </si>
  <si>
    <t>Week 14</t>
  </si>
  <si>
    <t>Actual Start Date</t>
  </si>
  <si>
    <t>Actual Completion Date</t>
  </si>
  <si>
    <t>Comments</t>
  </si>
  <si>
    <t xml:space="preserve">Project Kickoff </t>
  </si>
  <si>
    <t xml:space="preserve">Post Kickoff Activities </t>
  </si>
  <si>
    <t xml:space="preserve"> </t>
  </si>
  <si>
    <t>Access of BI layer ( Power BI )</t>
  </si>
  <si>
    <t>Access to Azue Synapse to analyse the tables of variables</t>
  </si>
  <si>
    <t>Analyze the Shared 150 variables with transformation rules</t>
  </si>
  <si>
    <t xml:space="preserve">Analyze the Report to understand the variable sources </t>
  </si>
  <si>
    <t xml:space="preserve">Get the queries which used for applied the transformations </t>
  </si>
  <si>
    <t xml:space="preserve">Prepare the transformation deck for remaining 100 variables </t>
  </si>
  <si>
    <t>Find the Sources of Variables as well</t>
  </si>
  <si>
    <t xml:space="preserve">Data modeling for Operations </t>
  </si>
  <si>
    <t>Explain the approach to the developer</t>
  </si>
  <si>
    <t xml:space="preserve">Prepare a mapping document from Souce to Destination </t>
  </si>
  <si>
    <t xml:space="preserve">Data modeling for Strategy </t>
  </si>
  <si>
    <t xml:space="preserve">Data modeling for technology </t>
  </si>
  <si>
    <t xml:space="preserve">Data mdeling for Risk </t>
  </si>
  <si>
    <t>Risk Log</t>
  </si>
  <si>
    <t>Date Raised</t>
  </si>
  <si>
    <t>Risk Description</t>
  </si>
  <si>
    <t>Consequences</t>
  </si>
  <si>
    <t>Likelihood</t>
  </si>
  <si>
    <t>Impact</t>
  </si>
  <si>
    <t>Severity</t>
  </si>
  <si>
    <t>Mitigation Plan</t>
  </si>
  <si>
    <t>Owner</t>
  </si>
  <si>
    <t>Date Closed</t>
  </si>
  <si>
    <t>Assumptions</t>
  </si>
  <si>
    <t xml:space="preserve"> Sr no</t>
  </si>
  <si>
    <t>Assumption Description</t>
  </si>
  <si>
    <t>Reason for Assumption</t>
  </si>
  <si>
    <t>Action to Validate</t>
  </si>
  <si>
    <t>Impact if Assumption Incorrect</t>
  </si>
  <si>
    <t>Issue Log</t>
  </si>
  <si>
    <t>Issue Description</t>
  </si>
  <si>
    <t>Impact Description</t>
  </si>
  <si>
    <t>Priority</t>
  </si>
  <si>
    <t>Resolution TAT</t>
  </si>
  <si>
    <t>Dependencies</t>
  </si>
  <si>
    <t>Dependency Description</t>
  </si>
  <si>
    <t>Due Date</t>
  </si>
  <si>
    <t>Meeting Notes</t>
  </si>
  <si>
    <t>Sr.No</t>
  </si>
  <si>
    <t>Meeting 
Title</t>
  </si>
  <si>
    <t>Attendees</t>
  </si>
  <si>
    <t>Agenda</t>
  </si>
  <si>
    <t>Type</t>
  </si>
  <si>
    <t>Conclusion 
/
Remark</t>
  </si>
  <si>
    <t>Role</t>
  </si>
  <si>
    <t>Head Count</t>
  </si>
  <si>
    <t>Potential Responsibilities</t>
  </si>
  <si>
    <t>Effort Estimates (Man-Months)</t>
  </si>
  <si>
    <t>Implementation Phase</t>
  </si>
  <si>
    <t>Total</t>
  </si>
  <si>
    <t>Sr No</t>
  </si>
  <si>
    <t>Document Reference</t>
  </si>
  <si>
    <t>DocumentSection</t>
  </si>
  <si>
    <t>Questions</t>
  </si>
  <si>
    <t xml:space="preserve">Response </t>
  </si>
  <si>
    <t>Response Provided by</t>
  </si>
  <si>
    <t>Raised Date</t>
  </si>
  <si>
    <t>Response Received Date</t>
  </si>
  <si>
    <t>"Weekly" (or whatever) task view</t>
  </si>
  <si>
    <t>Task Not Yet Started</t>
  </si>
  <si>
    <t>Task is underway but is behind schedule.</t>
  </si>
  <si>
    <t>Task Complete</t>
  </si>
  <si>
    <t>Task is late and has not yet been started.</t>
  </si>
  <si>
    <t>start date entry</t>
  </si>
  <si>
    <t>Task In Progress</t>
  </si>
  <si>
    <t>Task is scheduled for work during this timeframe.</t>
  </si>
  <si>
    <t>End date entry</t>
  </si>
  <si>
    <t>TO ORDER BY TASK OWNER</t>
  </si>
  <si>
    <t>Actual list for Tab</t>
  </si>
  <si>
    <t>TASK NUMBER</t>
  </si>
  <si>
    <t>ID for Task</t>
  </si>
  <si>
    <t>"Rank" to list</t>
  </si>
  <si>
    <t>Repeat Task for VLOOKUP</t>
  </si>
  <si>
    <t>TASK</t>
  </si>
  <si>
    <t>Estimated End Date</t>
  </si>
  <si>
    <t>Owner for List</t>
  </si>
  <si>
    <t>Actual End Date</t>
  </si>
  <si>
    <t>On Track Status</t>
  </si>
  <si>
    <t>Task should be done - Started</t>
  </si>
  <si>
    <t>Task Should be done - Not Yet Started</t>
  </si>
  <si>
    <t>Reg Scheduled Task during this time</t>
  </si>
  <si>
    <t>Sum</t>
  </si>
  <si>
    <t>Unique Rank for Owners, by task</t>
  </si>
  <si>
    <t>Owner Rank</t>
  </si>
  <si>
    <t>List of tasks</t>
  </si>
  <si>
    <t>Task Name</t>
  </si>
  <si>
    <t>Est Start Date</t>
  </si>
  <si>
    <t>Est End Date - DUE DATE</t>
  </si>
  <si>
    <t>Completion Status</t>
  </si>
  <si>
    <t>Possible Owner</t>
  </si>
  <si>
    <t>Task Number</t>
  </si>
  <si>
    <t>Yes to tasks</t>
  </si>
  <si>
    <t>Unique Rank</t>
  </si>
  <si>
    <t>RANK</t>
  </si>
  <si>
    <t>Owner for Tab</t>
  </si>
  <si>
    <t>Task</t>
  </si>
  <si>
    <t>Task Status</t>
  </si>
  <si>
    <t>Unassigned</t>
  </si>
  <si>
    <t>Change Request Register</t>
  </si>
  <si>
    <t>CR ID</t>
  </si>
  <si>
    <t>CR Date</t>
  </si>
  <si>
    <t>CR Raised by</t>
  </si>
  <si>
    <t>CR Approved by</t>
  </si>
  <si>
    <t>Estimated Efforts</t>
  </si>
  <si>
    <t>Efforts Approved By</t>
  </si>
  <si>
    <t>Impacts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</si>
</sst>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409]d\-mmm;@"/>
    <numFmt numFmtId="165" formatCode="[$-409]d\-mmm\-yy;@"/>
    <numFmt numFmtId="166" formatCode="[$-409]mmmm\ d\,\ yyyy;@"/>
  </numFmts>
  <fonts count="5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8"/>
      <name val="Arial"/>
      <family val="2"/>
    </font>
    <font>
      <sz val="8"/>
      <name val="Arial"/>
      <family val="2"/>
    </font>
    <font>
      <b/>
      <sz val="10"/>
      <name val="Arial"/>
      <family val="2"/>
    </font>
    <font>
      <sz val="8"/>
      <name val="Arial"/>
      <family val="2"/>
    </font>
    <font>
      <u/>
      <sz val="10"/>
      <color indexed="12"/>
      <name val="Arial"/>
      <family val="2"/>
    </font>
    <font>
      <sz val="6"/>
      <name val="Arial"/>
      <family val="2"/>
    </font>
    <font>
      <b/>
      <sz val="6"/>
      <color indexed="53"/>
      <name val="Arial"/>
      <family val="2"/>
    </font>
    <font>
      <u/>
      <sz val="10"/>
      <color indexed="16"/>
      <name val="Arial"/>
      <family val="2"/>
    </font>
    <font>
      <b/>
      <u/>
      <sz val="12"/>
      <name val="Arial"/>
      <family val="2"/>
    </font>
    <font>
      <b/>
      <sz val="11"/>
      <color theme="1"/>
      <name val="Calibri"/>
      <family val="2"/>
      <scheme val="minor"/>
    </font>
    <font>
      <b/>
      <sz val="11"/>
      <color theme="0" tint="-4.9989318521683403E-2"/>
      <name val="Calibri"/>
      <family val="2"/>
      <scheme val="minor"/>
    </font>
    <font>
      <b/>
      <sz val="10"/>
      <color theme="1"/>
      <name val="Calibri"/>
      <family val="2"/>
      <scheme val="minor"/>
    </font>
    <font>
      <sz val="10"/>
      <color theme="1"/>
      <name val="Calibri"/>
      <family val="2"/>
      <scheme val="minor"/>
    </font>
    <font>
      <b/>
      <sz val="9"/>
      <color indexed="81"/>
      <name val="Tahoma"/>
      <family val="2"/>
    </font>
    <font>
      <sz val="9"/>
      <color indexed="81"/>
      <name val="Tahoma"/>
      <family val="2"/>
    </font>
    <font>
      <sz val="8"/>
      <color indexed="81"/>
      <name val="Tahoma"/>
      <family val="2"/>
    </font>
    <font>
      <sz val="9"/>
      <color theme="1"/>
      <name val="Verdana"/>
      <family val="2"/>
    </font>
    <font>
      <sz val="9"/>
      <color theme="1"/>
      <name val="Symbol"/>
      <family val="1"/>
      <charset val="2"/>
    </font>
    <font>
      <sz val="9"/>
      <color rgb="FF000000"/>
      <name val="Verdana"/>
      <family val="2"/>
    </font>
    <font>
      <sz val="9"/>
      <color rgb="FFFF0000"/>
      <name val="Verdana"/>
      <family val="2"/>
    </font>
    <font>
      <sz val="9"/>
      <color theme="1"/>
      <name val="Avenir Light"/>
      <family val="2"/>
    </font>
    <font>
      <sz val="10"/>
      <color theme="1"/>
      <name val="Times New Roman"/>
      <family val="1"/>
    </font>
    <font>
      <sz val="9"/>
      <color rgb="FF000000"/>
      <name val="Avenir Light"/>
      <family val="2"/>
    </font>
    <font>
      <sz val="9"/>
      <name val="Poppins"/>
    </font>
    <font>
      <b/>
      <sz val="8"/>
      <name val="Poppins"/>
    </font>
    <font>
      <sz val="8"/>
      <name val="Poppins"/>
    </font>
    <font>
      <sz val="10"/>
      <name val="Arial"/>
      <family val="2"/>
    </font>
    <font>
      <sz val="9"/>
      <color theme="1"/>
      <name val="Popins"/>
    </font>
    <font>
      <sz val="10"/>
      <color theme="1"/>
      <name val="Popins"/>
    </font>
    <font>
      <sz val="10"/>
      <name val="Popins"/>
    </font>
    <font>
      <b/>
      <sz val="9"/>
      <name val="Popins"/>
    </font>
    <font>
      <sz val="9"/>
      <name val="Popins"/>
    </font>
    <font>
      <b/>
      <sz val="10"/>
      <color indexed="45"/>
      <name val="Popins"/>
    </font>
    <font>
      <sz val="10"/>
      <color indexed="45"/>
      <name val="Popins"/>
    </font>
    <font>
      <b/>
      <sz val="18"/>
      <name val="Popins"/>
    </font>
    <font>
      <u/>
      <sz val="10"/>
      <color indexed="12"/>
      <name val="Poppins"/>
    </font>
    <font>
      <b/>
      <sz val="10"/>
      <color theme="1"/>
      <name val="Poppins"/>
    </font>
    <font>
      <sz val="9"/>
      <color theme="1"/>
      <name val="Poppins"/>
    </font>
    <font>
      <b/>
      <sz val="9"/>
      <color theme="1"/>
      <name val="Poppins"/>
    </font>
    <font>
      <b/>
      <sz val="10"/>
      <name val="Poppins"/>
    </font>
    <font>
      <b/>
      <sz val="10"/>
      <color theme="0" tint="-4.9989318521683403E-2"/>
      <name val="Poppins"/>
    </font>
    <font>
      <b/>
      <sz val="10"/>
      <color theme="1"/>
      <name val="Popins"/>
    </font>
    <font>
      <sz val="12"/>
      <color rgb="FF000000"/>
      <name val="Aptos"/>
      <family val="2"/>
    </font>
    <font>
      <u/>
      <sz val="11"/>
      <color theme="10"/>
      <name val="Calibri"/>
      <family val="2"/>
      <scheme val="minor"/>
    </font>
    <font>
      <sz val="11"/>
      <color rgb="FF000000"/>
      <name val="Calibri"/>
      <family val="2"/>
    </font>
    <font>
      <sz val="10"/>
      <name val="Poppins"/>
    </font>
    <font>
      <sz val="10"/>
      <color rgb="FFC00000"/>
      <name val="Arial"/>
      <family val="2"/>
    </font>
    <font>
      <sz val="12"/>
      <color theme="1"/>
      <name val="Calibri"/>
      <family val="2"/>
      <scheme val="minor"/>
    </font>
    <font>
      <b/>
      <sz val="12"/>
      <color indexed="45"/>
      <name val="Popins"/>
    </font>
  </fonts>
  <fills count="26">
    <fill>
      <patternFill patternType="none"/>
    </fill>
    <fill>
      <patternFill patternType="gray125"/>
    </fill>
    <fill>
      <patternFill patternType="solid">
        <fgColor indexed="60"/>
        <bgColor indexed="64"/>
      </patternFill>
    </fill>
    <fill>
      <patternFill patternType="solid">
        <fgColor indexed="56"/>
        <bgColor indexed="64"/>
      </patternFill>
    </fill>
    <fill>
      <patternFill patternType="solid">
        <fgColor indexed="58"/>
        <bgColor indexed="64"/>
      </patternFill>
    </fill>
    <fill>
      <patternFill patternType="solid">
        <fgColor indexed="50"/>
        <bgColor indexed="64"/>
      </patternFill>
    </fill>
    <fill>
      <patternFill patternType="solid">
        <fgColor indexed="53"/>
        <bgColor indexed="64"/>
      </patternFill>
    </fill>
    <fill>
      <patternFill patternType="solid">
        <fgColor indexed="49"/>
        <bgColor indexed="64"/>
      </patternFill>
    </fill>
    <fill>
      <patternFill patternType="solid">
        <fgColor indexed="48"/>
        <bgColor indexed="64"/>
      </patternFill>
    </fill>
    <fill>
      <patternFill patternType="lightUp"/>
    </fill>
    <fill>
      <patternFill patternType="solid">
        <fgColor indexed="57"/>
        <bgColor indexed="64"/>
      </patternFill>
    </fill>
    <fill>
      <patternFill patternType="solid">
        <fgColor indexed="63"/>
        <bgColor indexed="64"/>
      </patternFill>
    </fill>
    <fill>
      <patternFill patternType="solid">
        <fgColor indexed="59"/>
        <bgColor indexed="64"/>
      </patternFill>
    </fill>
    <fill>
      <patternFill patternType="solid">
        <fgColor indexed="18"/>
        <bgColor indexed="64"/>
      </patternFill>
    </fill>
    <fill>
      <patternFill patternType="solid">
        <fgColor rgb="FF0070C0"/>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rgb="FFEEECE1"/>
        <bgColor indexed="64"/>
      </patternFill>
    </fill>
    <fill>
      <patternFill patternType="solid">
        <fgColor theme="8"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4"/>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FFFF"/>
        <bgColor indexed="64"/>
      </patternFill>
    </fill>
  </fills>
  <borders count="10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style="thin">
        <color indexed="59"/>
      </right>
      <top style="medium">
        <color indexed="64"/>
      </top>
      <bottom style="thin">
        <color indexed="59"/>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thin">
        <color indexed="59"/>
      </right>
      <top style="medium">
        <color indexed="64"/>
      </top>
      <bottom style="thin">
        <color indexed="59"/>
      </bottom>
      <diagonal/>
    </border>
    <border>
      <left style="thin">
        <color indexed="59"/>
      </left>
      <right style="thin">
        <color indexed="59"/>
      </right>
      <top style="medium">
        <color indexed="64"/>
      </top>
      <bottom style="thin">
        <color indexed="59"/>
      </bottom>
      <diagonal/>
    </border>
    <border>
      <left style="thin">
        <color indexed="59"/>
      </left>
      <right/>
      <top style="medium">
        <color indexed="64"/>
      </top>
      <bottom style="thin">
        <color indexed="59"/>
      </bottom>
      <diagonal/>
    </border>
    <border>
      <left style="thin">
        <color indexed="64"/>
      </left>
      <right style="thin">
        <color indexed="59"/>
      </right>
      <top style="medium">
        <color indexed="64"/>
      </top>
      <bottom style="thin">
        <color indexed="59"/>
      </bottom>
      <diagonal/>
    </border>
    <border>
      <left style="thin">
        <color indexed="59"/>
      </left>
      <right style="thin">
        <color indexed="64"/>
      </right>
      <top style="medium">
        <color indexed="64"/>
      </top>
      <bottom style="thin">
        <color indexed="59"/>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medium">
        <color indexed="64"/>
      </left>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auto="1"/>
      </top>
      <bottom style="thin">
        <color auto="1"/>
      </bottom>
      <diagonal/>
    </border>
    <border>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59"/>
      </right>
      <top/>
      <bottom style="thin">
        <color indexed="59"/>
      </bottom>
      <diagonal/>
    </border>
    <border>
      <left style="thin">
        <color indexed="59"/>
      </left>
      <right style="thin">
        <color indexed="59"/>
      </right>
      <top/>
      <bottom style="thin">
        <color indexed="59"/>
      </bottom>
      <diagonal/>
    </border>
    <border>
      <left style="thin">
        <color indexed="59"/>
      </left>
      <right/>
      <top/>
      <bottom style="thin">
        <color indexed="59"/>
      </bottom>
      <diagonal/>
    </border>
    <border>
      <left style="thin">
        <color indexed="64"/>
      </left>
      <right style="thin">
        <color indexed="59"/>
      </right>
      <top/>
      <bottom style="thin">
        <color indexed="59"/>
      </bottom>
      <diagonal/>
    </border>
    <border>
      <left style="thin">
        <color indexed="59"/>
      </left>
      <right style="thin">
        <color indexed="64"/>
      </right>
      <top/>
      <bottom style="thin">
        <color indexed="59"/>
      </bottom>
      <diagonal/>
    </border>
    <border>
      <left/>
      <right style="thin">
        <color indexed="59"/>
      </right>
      <top/>
      <bottom style="thin">
        <color indexed="59"/>
      </bottom>
      <diagonal/>
    </border>
    <border>
      <left style="medium">
        <color indexed="64"/>
      </left>
      <right style="thin">
        <color indexed="59"/>
      </right>
      <top style="thin">
        <color indexed="59"/>
      </top>
      <bottom style="thin">
        <color indexed="59"/>
      </bottom>
      <diagonal/>
    </border>
    <border>
      <left style="thin">
        <color indexed="59"/>
      </left>
      <right style="thin">
        <color indexed="59"/>
      </right>
      <top style="thin">
        <color indexed="59"/>
      </top>
      <bottom style="thin">
        <color indexed="59"/>
      </bottom>
      <diagonal/>
    </border>
    <border>
      <left style="thin">
        <color indexed="59"/>
      </left>
      <right/>
      <top style="thin">
        <color indexed="59"/>
      </top>
      <bottom style="thin">
        <color indexed="59"/>
      </bottom>
      <diagonal/>
    </border>
    <border>
      <left style="thin">
        <color indexed="64"/>
      </left>
      <right style="thin">
        <color indexed="59"/>
      </right>
      <top style="thin">
        <color indexed="59"/>
      </top>
      <bottom style="thin">
        <color indexed="59"/>
      </bottom>
      <diagonal/>
    </border>
    <border>
      <left style="thin">
        <color indexed="59"/>
      </left>
      <right style="thin">
        <color indexed="64"/>
      </right>
      <top style="thin">
        <color indexed="59"/>
      </top>
      <bottom style="thin">
        <color indexed="59"/>
      </bottom>
      <diagonal/>
    </border>
    <border>
      <left/>
      <right style="thin">
        <color indexed="59"/>
      </right>
      <top style="thin">
        <color indexed="59"/>
      </top>
      <bottom style="thin">
        <color indexed="59"/>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indexed="59"/>
      </right>
      <top style="thin">
        <color indexed="59"/>
      </top>
      <bottom style="medium">
        <color indexed="64"/>
      </bottom>
      <diagonal/>
    </border>
    <border>
      <left style="thin">
        <color indexed="59"/>
      </left>
      <right style="thin">
        <color indexed="59"/>
      </right>
      <top style="thin">
        <color indexed="59"/>
      </top>
      <bottom style="medium">
        <color indexed="64"/>
      </bottom>
      <diagonal/>
    </border>
    <border>
      <left style="thin">
        <color indexed="59"/>
      </left>
      <right/>
      <top style="thin">
        <color indexed="59"/>
      </top>
      <bottom style="medium">
        <color indexed="64"/>
      </bottom>
      <diagonal/>
    </border>
    <border>
      <left style="thin">
        <color indexed="64"/>
      </left>
      <right style="thin">
        <color indexed="59"/>
      </right>
      <top style="thin">
        <color indexed="59"/>
      </top>
      <bottom style="medium">
        <color indexed="64"/>
      </bottom>
      <diagonal/>
    </border>
    <border>
      <left style="thin">
        <color indexed="59"/>
      </left>
      <right style="thin">
        <color indexed="64"/>
      </right>
      <top style="thin">
        <color indexed="59"/>
      </top>
      <bottom style="medium">
        <color indexed="64"/>
      </bottom>
      <diagonal/>
    </border>
    <border>
      <left/>
      <right style="thin">
        <color indexed="59"/>
      </right>
      <top style="thin">
        <color indexed="59"/>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s>
  <cellStyleXfs count="9">
    <xf numFmtId="0" fontId="0" fillId="0" borderId="0"/>
    <xf numFmtId="0" fontId="10" fillId="0" borderId="0" applyNumberFormat="0" applyFill="0" applyBorder="0" applyAlignment="0" applyProtection="0">
      <alignment vertical="top"/>
      <protection locked="0"/>
    </xf>
    <xf numFmtId="0" fontId="4" fillId="0" borderId="0"/>
    <xf numFmtId="0" fontId="3" fillId="0" borderId="0"/>
    <xf numFmtId="0" fontId="5" fillId="0" borderId="0"/>
    <xf numFmtId="43" fontId="32" fillId="0" borderId="0" applyFont="0" applyFill="0" applyBorder="0" applyAlignment="0" applyProtection="0"/>
    <xf numFmtId="0" fontId="2" fillId="0" borderId="0"/>
    <xf numFmtId="0" fontId="49" fillId="0" borderId="0" applyNumberFormat="0" applyFill="0" applyBorder="0" applyAlignment="0" applyProtection="0"/>
    <xf numFmtId="0" fontId="1" fillId="0" borderId="0"/>
  </cellStyleXfs>
  <cellXfs count="460">
    <xf numFmtId="0" fontId="0" fillId="0" borderId="0" xfId="0"/>
    <xf numFmtId="0" fontId="6" fillId="0" borderId="0" xfId="0" applyFont="1" applyAlignment="1">
      <alignment vertical="center"/>
    </xf>
    <xf numFmtId="0" fontId="6" fillId="2" borderId="0" xfId="0" applyFont="1" applyFill="1" applyAlignment="1">
      <alignment vertical="center"/>
    </xf>
    <xf numFmtId="0" fontId="0" fillId="2" borderId="0" xfId="0" applyFill="1"/>
    <xf numFmtId="0" fontId="0" fillId="0" borderId="0" xfId="0" applyAlignment="1">
      <alignment horizontal="center"/>
    </xf>
    <xf numFmtId="0" fontId="8" fillId="0" borderId="0" xfId="0" applyFont="1" applyAlignment="1">
      <alignment horizontal="center" vertical="center" wrapText="1"/>
    </xf>
    <xf numFmtId="0" fontId="8" fillId="0" borderId="0" xfId="0" applyFont="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8" fillId="0" borderId="0" xfId="0" applyFont="1"/>
    <xf numFmtId="0" fontId="0" fillId="0" borderId="0" xfId="0" applyAlignment="1">
      <alignment wrapText="1"/>
    </xf>
    <xf numFmtId="0" fontId="8" fillId="0" borderId="0" xfId="0" applyFont="1" applyAlignment="1">
      <alignment wrapText="1"/>
    </xf>
    <xf numFmtId="165" fontId="0" fillId="0" borderId="0" xfId="0" applyNumberFormat="1"/>
    <xf numFmtId="0" fontId="14" fillId="0" borderId="0" xfId="0" applyFont="1"/>
    <xf numFmtId="0" fontId="0" fillId="5" borderId="0" xfId="0" applyFill="1"/>
    <xf numFmtId="0" fontId="5" fillId="0" borderId="0" xfId="0" applyFont="1"/>
    <xf numFmtId="165" fontId="8" fillId="0" borderId="0" xfId="0" applyNumberFormat="1" applyFont="1" applyAlignment="1">
      <alignment wrapText="1"/>
    </xf>
    <xf numFmtId="0" fontId="8" fillId="0" borderId="0" xfId="0" applyFont="1" applyAlignment="1">
      <alignment vertical="center" wrapText="1"/>
    </xf>
    <xf numFmtId="0" fontId="13" fillId="0" borderId="0" xfId="1" applyFont="1" applyFill="1" applyAlignment="1" applyProtection="1">
      <alignment horizontal="right" vertical="center"/>
    </xf>
    <xf numFmtId="0" fontId="8" fillId="8" borderId="0" xfId="0" applyFont="1" applyFill="1"/>
    <xf numFmtId="0" fontId="0" fillId="8" borderId="0" xfId="0" applyFill="1"/>
    <xf numFmtId="0" fontId="6" fillId="2" borderId="0" xfId="0" applyFont="1" applyFill="1" applyAlignment="1">
      <alignment vertical="center" wrapText="1"/>
    </xf>
    <xf numFmtId="0" fontId="10" fillId="2" borderId="0" xfId="1" applyFill="1" applyAlignment="1" applyProtection="1">
      <alignment horizontal="right" vertical="center"/>
    </xf>
    <xf numFmtId="0" fontId="16" fillId="14" borderId="0" xfId="3" applyFont="1" applyFill="1" applyAlignment="1">
      <alignment horizontal="center" vertical="center" wrapText="1"/>
    </xf>
    <xf numFmtId="0" fontId="3" fillId="0" borderId="0" xfId="3"/>
    <xf numFmtId="0" fontId="3" fillId="0" borderId="0" xfId="3" applyAlignment="1">
      <alignment horizontal="center"/>
    </xf>
    <xf numFmtId="0" fontId="3" fillId="0" borderId="0" xfId="3" applyAlignment="1">
      <alignment wrapText="1"/>
    </xf>
    <xf numFmtId="0" fontId="16" fillId="14" borderId="0" xfId="3" applyFont="1" applyFill="1" applyAlignment="1">
      <alignment vertical="center" wrapText="1"/>
    </xf>
    <xf numFmtId="0" fontId="10" fillId="2" borderId="0" xfId="1" applyFill="1" applyAlignment="1" applyProtection="1">
      <alignment horizontal="center" vertical="center"/>
    </xf>
    <xf numFmtId="0" fontId="18" fillId="0" borderId="0" xfId="3" applyFont="1"/>
    <xf numFmtId="0" fontId="10" fillId="2" borderId="0" xfId="1" applyFill="1" applyAlignment="1" applyProtection="1">
      <alignment horizontal="right" vertical="center" wrapText="1"/>
    </xf>
    <xf numFmtId="165" fontId="8" fillId="0" borderId="49" xfId="0" applyNumberFormat="1" applyFont="1" applyBorder="1" applyAlignment="1">
      <alignment horizontal="center" vertical="center"/>
    </xf>
    <xf numFmtId="0" fontId="10" fillId="2" borderId="0" xfId="1" applyFill="1" applyAlignment="1" applyProtection="1">
      <alignment horizontal="center" vertical="center" wrapText="1"/>
    </xf>
    <xf numFmtId="0" fontId="3" fillId="0" borderId="0" xfId="3" applyAlignment="1">
      <alignment horizontal="center" vertical="center" wrapText="1"/>
    </xf>
    <xf numFmtId="0" fontId="3" fillId="0" borderId="0" xfId="3" applyAlignment="1">
      <alignment horizontal="center" vertical="center"/>
    </xf>
    <xf numFmtId="0" fontId="23" fillId="0" borderId="6" xfId="0" applyFont="1" applyBorder="1" applyAlignment="1">
      <alignment horizontal="left" vertical="center" wrapText="1" indent="4"/>
    </xf>
    <xf numFmtId="0" fontId="23" fillId="0" borderId="18" xfId="0" applyFont="1" applyBorder="1" applyAlignment="1">
      <alignment horizontal="left" vertical="center" wrapText="1" indent="4"/>
    </xf>
    <xf numFmtId="0" fontId="22" fillId="0" borderId="51" xfId="0" applyFont="1" applyBorder="1" applyAlignment="1">
      <alignment horizontal="center" vertical="center" wrapText="1"/>
    </xf>
    <xf numFmtId="0" fontId="22" fillId="0" borderId="18" xfId="0" applyFont="1" applyBorder="1" applyAlignment="1">
      <alignment horizontal="center" vertical="center" wrapText="1"/>
    </xf>
    <xf numFmtId="0" fontId="24" fillId="18" borderId="51" xfId="0" applyFont="1" applyFill="1" applyBorder="1" applyAlignment="1">
      <alignment horizontal="center" vertical="center" wrapText="1"/>
    </xf>
    <xf numFmtId="0" fontId="24" fillId="18" borderId="18" xfId="0" applyFont="1" applyFill="1" applyBorder="1" applyAlignment="1">
      <alignment horizontal="center" vertical="center" wrapText="1"/>
    </xf>
    <xf numFmtId="0" fontId="25" fillId="18" borderId="18" xfId="0" applyFont="1" applyFill="1" applyBorder="1" applyAlignment="1">
      <alignment vertical="center" wrapText="1"/>
    </xf>
    <xf numFmtId="0" fontId="5" fillId="0" borderId="0" xfId="4"/>
    <xf numFmtId="0" fontId="5" fillId="0" borderId="0" xfId="4" applyAlignment="1">
      <alignment wrapText="1"/>
    </xf>
    <xf numFmtId="0" fontId="6" fillId="2" borderId="0" xfId="4" applyFont="1" applyFill="1" applyAlignment="1">
      <alignment vertical="center"/>
    </xf>
    <xf numFmtId="0" fontId="6" fillId="2" borderId="0" xfId="4" applyFont="1" applyFill="1" applyAlignment="1">
      <alignment vertical="center" wrapText="1"/>
    </xf>
    <xf numFmtId="0" fontId="5" fillId="2" borderId="0" xfId="4" applyFill="1"/>
    <xf numFmtId="0" fontId="5" fillId="0" borderId="0" xfId="4" applyAlignment="1">
      <alignment horizontal="left" vertical="center"/>
    </xf>
    <xf numFmtId="0" fontId="5" fillId="0" borderId="0" xfId="4" applyAlignment="1">
      <alignment horizontal="left" vertical="center" wrapText="1"/>
    </xf>
    <xf numFmtId="0" fontId="8" fillId="0" borderId="0" xfId="4" applyFont="1"/>
    <xf numFmtId="0" fontId="8" fillId="9" borderId="32" xfId="4" applyFont="1" applyFill="1" applyBorder="1"/>
    <xf numFmtId="0" fontId="5" fillId="10" borderId="32" xfId="4" applyFill="1" applyBorder="1"/>
    <xf numFmtId="0" fontId="5" fillId="7" borderId="22" xfId="4" applyFill="1" applyBorder="1"/>
    <xf numFmtId="0" fontId="8" fillId="0" borderId="0" xfId="4" applyFont="1" applyAlignment="1">
      <alignment wrapText="1"/>
    </xf>
    <xf numFmtId="0" fontId="8" fillId="0" borderId="0" xfId="4" applyFont="1" applyAlignment="1">
      <alignment horizontal="center" vertical="center" wrapText="1"/>
    </xf>
    <xf numFmtId="0" fontId="11" fillId="4" borderId="2" xfId="4" applyFont="1" applyFill="1" applyBorder="1" applyAlignment="1">
      <alignment horizontal="center" vertical="center" wrapText="1"/>
    </xf>
    <xf numFmtId="0" fontId="11" fillId="4" borderId="3" xfId="4" applyFont="1" applyFill="1" applyBorder="1" applyAlignment="1">
      <alignment horizontal="center" vertical="center" wrapText="1"/>
    </xf>
    <xf numFmtId="0" fontId="8" fillId="4" borderId="2" xfId="4" applyFont="1" applyFill="1" applyBorder="1" applyAlignment="1">
      <alignment horizontal="center" vertical="center" wrapText="1"/>
    </xf>
    <xf numFmtId="164" fontId="11" fillId="4" borderId="0" xfId="4" applyNumberFormat="1" applyFont="1" applyFill="1" applyAlignment="1">
      <alignment horizontal="center" vertical="center" wrapText="1"/>
    </xf>
    <xf numFmtId="164" fontId="11" fillId="4" borderId="4" xfId="4" applyNumberFormat="1" applyFont="1" applyFill="1" applyBorder="1" applyAlignment="1">
      <alignment horizontal="center" vertical="center" wrapText="1"/>
    </xf>
    <xf numFmtId="164" fontId="11" fillId="4" borderId="5" xfId="4" applyNumberFormat="1" applyFont="1" applyFill="1" applyBorder="1" applyAlignment="1">
      <alignment horizontal="center" vertical="center" wrapText="1"/>
    </xf>
    <xf numFmtId="164" fontId="11" fillId="4" borderId="2" xfId="4" applyNumberFormat="1" applyFont="1" applyFill="1" applyBorder="1" applyAlignment="1">
      <alignment horizontal="center" vertical="center" wrapText="1"/>
    </xf>
    <xf numFmtId="0" fontId="8" fillId="4" borderId="0" xfId="4" applyFont="1" applyFill="1" applyAlignment="1">
      <alignment horizontal="center" vertical="center" wrapText="1"/>
    </xf>
    <xf numFmtId="0" fontId="12" fillId="0" borderId="7" xfId="4" applyFont="1" applyBorder="1" applyAlignment="1">
      <alignment horizontal="center" vertical="center"/>
    </xf>
    <xf numFmtId="0" fontId="12" fillId="0" borderId="27" xfId="4" applyFont="1" applyBorder="1" applyAlignment="1">
      <alignment horizontal="center" vertical="center"/>
    </xf>
    <xf numFmtId="0" fontId="12" fillId="0" borderId="28" xfId="4" applyFont="1" applyBorder="1" applyAlignment="1">
      <alignment horizontal="center" vertical="center"/>
    </xf>
    <xf numFmtId="0" fontId="12" fillId="0" borderId="29" xfId="4" applyFont="1" applyBorder="1" applyAlignment="1">
      <alignment horizontal="center" vertical="center"/>
    </xf>
    <xf numFmtId="0" fontId="12" fillId="0" borderId="30" xfId="4" applyFont="1" applyBorder="1" applyAlignment="1">
      <alignment horizontal="center" vertical="center"/>
    </xf>
    <xf numFmtId="0" fontId="12" fillId="0" borderId="26" xfId="4" applyFont="1" applyBorder="1" applyAlignment="1">
      <alignment horizontal="center" vertical="center"/>
    </xf>
    <xf numFmtId="0" fontId="8" fillId="19" borderId="0" xfId="0" applyFont="1" applyFill="1"/>
    <xf numFmtId="0" fontId="5" fillId="0" borderId="0" xfId="0" applyFont="1" applyAlignment="1">
      <alignment horizontal="left" vertical="center"/>
    </xf>
    <xf numFmtId="0" fontId="5" fillId="4" borderId="13" xfId="0" applyFont="1" applyFill="1" applyBorder="1" applyAlignment="1">
      <alignment horizontal="left" vertical="center"/>
    </xf>
    <xf numFmtId="0" fontId="5" fillId="4" borderId="14" xfId="0" applyFont="1" applyFill="1" applyBorder="1" applyAlignment="1">
      <alignment horizontal="left" vertical="center"/>
    </xf>
    <xf numFmtId="0" fontId="5" fillId="4" borderId="15" xfId="0" applyFont="1" applyFill="1" applyBorder="1" applyAlignment="1">
      <alignment horizontal="left" vertical="center"/>
    </xf>
    <xf numFmtId="0" fontId="5" fillId="4" borderId="5" xfId="0" applyFont="1" applyFill="1" applyBorder="1" applyAlignment="1">
      <alignment horizontal="left" vertical="center"/>
    </xf>
    <xf numFmtId="0" fontId="5" fillId="4" borderId="6" xfId="0" applyFont="1" applyFill="1" applyBorder="1" applyAlignment="1">
      <alignment horizontal="left" vertical="center"/>
    </xf>
    <xf numFmtId="0" fontId="5" fillId="4" borderId="16" xfId="0" applyFont="1" applyFill="1" applyBorder="1" applyAlignment="1">
      <alignment horizontal="left" vertical="center"/>
    </xf>
    <xf numFmtId="0" fontId="5" fillId="4" borderId="17" xfId="0" applyFont="1" applyFill="1" applyBorder="1" applyAlignment="1">
      <alignment horizontal="left" vertical="center"/>
    </xf>
    <xf numFmtId="0" fontId="5" fillId="4" borderId="18" xfId="0" applyFont="1" applyFill="1" applyBorder="1" applyAlignment="1">
      <alignment horizontal="left" vertical="center"/>
    </xf>
    <xf numFmtId="0" fontId="5" fillId="4" borderId="0" xfId="0" applyFont="1" applyFill="1" applyAlignment="1">
      <alignment horizontal="left" vertical="center"/>
    </xf>
    <xf numFmtId="0" fontId="5" fillId="0" borderId="0" xfId="0" applyFont="1" applyAlignment="1">
      <alignment horizontal="center"/>
    </xf>
    <xf numFmtId="0" fontId="26" fillId="20" borderId="52" xfId="0" applyFont="1" applyFill="1" applyBorder="1" applyAlignment="1">
      <alignment vertical="center" wrapText="1"/>
    </xf>
    <xf numFmtId="0" fontId="27" fillId="20" borderId="52" xfId="0" applyFont="1" applyFill="1" applyBorder="1" applyAlignment="1">
      <alignment vertical="center" wrapText="1"/>
    </xf>
    <xf numFmtId="0" fontId="0" fillId="20" borderId="0" xfId="0" applyFill="1"/>
    <xf numFmtId="0" fontId="28" fillId="20" borderId="52" xfId="0" applyFont="1" applyFill="1" applyBorder="1"/>
    <xf numFmtId="0" fontId="26" fillId="20" borderId="53" xfId="0" applyFont="1" applyFill="1" applyBorder="1" applyAlignment="1">
      <alignment vertical="center" wrapText="1"/>
    </xf>
    <xf numFmtId="0" fontId="29" fillId="0" borderId="0" xfId="0" applyFont="1"/>
    <xf numFmtId="0" fontId="8" fillId="0" borderId="17" xfId="4" applyFont="1" applyBorder="1"/>
    <xf numFmtId="0" fontId="0" fillId="0" borderId="0" xfId="0" applyAlignment="1">
      <alignment vertical="center"/>
    </xf>
    <xf numFmtId="0" fontId="0" fillId="0" borderId="0" xfId="0" applyAlignment="1">
      <alignment horizontal="center" vertical="center"/>
    </xf>
    <xf numFmtId="0" fontId="5" fillId="0" borderId="59" xfId="0" applyFont="1" applyBorder="1" applyAlignment="1">
      <alignment horizontal="left" vertical="center" wrapText="1"/>
    </xf>
    <xf numFmtId="0" fontId="0" fillId="0" borderId="24" xfId="0" applyBorder="1" applyAlignment="1">
      <alignment horizontal="left" vertical="center" wrapText="1"/>
    </xf>
    <xf numFmtId="0" fontId="0" fillId="0" borderId="0" xfId="0" quotePrefix="1"/>
    <xf numFmtId="0" fontId="5" fillId="0" borderId="25" xfId="0" applyFont="1" applyBorder="1" applyAlignment="1">
      <alignment horizontal="left" vertical="center" wrapText="1"/>
    </xf>
    <xf numFmtId="165" fontId="8" fillId="0" borderId="49" xfId="0" applyNumberFormat="1" applyFont="1" applyBorder="1" applyAlignment="1">
      <alignment horizontal="center" vertical="center" wrapText="1"/>
    </xf>
    <xf numFmtId="0" fontId="8" fillId="0" borderId="20" xfId="0" applyFont="1" applyBorder="1" applyAlignment="1">
      <alignment horizontal="left" vertical="center" wrapText="1"/>
    </xf>
    <xf numFmtId="0" fontId="8" fillId="0" borderId="20" xfId="0" applyFont="1" applyBorder="1" applyAlignment="1">
      <alignment horizontal="left" vertical="center" wrapText="1" indent="1"/>
    </xf>
    <xf numFmtId="43" fontId="0" fillId="0" borderId="0" xfId="5" applyFont="1"/>
    <xf numFmtId="43" fontId="0" fillId="0" borderId="24" xfId="5" applyFont="1" applyBorder="1" applyAlignment="1">
      <alignment horizontal="left" vertical="center" wrapText="1"/>
    </xf>
    <xf numFmtId="0" fontId="6" fillId="2" borderId="0" xfId="0" applyFont="1" applyFill="1" applyAlignment="1">
      <alignment horizontal="center" vertical="center"/>
    </xf>
    <xf numFmtId="0" fontId="5" fillId="0" borderId="59" xfId="0" applyFont="1" applyBorder="1" applyAlignment="1">
      <alignment horizontal="center" vertical="center" wrapText="1"/>
    </xf>
    <xf numFmtId="0" fontId="8" fillId="0" borderId="20" xfId="0" applyFont="1" applyBorder="1" applyAlignment="1">
      <alignment horizontal="center" vertical="center" wrapText="1"/>
    </xf>
    <xf numFmtId="0" fontId="33" fillId="20" borderId="52" xfId="0" applyFont="1" applyFill="1" applyBorder="1" applyAlignment="1">
      <alignment vertical="center" wrapText="1"/>
    </xf>
    <xf numFmtId="0" fontId="34" fillId="20" borderId="52" xfId="0" applyFont="1" applyFill="1" applyBorder="1" applyAlignment="1">
      <alignment vertical="center" wrapText="1"/>
    </xf>
    <xf numFmtId="0" fontId="36" fillId="3" borderId="43" xfId="0" applyFont="1" applyFill="1" applyBorder="1" applyAlignment="1">
      <alignment horizontal="center" vertical="center" wrapText="1"/>
    </xf>
    <xf numFmtId="0" fontId="36" fillId="3" borderId="19" xfId="0" applyFont="1" applyFill="1" applyBorder="1" applyAlignment="1">
      <alignment horizontal="center" vertical="center" wrapText="1"/>
    </xf>
    <xf numFmtId="0" fontId="36" fillId="3" borderId="48" xfId="0" applyFont="1" applyFill="1" applyBorder="1" applyAlignment="1">
      <alignment horizontal="center" vertical="center" wrapText="1"/>
    </xf>
    <xf numFmtId="0" fontId="36" fillId="3" borderId="46" xfId="0" applyFont="1" applyFill="1" applyBorder="1" applyAlignment="1">
      <alignment horizontal="center" vertical="center" wrapText="1"/>
    </xf>
    <xf numFmtId="0" fontId="37" fillId="0" borderId="24" xfId="0" applyFont="1" applyBorder="1" applyAlignment="1">
      <alignment horizontal="left" vertical="center"/>
    </xf>
    <xf numFmtId="0" fontId="37" fillId="0" borderId="24" xfId="0" applyFont="1" applyBorder="1" applyAlignment="1">
      <alignment horizontal="left" vertical="center" wrapText="1"/>
    </xf>
    <xf numFmtId="0" fontId="36" fillId="2" borderId="1" xfId="0" applyFont="1" applyFill="1" applyBorder="1" applyAlignment="1">
      <alignment horizontal="center" vertical="center" wrapText="1"/>
    </xf>
    <xf numFmtId="0" fontId="36" fillId="4" borderId="1" xfId="0" applyFont="1" applyFill="1" applyBorder="1" applyAlignment="1">
      <alignment horizontal="center" vertical="center" wrapText="1"/>
    </xf>
    <xf numFmtId="0" fontId="37" fillId="0" borderId="23" xfId="0" applyFont="1" applyBorder="1" applyAlignment="1">
      <alignment horizontal="left" vertical="center"/>
    </xf>
    <xf numFmtId="0" fontId="35" fillId="0" borderId="0" xfId="0" applyFont="1" applyAlignment="1">
      <alignment horizontal="left" vertical="center"/>
    </xf>
    <xf numFmtId="0" fontId="37" fillId="0" borderId="34" xfId="0" applyFont="1" applyBorder="1" applyAlignment="1">
      <alignment horizontal="left" vertical="center" wrapText="1"/>
    </xf>
    <xf numFmtId="0" fontId="39" fillId="0" borderId="0" xfId="0" applyFont="1" applyAlignment="1">
      <alignment horizontal="left" vertical="center"/>
    </xf>
    <xf numFmtId="0" fontId="38" fillId="0" borderId="0" xfId="0" applyFont="1" applyAlignment="1">
      <alignment horizontal="center" vertical="center"/>
    </xf>
    <xf numFmtId="15" fontId="35" fillId="0" borderId="0" xfId="0" applyNumberFormat="1" applyFont="1" applyAlignment="1">
      <alignment horizontal="center" vertical="center"/>
    </xf>
    <xf numFmtId="0" fontId="40" fillId="2" borderId="0" xfId="0" applyFont="1" applyFill="1" applyAlignment="1">
      <alignment vertical="center"/>
    </xf>
    <xf numFmtId="0" fontId="41" fillId="2" borderId="0" xfId="1" applyFont="1" applyFill="1" applyAlignment="1" applyProtection="1">
      <alignment horizontal="right" vertical="center"/>
    </xf>
    <xf numFmtId="0" fontId="41" fillId="2" borderId="0" xfId="1" applyFont="1" applyFill="1" applyAlignment="1" applyProtection="1">
      <alignment horizontal="right"/>
    </xf>
    <xf numFmtId="0" fontId="43" fillId="0" borderId="0" xfId="3" applyFont="1"/>
    <xf numFmtId="0" fontId="43" fillId="0" borderId="0" xfId="3" applyFont="1" applyAlignment="1">
      <alignment horizontal="left" vertical="top"/>
    </xf>
    <xf numFmtId="0" fontId="45" fillId="2" borderId="0" xfId="0" applyFont="1" applyFill="1" applyAlignment="1">
      <alignment vertical="center"/>
    </xf>
    <xf numFmtId="0" fontId="45" fillId="2" borderId="0" xfId="0" applyFont="1" applyFill="1" applyAlignment="1">
      <alignment horizontal="left" vertical="top"/>
    </xf>
    <xf numFmtId="0" fontId="46" fillId="14" borderId="0" xfId="3" applyFont="1" applyFill="1" applyAlignment="1">
      <alignment horizontal="center" vertical="center" wrapText="1"/>
    </xf>
    <xf numFmtId="0" fontId="8" fillId="0" borderId="11" xfId="0" applyFont="1" applyBorder="1" applyAlignment="1">
      <alignment horizontal="left" vertical="center" wrapText="1"/>
    </xf>
    <xf numFmtId="0" fontId="8" fillId="0" borderId="1" xfId="0" applyFont="1" applyBorder="1" applyAlignment="1">
      <alignment horizontal="left" vertical="center" wrapText="1" indent="1"/>
    </xf>
    <xf numFmtId="0" fontId="2" fillId="0" borderId="0" xfId="6"/>
    <xf numFmtId="15" fontId="37" fillId="0" borderId="60" xfId="0" applyNumberFormat="1" applyFont="1" applyBorder="1" applyAlignment="1">
      <alignment horizontal="center" vertical="center" wrapText="1"/>
    </xf>
    <xf numFmtId="0" fontId="37" fillId="0" borderId="60" xfId="0" applyFont="1" applyBorder="1" applyAlignment="1">
      <alignment vertical="center" wrapText="1"/>
    </xf>
    <xf numFmtId="0" fontId="37" fillId="0" borderId="60" xfId="0" applyFont="1" applyBorder="1" applyAlignment="1">
      <alignment horizontal="left" vertical="center"/>
    </xf>
    <xf numFmtId="15" fontId="0" fillId="0" borderId="60" xfId="0" applyNumberFormat="1" applyBorder="1" applyAlignment="1">
      <alignment horizontal="center" vertical="center" wrapText="1"/>
    </xf>
    <xf numFmtId="0" fontId="5" fillId="0" borderId="60" xfId="0" applyFont="1" applyBorder="1" applyAlignment="1">
      <alignment vertical="center" wrapText="1"/>
    </xf>
    <xf numFmtId="0" fontId="5" fillId="6" borderId="59" xfId="4" applyFill="1" applyBorder="1"/>
    <xf numFmtId="0" fontId="45" fillId="0" borderId="59" xfId="0" applyFont="1" applyBorder="1" applyAlignment="1">
      <alignment horizontal="left" vertical="center" wrapText="1"/>
    </xf>
    <xf numFmtId="165" fontId="51" fillId="0" borderId="55" xfId="4" applyNumberFormat="1" applyFont="1" applyBorder="1" applyAlignment="1">
      <alignment horizontal="center" vertical="center" wrapText="1"/>
    </xf>
    <xf numFmtId="165" fontId="45" fillId="0" borderId="49" xfId="0" applyNumberFormat="1" applyFont="1" applyBorder="1" applyAlignment="1">
      <alignment horizontal="center" vertical="center"/>
    </xf>
    <xf numFmtId="165" fontId="51" fillId="0" borderId="49" xfId="0" applyNumberFormat="1" applyFont="1" applyBorder="1" applyAlignment="1">
      <alignment horizontal="center" vertical="center"/>
    </xf>
    <xf numFmtId="0" fontId="51" fillId="0" borderId="59" xfId="0" applyFont="1" applyBorder="1" applyAlignment="1">
      <alignment horizontal="left" vertical="center" wrapText="1" indent="1"/>
    </xf>
    <xf numFmtId="0" fontId="51" fillId="0" borderId="32" xfId="4" applyFont="1" applyBorder="1" applyAlignment="1">
      <alignment horizontal="left" vertical="center" wrapText="1" indent="1"/>
    </xf>
    <xf numFmtId="0" fontId="51" fillId="0" borderId="59" xfId="4" applyFont="1" applyBorder="1" applyAlignment="1">
      <alignment horizontal="left" vertical="center" wrapText="1" indent="1"/>
    </xf>
    <xf numFmtId="0" fontId="45" fillId="0" borderId="45" xfId="4" applyFont="1" applyBorder="1" applyAlignment="1">
      <alignment horizontal="left" vertical="center" wrapText="1" indent="1"/>
    </xf>
    <xf numFmtId="165" fontId="51" fillId="0" borderId="11" xfId="4" applyNumberFormat="1" applyFont="1" applyBorder="1" applyAlignment="1">
      <alignment horizontal="center" vertical="center"/>
    </xf>
    <xf numFmtId="165" fontId="45" fillId="0" borderId="21" xfId="4" applyNumberFormat="1" applyFont="1" applyBorder="1" applyAlignment="1">
      <alignment horizontal="center" vertical="center" wrapText="1"/>
    </xf>
    <xf numFmtId="0" fontId="51" fillId="0" borderId="59" xfId="4" applyFont="1" applyBorder="1" applyAlignment="1">
      <alignment horizontal="left" vertical="center"/>
    </xf>
    <xf numFmtId="0" fontId="51" fillId="0" borderId="22" xfId="4" applyFont="1" applyBorder="1" applyAlignment="1">
      <alignment horizontal="left" vertical="center"/>
    </xf>
    <xf numFmtId="165" fontId="51" fillId="0" borderId="31" xfId="4" applyNumberFormat="1" applyFont="1" applyBorder="1" applyAlignment="1">
      <alignment horizontal="center"/>
    </xf>
    <xf numFmtId="165" fontId="51" fillId="0" borderId="11" xfId="4" applyNumberFormat="1" applyFont="1" applyBorder="1" applyAlignment="1">
      <alignment horizontal="center"/>
    </xf>
    <xf numFmtId="165" fontId="51" fillId="0" borderId="17" xfId="4" applyNumberFormat="1" applyFont="1" applyBorder="1" applyAlignment="1">
      <alignment horizontal="center" vertical="center"/>
    </xf>
    <xf numFmtId="165" fontId="51" fillId="0" borderId="33" xfId="4" applyNumberFormat="1" applyFont="1" applyBorder="1" applyAlignment="1">
      <alignment horizontal="center" vertical="center"/>
    </xf>
    <xf numFmtId="165" fontId="51" fillId="0" borderId="39" xfId="4" applyNumberFormat="1" applyFont="1" applyBorder="1" applyAlignment="1">
      <alignment horizontal="center" vertical="center" wrapText="1"/>
    </xf>
    <xf numFmtId="0" fontId="51" fillId="0" borderId="0" xfId="4" applyFont="1" applyAlignment="1">
      <alignment horizontal="left" vertical="center"/>
    </xf>
    <xf numFmtId="0" fontId="51" fillId="0" borderId="0" xfId="4" applyFont="1"/>
    <xf numFmtId="0" fontId="51" fillId="0" borderId="0" xfId="4" applyFont="1" applyAlignment="1">
      <alignment wrapText="1"/>
    </xf>
    <xf numFmtId="0" fontId="51" fillId="0" borderId="54" xfId="4" applyFont="1" applyBorder="1"/>
    <xf numFmtId="0" fontId="29" fillId="0" borderId="62" xfId="0" applyFont="1" applyBorder="1" applyAlignment="1">
      <alignment horizontal="left" vertical="center" wrapText="1"/>
    </xf>
    <xf numFmtId="0" fontId="31" fillId="0" borderId="62" xfId="0" applyFont="1" applyBorder="1" applyAlignment="1">
      <alignment horizontal="left" vertical="center" wrapText="1"/>
    </xf>
    <xf numFmtId="0" fontId="7" fillId="0" borderId="0" xfId="0" applyFont="1"/>
    <xf numFmtId="0" fontId="7" fillId="0" borderId="0" xfId="0" applyFont="1" applyAlignment="1">
      <alignment wrapText="1"/>
    </xf>
    <xf numFmtId="0" fontId="31" fillId="0" borderId="62" xfId="0" applyFont="1" applyBorder="1" applyAlignment="1">
      <alignment horizontal="center" vertical="center" wrapText="1"/>
    </xf>
    <xf numFmtId="0" fontId="7" fillId="0" borderId="0" xfId="0" applyFont="1" applyAlignment="1">
      <alignment horizontal="center" vertical="center"/>
    </xf>
    <xf numFmtId="0" fontId="38" fillId="13" borderId="1" xfId="0" applyFont="1" applyFill="1" applyBorder="1" applyAlignment="1">
      <alignment vertical="center"/>
    </xf>
    <xf numFmtId="0" fontId="30" fillId="0" borderId="62" xfId="0" applyFont="1" applyBorder="1" applyAlignment="1">
      <alignment horizontal="left" vertical="center" wrapText="1"/>
    </xf>
    <xf numFmtId="0" fontId="38" fillId="13" borderId="62" xfId="0" applyFont="1" applyFill="1" applyBorder="1" applyAlignment="1">
      <alignment horizontal="center" vertical="center" wrapText="1"/>
    </xf>
    <xf numFmtId="0" fontId="29" fillId="0" borderId="62" xfId="0" applyFont="1" applyBorder="1" applyAlignment="1">
      <alignment horizontal="center" vertical="center" wrapText="1"/>
    </xf>
    <xf numFmtId="0" fontId="52" fillId="23" borderId="0" xfId="0" applyFont="1" applyFill="1"/>
    <xf numFmtId="0" fontId="0" fillId="23" borderId="0" xfId="0" applyFill="1"/>
    <xf numFmtId="0" fontId="53" fillId="0" borderId="0" xfId="8" applyFont="1"/>
    <xf numFmtId="0" fontId="53" fillId="0" borderId="0" xfId="8" applyFont="1" applyAlignment="1">
      <alignment wrapText="1"/>
    </xf>
    <xf numFmtId="0" fontId="38" fillId="13" borderId="1" xfId="0" applyFont="1" applyFill="1" applyBorder="1" applyAlignment="1">
      <alignment horizontal="center" vertical="center" wrapText="1"/>
    </xf>
    <xf numFmtId="0" fontId="54" fillId="13" borderId="1" xfId="0" applyFont="1" applyFill="1" applyBorder="1" applyAlignment="1">
      <alignment horizontal="center" vertical="center" wrapText="1"/>
    </xf>
    <xf numFmtId="0" fontId="0" fillId="0" borderId="62" xfId="0" applyBorder="1"/>
    <xf numFmtId="0" fontId="29" fillId="0" borderId="62" xfId="0" applyFont="1" applyBorder="1" applyAlignment="1">
      <alignment horizontal="center" vertical="justify" wrapText="1"/>
    </xf>
    <xf numFmtId="0" fontId="36" fillId="0" borderId="62" xfId="0" applyFont="1" applyBorder="1" applyAlignment="1">
      <alignment vertical="center"/>
    </xf>
    <xf numFmtId="0" fontId="37" fillId="0" borderId="63" xfId="0" applyFont="1" applyBorder="1" applyAlignment="1">
      <alignment vertical="center"/>
    </xf>
    <xf numFmtId="0" fontId="37" fillId="0" borderId="62" xfId="0" applyFont="1" applyBorder="1" applyAlignment="1">
      <alignment vertical="center"/>
    </xf>
    <xf numFmtId="0" fontId="37" fillId="0" borderId="62" xfId="0" applyFont="1" applyBorder="1" applyAlignment="1">
      <alignment vertical="center" wrapText="1"/>
    </xf>
    <xf numFmtId="0" fontId="37" fillId="0" borderId="61" xfId="0" applyFont="1" applyBorder="1" applyAlignment="1">
      <alignment vertical="center"/>
    </xf>
    <xf numFmtId="0" fontId="37" fillId="0" borderId="62" xfId="0" applyFont="1" applyBorder="1" applyAlignment="1">
      <alignment horizontal="left" vertical="center"/>
    </xf>
    <xf numFmtId="0" fontId="48" fillId="25" borderId="62" xfId="6" applyFont="1" applyFill="1" applyBorder="1" applyAlignment="1">
      <alignment vertical="center" wrapText="1"/>
    </xf>
    <xf numFmtId="0" fontId="49" fillId="25" borderId="62" xfId="7" applyFill="1" applyBorder="1" applyAlignment="1">
      <alignment vertical="center" wrapText="1"/>
    </xf>
    <xf numFmtId="0" fontId="2" fillId="0" borderId="62" xfId="6" applyBorder="1"/>
    <xf numFmtId="0" fontId="49" fillId="0" borderId="62" xfId="7" applyBorder="1"/>
    <xf numFmtId="0" fontId="49" fillId="0" borderId="62" xfId="7" applyBorder="1" applyAlignment="1">
      <alignment vertical="center"/>
    </xf>
    <xf numFmtId="0" fontId="1" fillId="0" borderId="0" xfId="6" applyFont="1"/>
    <xf numFmtId="0" fontId="1" fillId="0" borderId="0" xfId="6" applyFont="1" applyAlignment="1">
      <alignment wrapText="1"/>
    </xf>
    <xf numFmtId="0" fontId="36" fillId="21" borderId="62" xfId="0" applyFont="1" applyFill="1" applyBorder="1" applyAlignment="1">
      <alignment horizontal="left" vertical="center" wrapText="1"/>
    </xf>
    <xf numFmtId="0" fontId="37" fillId="21" borderId="62" xfId="0" applyFont="1" applyFill="1" applyBorder="1" applyAlignment="1">
      <alignment horizontal="center" vertical="center" wrapText="1"/>
    </xf>
    <xf numFmtId="0" fontId="37" fillId="21" borderId="62" xfId="0" applyFont="1" applyFill="1" applyBorder="1" applyAlignment="1">
      <alignment horizontal="left" vertical="center" wrapText="1"/>
    </xf>
    <xf numFmtId="165" fontId="37" fillId="0" borderId="62" xfId="0" applyNumberFormat="1" applyFont="1" applyBorder="1" applyAlignment="1">
      <alignment horizontal="center" vertical="center"/>
    </xf>
    <xf numFmtId="165" fontId="0" fillId="0" borderId="62" xfId="0" applyNumberFormat="1" applyBorder="1" applyAlignment="1">
      <alignment horizontal="center" vertical="center"/>
    </xf>
    <xf numFmtId="43" fontId="0" fillId="0" borderId="62" xfId="5" applyFont="1" applyBorder="1" applyAlignment="1">
      <alignment horizontal="center" vertical="center"/>
    </xf>
    <xf numFmtId="0" fontId="8" fillId="21" borderId="62" xfId="0" applyFont="1" applyFill="1" applyBorder="1" applyAlignment="1">
      <alignment horizontal="center" vertical="center" wrapText="1"/>
    </xf>
    <xf numFmtId="0" fontId="8" fillId="21" borderId="62" xfId="0" applyFont="1" applyFill="1" applyBorder="1" applyAlignment="1">
      <alignment vertical="center" wrapText="1"/>
    </xf>
    <xf numFmtId="0" fontId="5" fillId="0" borderId="62" xfId="0" applyFont="1" applyBorder="1" applyAlignment="1">
      <alignment horizontal="center" vertical="center" wrapText="1"/>
    </xf>
    <xf numFmtId="0" fontId="5" fillId="0" borderId="62" xfId="0" applyFont="1" applyBorder="1" applyAlignment="1">
      <alignment horizontal="left" vertical="center" wrapText="1" indent="2"/>
    </xf>
    <xf numFmtId="165" fontId="5" fillId="0" borderId="62" xfId="0" applyNumberFormat="1" applyFont="1" applyBorder="1" applyAlignment="1">
      <alignment horizontal="center" vertical="center" wrapText="1"/>
    </xf>
    <xf numFmtId="0" fontId="5" fillId="0" borderId="62" xfId="0" applyFont="1" applyBorder="1" applyAlignment="1">
      <alignment horizontal="left" vertical="center" wrapText="1"/>
    </xf>
    <xf numFmtId="0" fontId="0" fillId="0" borderId="62" xfId="0" applyBorder="1" applyAlignment="1">
      <alignment horizontal="left" vertical="center" wrapText="1"/>
    </xf>
    <xf numFmtId="0" fontId="8" fillId="0" borderId="62" xfId="0" applyFont="1" applyBorder="1" applyAlignment="1">
      <alignment horizontal="center" vertical="center" wrapText="1"/>
    </xf>
    <xf numFmtId="0" fontId="8" fillId="0" borderId="62" xfId="0" applyFont="1" applyBorder="1" applyAlignment="1">
      <alignment vertical="center" wrapText="1"/>
    </xf>
    <xf numFmtId="165" fontId="8" fillId="0" borderId="62" xfId="0" applyNumberFormat="1" applyFont="1" applyBorder="1" applyAlignment="1">
      <alignment horizontal="center" vertical="center"/>
    </xf>
    <xf numFmtId="0" fontId="8" fillId="0" borderId="62" xfId="0" applyFont="1" applyBorder="1" applyAlignment="1">
      <alignment horizontal="left" vertical="center" wrapText="1"/>
    </xf>
    <xf numFmtId="0" fontId="5" fillId="0" borderId="62" xfId="0" applyFont="1" applyBorder="1" applyAlignment="1">
      <alignment horizontal="left" vertical="center" wrapText="1" indent="1"/>
    </xf>
    <xf numFmtId="0" fontId="5" fillId="0" borderId="63" xfId="0" applyFont="1" applyBorder="1" applyAlignment="1">
      <alignment horizontal="left" vertical="center" wrapText="1"/>
    </xf>
    <xf numFmtId="0" fontId="5" fillId="0" borderId="62" xfId="4" applyBorder="1"/>
    <xf numFmtId="0" fontId="6" fillId="2" borderId="62" xfId="4" applyFont="1" applyFill="1" applyBorder="1" applyAlignment="1">
      <alignment vertical="center"/>
    </xf>
    <xf numFmtId="0" fontId="5" fillId="0" borderId="62" xfId="4" applyBorder="1" applyAlignment="1">
      <alignment horizontal="left" vertical="center"/>
    </xf>
    <xf numFmtId="165" fontId="51" fillId="0" borderId="62" xfId="4" applyNumberFormat="1" applyFont="1" applyBorder="1" applyAlignment="1">
      <alignment horizontal="center" vertical="center"/>
    </xf>
    <xf numFmtId="0" fontId="51" fillId="20" borderId="62" xfId="4" applyFont="1" applyFill="1" applyBorder="1" applyAlignment="1">
      <alignment horizontal="left" vertical="center" wrapText="1" indent="2"/>
    </xf>
    <xf numFmtId="165" fontId="51" fillId="0" borderId="64" xfId="4" applyNumberFormat="1" applyFont="1" applyBorder="1" applyAlignment="1">
      <alignment horizontal="center" vertical="center" wrapText="1"/>
    </xf>
    <xf numFmtId="0" fontId="37" fillId="0" borderId="65" xfId="0" applyFont="1" applyBorder="1" applyAlignment="1">
      <alignment vertical="center"/>
    </xf>
    <xf numFmtId="0" fontId="37" fillId="21" borderId="65" xfId="0" applyFont="1" applyFill="1" applyBorder="1" applyAlignment="1">
      <alignment horizontal="left" vertical="center" wrapText="1"/>
    </xf>
    <xf numFmtId="0" fontId="29" fillId="0" borderId="65" xfId="0" applyFont="1" applyBorder="1" applyAlignment="1">
      <alignment horizontal="left" vertical="center" wrapText="1"/>
    </xf>
    <xf numFmtId="0" fontId="8" fillId="21" borderId="65" xfId="0" applyFont="1" applyFill="1" applyBorder="1" applyAlignment="1">
      <alignment vertical="center" wrapText="1"/>
    </xf>
    <xf numFmtId="0" fontId="5" fillId="0" borderId="65" xfId="0" applyFont="1" applyBorder="1" applyAlignment="1">
      <alignment horizontal="left" vertical="center" wrapText="1"/>
    </xf>
    <xf numFmtId="0" fontId="5" fillId="0" borderId="65" xfId="0" applyFont="1" applyBorder="1" applyAlignment="1">
      <alignment horizontal="center" vertical="center" wrapText="1"/>
    </xf>
    <xf numFmtId="0" fontId="5" fillId="0" borderId="65" xfId="0" applyFont="1" applyBorder="1" applyAlignment="1">
      <alignment horizontal="left" vertical="center" wrapText="1" indent="1"/>
    </xf>
    <xf numFmtId="165" fontId="0" fillId="0" borderId="65" xfId="0" applyNumberFormat="1" applyBorder="1" applyAlignment="1">
      <alignment horizontal="center" vertical="center"/>
    </xf>
    <xf numFmtId="165" fontId="5" fillId="0" borderId="65" xfId="0" applyNumberFormat="1" applyFont="1" applyBorder="1" applyAlignment="1">
      <alignment horizontal="center" vertical="center" wrapText="1"/>
    </xf>
    <xf numFmtId="0" fontId="0" fillId="0" borderId="65" xfId="0" applyBorder="1" applyAlignment="1">
      <alignment horizontal="left" vertical="center" wrapText="1"/>
    </xf>
    <xf numFmtId="0" fontId="8" fillId="0" borderId="65" xfId="0" applyFont="1" applyBorder="1" applyAlignment="1">
      <alignment horizontal="left" vertical="center" wrapText="1"/>
    </xf>
    <xf numFmtId="165" fontId="51" fillId="0" borderId="66" xfId="4" applyNumberFormat="1" applyFont="1" applyBorder="1" applyAlignment="1">
      <alignment horizontal="center" vertical="center"/>
    </xf>
    <xf numFmtId="165" fontId="51" fillId="0" borderId="66" xfId="4" applyNumberFormat="1" applyFont="1" applyBorder="1" applyAlignment="1">
      <alignment horizontal="center" vertical="center" wrapText="1"/>
    </xf>
    <xf numFmtId="165" fontId="45" fillId="0" borderId="66" xfId="4" applyNumberFormat="1" applyFont="1" applyBorder="1" applyAlignment="1">
      <alignment horizontal="center" vertical="center"/>
    </xf>
    <xf numFmtId="165" fontId="45" fillId="0" borderId="66" xfId="0" applyNumberFormat="1" applyFont="1" applyBorder="1" applyAlignment="1">
      <alignment horizontal="center" vertical="center"/>
    </xf>
    <xf numFmtId="165" fontId="51" fillId="0" borderId="66" xfId="4" applyNumberFormat="1" applyFont="1" applyBorder="1" applyAlignment="1">
      <alignment horizontal="center"/>
    </xf>
    <xf numFmtId="0" fontId="51" fillId="0" borderId="66" xfId="4" applyFont="1" applyBorder="1" applyAlignment="1">
      <alignment horizontal="center" vertical="center"/>
    </xf>
    <xf numFmtId="1" fontId="15" fillId="17" borderId="67" xfId="3" applyNumberFormat="1" applyFont="1" applyFill="1" applyBorder="1" applyAlignment="1">
      <alignment horizontal="center" vertical="center"/>
    </xf>
    <xf numFmtId="14" fontId="15" fillId="17" borderId="67" xfId="3" applyNumberFormat="1" applyFont="1" applyFill="1" applyBorder="1" applyAlignment="1">
      <alignment horizontal="center" vertical="center"/>
    </xf>
    <xf numFmtId="0" fontId="15" fillId="17" borderId="67" xfId="3" applyFont="1" applyFill="1" applyBorder="1" applyAlignment="1">
      <alignment horizontal="center" vertical="center" wrapText="1"/>
    </xf>
    <xf numFmtId="0" fontId="15" fillId="17" borderId="67" xfId="3" applyFont="1" applyFill="1" applyBorder="1" applyAlignment="1">
      <alignment horizontal="center" vertical="center"/>
    </xf>
    <xf numFmtId="0" fontId="0" fillId="0" borderId="68" xfId="0" applyBorder="1"/>
    <xf numFmtId="165" fontId="0" fillId="0" borderId="69" xfId="0" applyNumberFormat="1" applyBorder="1"/>
    <xf numFmtId="0" fontId="8" fillId="0" borderId="67" xfId="0" applyFont="1" applyBorder="1"/>
    <xf numFmtId="0" fontId="8" fillId="0" borderId="67" xfId="0" applyFont="1" applyBorder="1" applyAlignment="1">
      <alignment wrapText="1"/>
    </xf>
    <xf numFmtId="0" fontId="0" fillId="0" borderId="67" xfId="0" applyBorder="1" applyAlignment="1">
      <alignment wrapText="1"/>
    </xf>
    <xf numFmtId="0" fontId="0" fillId="0" borderId="67" xfId="0" applyBorder="1"/>
    <xf numFmtId="0" fontId="5" fillId="0" borderId="67" xfId="0" applyFont="1" applyBorder="1"/>
    <xf numFmtId="165" fontId="0" fillId="0" borderId="67" xfId="0" applyNumberFormat="1" applyBorder="1"/>
    <xf numFmtId="0" fontId="29" fillId="0" borderId="66" xfId="0" applyFont="1" applyBorder="1" applyAlignment="1">
      <alignment horizontal="center" vertical="center" wrapText="1"/>
    </xf>
    <xf numFmtId="0" fontId="29" fillId="0" borderId="66" xfId="0" applyFont="1" applyBorder="1" applyAlignment="1">
      <alignment horizontal="left" vertical="center" wrapText="1"/>
    </xf>
    <xf numFmtId="0" fontId="31" fillId="0" borderId="66" xfId="0" applyFont="1" applyBorder="1" applyAlignment="1">
      <alignment horizontal="center" vertical="center" wrapText="1"/>
    </xf>
    <xf numFmtId="0" fontId="30" fillId="0" borderId="66" xfId="0" applyFont="1" applyBorder="1" applyAlignment="1">
      <alignment horizontal="left" vertical="center" wrapText="1"/>
    </xf>
    <xf numFmtId="0" fontId="31" fillId="0" borderId="66" xfId="0" applyFont="1" applyBorder="1" applyAlignment="1">
      <alignment horizontal="left" vertical="center" wrapText="1"/>
    </xf>
    <xf numFmtId="0" fontId="37" fillId="0" borderId="70" xfId="0" applyFont="1" applyBorder="1" applyAlignment="1">
      <alignment vertical="center"/>
    </xf>
    <xf numFmtId="0" fontId="50" fillId="25" borderId="66" xfId="0" applyFont="1" applyFill="1" applyBorder="1" applyAlignment="1">
      <alignment wrapText="1"/>
    </xf>
    <xf numFmtId="0" fontId="10" fillId="25" borderId="69" xfId="1" applyFill="1" applyBorder="1" applyAlignment="1" applyProtection="1">
      <alignment wrapText="1"/>
    </xf>
    <xf numFmtId="0" fontId="10" fillId="25" borderId="69" xfId="1" applyFill="1" applyBorder="1" applyAlignment="1" applyProtection="1">
      <alignment vertical="center" wrapText="1"/>
    </xf>
    <xf numFmtId="0" fontId="37" fillId="0" borderId="69" xfId="0" applyFont="1" applyBorder="1" applyAlignment="1">
      <alignment horizontal="left" vertical="center" wrapText="1"/>
    </xf>
    <xf numFmtId="0" fontId="37" fillId="0" borderId="66" xfId="0" applyFont="1" applyBorder="1" applyAlignment="1">
      <alignment horizontal="left" vertical="center" wrapText="1"/>
    </xf>
    <xf numFmtId="165" fontId="37" fillId="0" borderId="66" xfId="0" applyNumberFormat="1" applyFont="1" applyBorder="1" applyAlignment="1">
      <alignment horizontal="center" vertical="center"/>
    </xf>
    <xf numFmtId="0" fontId="5" fillId="0" borderId="69" xfId="0" applyFont="1" applyBorder="1" applyAlignment="1">
      <alignment horizontal="left" vertical="center" wrapText="1"/>
    </xf>
    <xf numFmtId="165" fontId="0" fillId="0" borderId="66" xfId="0" applyNumberFormat="1" applyBorder="1" applyAlignment="1">
      <alignment horizontal="center" vertical="center"/>
    </xf>
    <xf numFmtId="43" fontId="0" fillId="0" borderId="66" xfId="5" applyFont="1" applyBorder="1" applyAlignment="1">
      <alignment horizontal="center" vertical="center"/>
    </xf>
    <xf numFmtId="0" fontId="5" fillId="0" borderId="69" xfId="0" applyFont="1" applyBorder="1" applyAlignment="1">
      <alignment horizontal="center" vertical="center" wrapText="1"/>
    </xf>
    <xf numFmtId="165" fontId="5" fillId="0" borderId="66" xfId="0" applyNumberFormat="1" applyFont="1" applyBorder="1" applyAlignment="1">
      <alignment horizontal="center" vertical="center" wrapText="1"/>
    </xf>
    <xf numFmtId="0" fontId="5" fillId="8" borderId="72" xfId="4" applyFill="1" applyBorder="1"/>
    <xf numFmtId="0" fontId="5" fillId="0" borderId="76" xfId="4" applyBorder="1" applyAlignment="1">
      <alignment horizontal="left" vertical="center"/>
    </xf>
    <xf numFmtId="165" fontId="51" fillId="0" borderId="66" xfId="0" applyNumberFormat="1" applyFont="1" applyBorder="1" applyAlignment="1">
      <alignment horizontal="center" vertical="center"/>
    </xf>
    <xf numFmtId="165" fontId="51" fillId="0" borderId="67" xfId="4" applyNumberFormat="1" applyFont="1" applyBorder="1" applyAlignment="1">
      <alignment horizontal="center" vertical="center"/>
    </xf>
    <xf numFmtId="165" fontId="51" fillId="0" borderId="71" xfId="4" applyNumberFormat="1" applyFont="1" applyBorder="1" applyAlignment="1">
      <alignment horizontal="center" vertical="center" wrapText="1"/>
    </xf>
    <xf numFmtId="0" fontId="12" fillId="0" borderId="77" xfId="4" applyFont="1" applyBorder="1" applyAlignment="1">
      <alignment horizontal="center" vertical="center"/>
    </xf>
    <xf numFmtId="0" fontId="12" fillId="0" borderId="78" xfId="4" applyFont="1" applyBorder="1" applyAlignment="1">
      <alignment horizontal="center" vertical="center"/>
    </xf>
    <xf numFmtId="0" fontId="12" fillId="0" borderId="79" xfId="4" applyFont="1" applyBorder="1" applyAlignment="1">
      <alignment horizontal="center" vertical="center"/>
    </xf>
    <xf numFmtId="0" fontId="12" fillId="0" borderId="80" xfId="4" applyFont="1" applyBorder="1" applyAlignment="1">
      <alignment horizontal="center" vertical="center"/>
    </xf>
    <xf numFmtId="0" fontId="12" fillId="0" borderId="81" xfId="4" applyFont="1" applyBorder="1" applyAlignment="1">
      <alignment horizontal="center" vertical="center"/>
    </xf>
    <xf numFmtId="0" fontId="12" fillId="0" borderId="82" xfId="4" applyFont="1" applyBorder="1" applyAlignment="1">
      <alignment horizontal="center" vertical="center"/>
    </xf>
    <xf numFmtId="0" fontId="12" fillId="0" borderId="83" xfId="4" applyFont="1" applyBorder="1" applyAlignment="1">
      <alignment horizontal="center" vertical="center"/>
    </xf>
    <xf numFmtId="0" fontId="12" fillId="0" borderId="84" xfId="4" applyFont="1" applyBorder="1" applyAlignment="1">
      <alignment horizontal="center" vertical="center"/>
    </xf>
    <xf numFmtId="0" fontId="12" fillId="0" borderId="85" xfId="4" applyFont="1" applyBorder="1" applyAlignment="1">
      <alignment horizontal="center" vertical="center"/>
    </xf>
    <xf numFmtId="0" fontId="12" fillId="0" borderId="86" xfId="4" applyFont="1" applyBorder="1" applyAlignment="1">
      <alignment horizontal="center" vertical="center"/>
    </xf>
    <xf numFmtId="0" fontId="12" fillId="0" borderId="87" xfId="4" applyFont="1" applyBorder="1" applyAlignment="1">
      <alignment horizontal="center" vertical="center"/>
    </xf>
    <xf numFmtId="0" fontId="12" fillId="0" borderId="88" xfId="4" applyFont="1" applyBorder="1" applyAlignment="1">
      <alignment horizontal="center" vertical="center"/>
    </xf>
    <xf numFmtId="165" fontId="51" fillId="0" borderId="89" xfId="4" applyNumberFormat="1" applyFont="1" applyBorder="1" applyAlignment="1">
      <alignment horizontal="center" vertical="center"/>
    </xf>
    <xf numFmtId="165" fontId="45" fillId="0" borderId="89" xfId="4" applyNumberFormat="1" applyFont="1" applyBorder="1" applyAlignment="1">
      <alignment horizontal="center" vertical="center"/>
    </xf>
    <xf numFmtId="165" fontId="45" fillId="0" borderId="90" xfId="4" applyNumberFormat="1" applyFont="1" applyBorder="1" applyAlignment="1">
      <alignment horizontal="center" vertical="center"/>
    </xf>
    <xf numFmtId="0" fontId="51" fillId="24" borderId="90" xfId="4" applyFont="1" applyFill="1" applyBorder="1" applyAlignment="1">
      <alignment horizontal="left" vertical="center" wrapText="1" indent="2"/>
    </xf>
    <xf numFmtId="0" fontId="51" fillId="0" borderId="90" xfId="0" applyFont="1" applyBorder="1" applyAlignment="1">
      <alignment horizontal="left" vertical="center" wrapText="1"/>
    </xf>
    <xf numFmtId="165" fontId="51" fillId="0" borderId="90" xfId="0" applyNumberFormat="1" applyFont="1" applyBorder="1" applyAlignment="1">
      <alignment horizontal="center" vertical="center"/>
    </xf>
    <xf numFmtId="0" fontId="51" fillId="0" borderId="90" xfId="0" applyFont="1" applyBorder="1" applyAlignment="1">
      <alignment horizontal="left" vertical="center" wrapText="1" indent="1"/>
    </xf>
    <xf numFmtId="165" fontId="51" fillId="0" borderId="90" xfId="4" applyNumberFormat="1" applyFont="1" applyBorder="1" applyAlignment="1">
      <alignment horizontal="center" vertical="center" wrapText="1"/>
    </xf>
    <xf numFmtId="165" fontId="51" fillId="0" borderId="91" xfId="4" applyNumberFormat="1" applyFont="1" applyBorder="1" applyAlignment="1">
      <alignment horizontal="center"/>
    </xf>
    <xf numFmtId="165" fontId="51" fillId="0" borderId="90" xfId="4" applyNumberFormat="1" applyFont="1" applyBorder="1" applyAlignment="1">
      <alignment horizontal="center"/>
    </xf>
    <xf numFmtId="0" fontId="51" fillId="0" borderId="90" xfId="4" applyFont="1" applyBorder="1" applyAlignment="1">
      <alignment horizontal="center" vertical="center"/>
    </xf>
    <xf numFmtId="0" fontId="12" fillId="0" borderId="92" xfId="4" applyFont="1" applyBorder="1" applyAlignment="1">
      <alignment horizontal="center" vertical="center"/>
    </xf>
    <xf numFmtId="0" fontId="12" fillId="0" borderId="93" xfId="4" applyFont="1" applyBorder="1" applyAlignment="1">
      <alignment horizontal="center" vertical="center"/>
    </xf>
    <xf numFmtId="0" fontId="12" fillId="0" borderId="94" xfId="4" applyFont="1" applyBorder="1" applyAlignment="1">
      <alignment horizontal="center" vertical="center"/>
    </xf>
    <xf numFmtId="0" fontId="12" fillId="0" borderId="95" xfId="4" applyFont="1" applyBorder="1" applyAlignment="1">
      <alignment horizontal="center" vertical="center"/>
    </xf>
    <xf numFmtId="0" fontId="12" fillId="0" borderId="96" xfId="4" applyFont="1" applyBorder="1" applyAlignment="1">
      <alignment horizontal="center" vertical="center"/>
    </xf>
    <xf numFmtId="0" fontId="12" fillId="0" borderId="97" xfId="4" applyFont="1" applyBorder="1" applyAlignment="1">
      <alignment horizontal="center" vertical="center"/>
    </xf>
    <xf numFmtId="0" fontId="51" fillId="0" borderId="90" xfId="4" applyFont="1" applyBorder="1"/>
    <xf numFmtId="1" fontId="42" fillId="17" borderId="90" xfId="3" applyNumberFormat="1" applyFont="1" applyFill="1" applyBorder="1" applyAlignment="1">
      <alignment horizontal="center"/>
    </xf>
    <xf numFmtId="14" fontId="42" fillId="17" borderId="90" xfId="3" applyNumberFormat="1" applyFont="1" applyFill="1" applyBorder="1" applyAlignment="1">
      <alignment horizontal="center"/>
    </xf>
    <xf numFmtId="0" fontId="42" fillId="17" borderId="90" xfId="3" applyFont="1" applyFill="1" applyBorder="1" applyAlignment="1">
      <alignment horizontal="center" vertical="top" wrapText="1"/>
    </xf>
    <xf numFmtId="0" fontId="42" fillId="17" borderId="90" xfId="3" applyFont="1" applyFill="1" applyBorder="1" applyAlignment="1">
      <alignment horizontal="center" wrapText="1"/>
    </xf>
    <xf numFmtId="0" fontId="42" fillId="17" borderId="90" xfId="3" applyFont="1" applyFill="1" applyBorder="1" applyAlignment="1">
      <alignment horizontal="center"/>
    </xf>
    <xf numFmtId="1" fontId="43" fillId="0" borderId="90" xfId="3" applyNumberFormat="1" applyFont="1" applyBorder="1" applyAlignment="1">
      <alignment horizontal="right"/>
    </xf>
    <xf numFmtId="14" fontId="43" fillId="0" borderId="90" xfId="3" applyNumberFormat="1" applyFont="1" applyBorder="1" applyAlignment="1">
      <alignment horizontal="center"/>
    </xf>
    <xf numFmtId="0" fontId="43" fillId="0" borderId="90" xfId="3" applyFont="1" applyBorder="1" applyAlignment="1">
      <alignment horizontal="left" vertical="top" wrapText="1"/>
    </xf>
    <xf numFmtId="0" fontId="43" fillId="0" borderId="90" xfId="3" applyFont="1" applyBorder="1" applyAlignment="1">
      <alignment vertical="top" wrapText="1"/>
    </xf>
    <xf numFmtId="1" fontId="43" fillId="0" borderId="90" xfId="3" applyNumberFormat="1" applyFont="1" applyBorder="1" applyAlignment="1">
      <alignment horizontal="center"/>
    </xf>
    <xf numFmtId="0" fontId="43" fillId="0" borderId="90" xfId="3" applyFont="1" applyBorder="1" applyAlignment="1">
      <alignment wrapText="1"/>
    </xf>
    <xf numFmtId="0" fontId="43" fillId="0" borderId="90" xfId="3" applyFont="1" applyBorder="1" applyAlignment="1">
      <alignment horizontal="center"/>
    </xf>
    <xf numFmtId="0" fontId="43" fillId="0" borderId="90" xfId="3" applyFont="1" applyBorder="1"/>
    <xf numFmtId="14" fontId="44" fillId="0" borderId="90" xfId="3" applyNumberFormat="1" applyFont="1" applyBorder="1" applyAlignment="1">
      <alignment horizontal="center"/>
    </xf>
    <xf numFmtId="1" fontId="47" fillId="17" borderId="90" xfId="3" applyNumberFormat="1" applyFont="1" applyFill="1" applyBorder="1" applyAlignment="1">
      <alignment horizontal="center"/>
    </xf>
    <xf numFmtId="14" fontId="47" fillId="17" borderId="90" xfId="3" applyNumberFormat="1" applyFont="1" applyFill="1" applyBorder="1" applyAlignment="1">
      <alignment horizontal="center"/>
    </xf>
    <xf numFmtId="0" fontId="47" fillId="17" borderId="90" xfId="3" applyFont="1" applyFill="1" applyBorder="1" applyAlignment="1">
      <alignment horizontal="center" wrapText="1"/>
    </xf>
    <xf numFmtId="0" fontId="47" fillId="17" borderId="90" xfId="3" applyFont="1" applyFill="1" applyBorder="1" applyAlignment="1">
      <alignment horizontal="center"/>
    </xf>
    <xf numFmtId="1" fontId="33" fillId="0" borderId="90" xfId="3" applyNumberFormat="1" applyFont="1" applyBorder="1" applyAlignment="1">
      <alignment horizontal="right"/>
    </xf>
    <xf numFmtId="14" fontId="33" fillId="0" borderId="90" xfId="3" applyNumberFormat="1" applyFont="1" applyBorder="1" applyAlignment="1">
      <alignment horizontal="center"/>
    </xf>
    <xf numFmtId="0" fontId="33" fillId="0" borderId="90" xfId="3" applyFont="1" applyBorder="1" applyAlignment="1">
      <alignment wrapText="1"/>
    </xf>
    <xf numFmtId="0" fontId="33" fillId="0" borderId="90" xfId="3" applyFont="1" applyBorder="1" applyAlignment="1">
      <alignment horizontal="center"/>
    </xf>
    <xf numFmtId="1" fontId="18" fillId="0" borderId="90" xfId="3" applyNumberFormat="1" applyFont="1" applyBorder="1" applyAlignment="1">
      <alignment horizontal="right"/>
    </xf>
    <xf numFmtId="14" fontId="18" fillId="0" borderId="90" xfId="3" applyNumberFormat="1" applyFont="1" applyBorder="1" applyAlignment="1">
      <alignment horizontal="center"/>
    </xf>
    <xf numFmtId="0" fontId="18" fillId="0" borderId="90" xfId="3" applyFont="1" applyBorder="1" applyAlignment="1">
      <alignment wrapText="1"/>
    </xf>
    <xf numFmtId="0" fontId="18" fillId="0" borderId="90" xfId="3" applyFont="1" applyBorder="1" applyAlignment="1">
      <alignment horizontal="center"/>
    </xf>
    <xf numFmtId="0" fontId="18" fillId="0" borderId="90" xfId="3" applyFont="1" applyBorder="1"/>
    <xf numFmtId="14" fontId="18" fillId="0" borderId="90" xfId="3" applyNumberFormat="1" applyFont="1" applyBorder="1" applyAlignment="1">
      <alignment horizontal="left"/>
    </xf>
    <xf numFmtId="14" fontId="18" fillId="0" borderId="90" xfId="3" applyNumberFormat="1" applyFont="1" applyBorder="1" applyAlignment="1">
      <alignment horizontal="left" wrapText="1"/>
    </xf>
    <xf numFmtId="0" fontId="3" fillId="0" borderId="90" xfId="3" applyBorder="1" applyAlignment="1">
      <alignment horizontal="left"/>
    </xf>
    <xf numFmtId="0" fontId="18" fillId="0" borderId="90" xfId="3" applyFont="1" applyBorder="1" applyAlignment="1">
      <alignment horizontal="left" vertical="top" wrapText="1"/>
    </xf>
    <xf numFmtId="1" fontId="17" fillId="17" borderId="90" xfId="3" applyNumberFormat="1" applyFont="1" applyFill="1" applyBorder="1" applyAlignment="1">
      <alignment horizontal="right"/>
    </xf>
    <xf numFmtId="14" fontId="17" fillId="17" borderId="90" xfId="3" applyNumberFormat="1" applyFont="1" applyFill="1" applyBorder="1" applyAlignment="1">
      <alignment horizontal="center"/>
    </xf>
    <xf numFmtId="0" fontId="17" fillId="17" borderId="90" xfId="3" applyFont="1" applyFill="1" applyBorder="1" applyAlignment="1">
      <alignment wrapText="1"/>
    </xf>
    <xf numFmtId="0" fontId="18" fillId="17" borderId="90" xfId="3" applyFont="1" applyFill="1" applyBorder="1" applyAlignment="1">
      <alignment horizontal="center"/>
    </xf>
    <xf numFmtId="0" fontId="17" fillId="17" borderId="90" xfId="3" applyFont="1" applyFill="1" applyBorder="1" applyAlignment="1">
      <alignment horizontal="center"/>
    </xf>
    <xf numFmtId="0" fontId="16" fillId="15" borderId="90" xfId="3" applyFont="1" applyFill="1" applyBorder="1" applyAlignment="1">
      <alignment horizontal="center" vertical="center" wrapText="1"/>
    </xf>
    <xf numFmtId="0" fontId="16" fillId="16" borderId="90" xfId="3" applyFont="1" applyFill="1" applyBorder="1" applyAlignment="1">
      <alignment horizontal="center" vertical="center" wrapText="1"/>
    </xf>
    <xf numFmtId="16" fontId="16" fillId="16" borderId="90" xfId="3" applyNumberFormat="1" applyFont="1" applyFill="1" applyBorder="1" applyAlignment="1">
      <alignment horizontal="center" vertical="center" wrapText="1"/>
    </xf>
    <xf numFmtId="0" fontId="16" fillId="16" borderId="90" xfId="3" applyFont="1" applyFill="1" applyBorder="1" applyAlignment="1">
      <alignment horizontal="left" vertical="center" wrapText="1"/>
    </xf>
    <xf numFmtId="0" fontId="3" fillId="0" borderId="90" xfId="3" applyBorder="1" applyAlignment="1">
      <alignment horizontal="center" vertical="center" wrapText="1"/>
    </xf>
    <xf numFmtId="16" fontId="3" fillId="0" borderId="90" xfId="3" applyNumberFormat="1" applyBorder="1" applyAlignment="1">
      <alignment horizontal="center" vertical="center" wrapText="1"/>
    </xf>
    <xf numFmtId="0" fontId="1" fillId="0" borderId="90" xfId="3" applyFont="1" applyBorder="1" applyAlignment="1">
      <alignment vertical="center" wrapText="1"/>
    </xf>
    <xf numFmtId="0" fontId="1" fillId="0" borderId="90" xfId="3" applyFont="1" applyBorder="1" applyAlignment="1">
      <alignment horizontal="left" vertical="top" wrapText="1"/>
    </xf>
    <xf numFmtId="0" fontId="1" fillId="0" borderId="90" xfId="3" applyFont="1" applyBorder="1" applyAlignment="1">
      <alignment horizontal="center" vertical="center" wrapText="1"/>
    </xf>
    <xf numFmtId="0" fontId="3" fillId="0" borderId="90" xfId="3" applyBorder="1" applyAlignment="1">
      <alignment vertical="center" wrapText="1"/>
    </xf>
    <xf numFmtId="0" fontId="3" fillId="0" borderId="90" xfId="3" applyBorder="1" applyAlignment="1">
      <alignment horizontal="center"/>
    </xf>
    <xf numFmtId="0" fontId="3" fillId="0" borderId="90" xfId="3" applyBorder="1"/>
    <xf numFmtId="0" fontId="1" fillId="0" borderId="90" xfId="3" applyFont="1" applyBorder="1" applyAlignment="1">
      <alignment horizontal="center" vertical="center"/>
    </xf>
    <xf numFmtId="16" fontId="3" fillId="0" borderId="90" xfId="3" applyNumberFormat="1" applyBorder="1" applyAlignment="1">
      <alignment horizontal="center" vertical="center"/>
    </xf>
    <xf numFmtId="0" fontId="1" fillId="0" borderId="90" xfId="3" applyFont="1" applyBorder="1" applyAlignment="1">
      <alignment wrapText="1"/>
    </xf>
    <xf numFmtId="14" fontId="3" fillId="0" borderId="90" xfId="3" applyNumberFormat="1" applyBorder="1"/>
    <xf numFmtId="0" fontId="1" fillId="0" borderId="90" xfId="3" applyFont="1" applyBorder="1"/>
    <xf numFmtId="0" fontId="3" fillId="0" borderId="90" xfId="3" applyBorder="1" applyAlignment="1">
      <alignment horizontal="center" vertical="center"/>
    </xf>
    <xf numFmtId="0" fontId="3" fillId="0" borderId="90" xfId="3" applyBorder="1" applyAlignment="1">
      <alignment wrapText="1"/>
    </xf>
    <xf numFmtId="0" fontId="53" fillId="0" borderId="90" xfId="8" applyFont="1" applyBorder="1" applyAlignment="1">
      <alignment horizontal="center" vertical="center"/>
    </xf>
    <xf numFmtId="0" fontId="53" fillId="0" borderId="90" xfId="8" applyFont="1" applyBorder="1" applyAlignment="1">
      <alignment wrapText="1"/>
    </xf>
    <xf numFmtId="0" fontId="53" fillId="0" borderId="90" xfId="8" applyFont="1" applyBorder="1"/>
    <xf numFmtId="0" fontId="0" fillId="0" borderId="98" xfId="0" applyBorder="1"/>
    <xf numFmtId="165" fontId="0" fillId="0" borderId="99" xfId="0" applyNumberFormat="1" applyBorder="1"/>
    <xf numFmtId="0" fontId="8" fillId="0" borderId="100" xfId="0" applyFont="1" applyBorder="1" applyAlignment="1">
      <alignment wrapText="1"/>
    </xf>
    <xf numFmtId="0" fontId="0" fillId="0" borderId="101" xfId="0" applyBorder="1"/>
    <xf numFmtId="165" fontId="0" fillId="0" borderId="101" xfId="0" applyNumberFormat="1" applyBorder="1"/>
    <xf numFmtId="0" fontId="5" fillId="0" borderId="101" xfId="0" applyFont="1" applyBorder="1"/>
    <xf numFmtId="165" fontId="0" fillId="0" borderId="100" xfId="0" applyNumberFormat="1" applyBorder="1"/>
    <xf numFmtId="1" fontId="17" fillId="17" borderId="90" xfId="3" applyNumberFormat="1" applyFont="1" applyFill="1" applyBorder="1" applyAlignment="1">
      <alignment horizontal="center"/>
    </xf>
    <xf numFmtId="0" fontId="17" fillId="17" borderId="90" xfId="3" applyFont="1" applyFill="1" applyBorder="1" applyAlignment="1">
      <alignment horizontal="center" wrapText="1"/>
    </xf>
    <xf numFmtId="0" fontId="8" fillId="11" borderId="35" xfId="1" applyFont="1" applyFill="1" applyBorder="1" applyAlignment="1" applyProtection="1">
      <alignment horizontal="center" vertical="center"/>
    </xf>
    <xf numFmtId="0" fontId="8" fillId="11" borderId="36" xfId="1" applyFont="1" applyFill="1" applyBorder="1" applyAlignment="1" applyProtection="1">
      <alignment horizontal="center" vertical="center"/>
    </xf>
    <xf numFmtId="0" fontId="8" fillId="2" borderId="37"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12"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12" xfId="0" applyFont="1" applyFill="1" applyBorder="1" applyAlignment="1">
      <alignment horizontal="center" vertical="center"/>
    </xf>
    <xf numFmtId="0" fontId="8" fillId="12" borderId="0" xfId="0" applyFont="1" applyFill="1" applyAlignment="1">
      <alignment horizontal="left" vertical="center" wrapText="1"/>
    </xf>
    <xf numFmtId="0" fontId="8" fillId="12" borderId="0" xfId="0" applyFont="1" applyFill="1" applyAlignment="1">
      <alignment horizontal="right" vertical="center" wrapText="1"/>
    </xf>
    <xf numFmtId="0" fontId="0" fillId="12" borderId="0" xfId="0" applyFill="1" applyAlignment="1">
      <alignment horizontal="right" vertical="center" wrapText="1"/>
    </xf>
    <xf numFmtId="0" fontId="36" fillId="22" borderId="37" xfId="0" applyFont="1" applyFill="1" applyBorder="1" applyAlignment="1">
      <alignment horizontal="center" vertical="center" wrapText="1"/>
    </xf>
    <xf numFmtId="0" fontId="36" fillId="22" borderId="2" xfId="0" applyFont="1" applyFill="1" applyBorder="1" applyAlignment="1">
      <alignment horizontal="center" vertical="center" wrapText="1"/>
    </xf>
    <xf numFmtId="0" fontId="36" fillId="22" borderId="12" xfId="0" applyFont="1" applyFill="1" applyBorder="1" applyAlignment="1">
      <alignment horizontal="center" vertical="center" wrapText="1"/>
    </xf>
    <xf numFmtId="0" fontId="36" fillId="0" borderId="56" xfId="0" applyFont="1" applyBorder="1" applyAlignment="1">
      <alignment horizontal="center" vertical="center"/>
    </xf>
    <xf numFmtId="0" fontId="36" fillId="0" borderId="57" xfId="0" applyFont="1" applyBorder="1" applyAlignment="1">
      <alignment horizontal="center" vertical="center"/>
    </xf>
    <xf numFmtId="0" fontId="36" fillId="0" borderId="58" xfId="0" applyFont="1" applyBorder="1" applyAlignment="1">
      <alignment horizontal="center" vertical="center"/>
    </xf>
    <xf numFmtId="0" fontId="37" fillId="0" borderId="63" xfId="0" applyFont="1" applyBorder="1" applyAlignment="1">
      <alignment vertical="center"/>
    </xf>
    <xf numFmtId="0" fontId="37" fillId="0" borderId="70" xfId="0" applyFont="1" applyBorder="1" applyAlignment="1">
      <alignment vertical="center"/>
    </xf>
    <xf numFmtId="0" fontId="37" fillId="0" borderId="65" xfId="0" applyFont="1" applyBorder="1" applyAlignment="1">
      <alignment vertical="center"/>
    </xf>
    <xf numFmtId="0" fontId="5" fillId="12" borderId="0" xfId="0" applyFont="1" applyFill="1" applyAlignment="1">
      <alignment horizontal="left" vertical="center" wrapText="1"/>
    </xf>
    <xf numFmtId="0" fontId="36" fillId="2" borderId="37" xfId="0" applyFont="1" applyFill="1" applyBorder="1" applyAlignment="1">
      <alignment horizontal="center" vertical="center" wrapText="1"/>
    </xf>
    <xf numFmtId="0" fontId="36" fillId="2" borderId="12" xfId="0" applyFont="1" applyFill="1" applyBorder="1" applyAlignment="1">
      <alignment horizontal="center" vertical="center" wrapText="1"/>
    </xf>
    <xf numFmtId="15" fontId="35" fillId="0" borderId="37" xfId="0" applyNumberFormat="1" applyFont="1" applyBorder="1" applyAlignment="1">
      <alignment horizontal="center" vertical="center"/>
    </xf>
    <xf numFmtId="15" fontId="35" fillId="0" borderId="12" xfId="0" applyNumberFormat="1" applyFont="1" applyBorder="1" applyAlignment="1">
      <alignment horizontal="center" vertical="center"/>
    </xf>
    <xf numFmtId="15" fontId="35" fillId="0" borderId="37" xfId="0" applyNumberFormat="1" applyFont="1" applyBorder="1" applyAlignment="1">
      <alignment horizontal="center" vertical="center" wrapText="1"/>
    </xf>
    <xf numFmtId="0" fontId="38" fillId="13" borderId="37" xfId="0" applyFont="1" applyFill="1" applyBorder="1" applyAlignment="1">
      <alignment horizontal="center" vertical="center"/>
    </xf>
    <xf numFmtId="0" fontId="38" fillId="13" borderId="12" xfId="0" applyFont="1" applyFill="1" applyBorder="1" applyAlignment="1">
      <alignment horizontal="center" vertical="center"/>
    </xf>
    <xf numFmtId="0" fontId="38" fillId="13" borderId="1" xfId="0" applyFont="1" applyFill="1" applyBorder="1" applyAlignment="1">
      <alignment horizontal="center" vertical="center"/>
    </xf>
    <xf numFmtId="166" fontId="35" fillId="0" borderId="37" xfId="0" applyNumberFormat="1" applyFont="1" applyBorder="1" applyAlignment="1">
      <alignment horizontal="center" vertical="center"/>
    </xf>
    <xf numFmtId="166" fontId="35" fillId="0" borderId="12" xfId="0" applyNumberFormat="1" applyFont="1" applyBorder="1" applyAlignment="1">
      <alignment horizontal="center" vertical="center"/>
    </xf>
    <xf numFmtId="0" fontId="10" fillId="2" borderId="0" xfId="1" applyFill="1" applyAlignment="1" applyProtection="1">
      <alignment horizontal="right" vertical="center"/>
    </xf>
    <xf numFmtId="0" fontId="0" fillId="12" borderId="0" xfId="0" applyFill="1" applyAlignment="1">
      <alignment horizontal="center" vertical="center" wrapText="1"/>
    </xf>
    <xf numFmtId="0" fontId="36" fillId="4" borderId="5" xfId="0" applyFont="1" applyFill="1" applyBorder="1" applyAlignment="1">
      <alignment horizontal="center" vertical="center"/>
    </xf>
    <xf numFmtId="0" fontId="36" fillId="4" borderId="0" xfId="0" applyFont="1" applyFill="1" applyAlignment="1">
      <alignment horizontal="center" vertical="center"/>
    </xf>
    <xf numFmtId="164" fontId="8" fillId="3" borderId="2" xfId="4" applyNumberFormat="1" applyFont="1" applyFill="1" applyBorder="1" applyAlignment="1">
      <alignment horizontal="center" vertical="center" wrapText="1"/>
    </xf>
    <xf numFmtId="164" fontId="8" fillId="3" borderId="3" xfId="4" applyNumberFormat="1" applyFont="1" applyFill="1" applyBorder="1" applyAlignment="1">
      <alignment horizontal="center" vertical="center" wrapText="1"/>
    </xf>
    <xf numFmtId="0" fontId="8" fillId="4" borderId="10" xfId="4" applyFont="1" applyFill="1" applyBorder="1" applyAlignment="1">
      <alignment horizontal="center" vertical="center"/>
    </xf>
    <xf numFmtId="0" fontId="8" fillId="4" borderId="11" xfId="4" applyFont="1" applyFill="1" applyBorder="1" applyAlignment="1">
      <alignment horizontal="center" vertical="center"/>
    </xf>
    <xf numFmtId="0" fontId="8" fillId="4" borderId="40" xfId="4" applyFont="1" applyFill="1" applyBorder="1" applyAlignment="1">
      <alignment horizontal="center" vertical="center"/>
    </xf>
    <xf numFmtId="0" fontId="8" fillId="4" borderId="2" xfId="4" applyFont="1" applyFill="1" applyBorder="1" applyAlignment="1">
      <alignment horizontal="center" vertical="center"/>
    </xf>
    <xf numFmtId="0" fontId="8" fillId="4" borderId="3" xfId="4" applyFont="1" applyFill="1" applyBorder="1" applyAlignment="1">
      <alignment horizontal="center" vertical="center"/>
    </xf>
    <xf numFmtId="0" fontId="8" fillId="3" borderId="43" xfId="4" applyFont="1" applyFill="1" applyBorder="1" applyAlignment="1">
      <alignment horizontal="center" vertical="center" wrapText="1"/>
    </xf>
    <xf numFmtId="0" fontId="8" fillId="3" borderId="44" xfId="4" applyFont="1" applyFill="1" applyBorder="1" applyAlignment="1">
      <alignment horizontal="center" vertical="center" wrapText="1"/>
    </xf>
    <xf numFmtId="0" fontId="8" fillId="3" borderId="45" xfId="4" applyFont="1" applyFill="1" applyBorder="1" applyAlignment="1">
      <alignment horizontal="center" vertical="center" wrapText="1"/>
    </xf>
    <xf numFmtId="0" fontId="8" fillId="3" borderId="48" xfId="4" applyFont="1" applyFill="1" applyBorder="1" applyAlignment="1">
      <alignment horizontal="center" vertical="center" wrapText="1"/>
    </xf>
    <xf numFmtId="0" fontId="8" fillId="3" borderId="21" xfId="4" applyFont="1" applyFill="1" applyBorder="1" applyAlignment="1">
      <alignment horizontal="center" vertical="center" wrapText="1"/>
    </xf>
    <xf numFmtId="0" fontId="8" fillId="3" borderId="49" xfId="4" applyFont="1" applyFill="1" applyBorder="1" applyAlignment="1">
      <alignment horizontal="center" vertical="center" wrapText="1"/>
    </xf>
    <xf numFmtId="0" fontId="8" fillId="3" borderId="46" xfId="4" applyFont="1" applyFill="1" applyBorder="1" applyAlignment="1">
      <alignment horizontal="center" vertical="center" wrapText="1"/>
    </xf>
    <xf numFmtId="0" fontId="8" fillId="3" borderId="47" xfId="4" applyFont="1" applyFill="1" applyBorder="1" applyAlignment="1">
      <alignment horizontal="center" vertical="center" wrapText="1"/>
    </xf>
    <xf numFmtId="0" fontId="8" fillId="3" borderId="25" xfId="4" applyFont="1" applyFill="1" applyBorder="1" applyAlignment="1">
      <alignment horizontal="center" vertical="center" wrapText="1"/>
    </xf>
    <xf numFmtId="0" fontId="8" fillId="3" borderId="19" xfId="4" applyFont="1" applyFill="1" applyBorder="1" applyAlignment="1">
      <alignment horizontal="center" vertical="center" wrapText="1"/>
    </xf>
    <xf numFmtId="0" fontId="8" fillId="3" borderId="4" xfId="4" applyFont="1" applyFill="1" applyBorder="1" applyAlignment="1">
      <alignment horizontal="center" vertical="center" wrapText="1"/>
    </xf>
    <xf numFmtId="0" fontId="8" fillId="3" borderId="41" xfId="4" applyFont="1" applyFill="1" applyBorder="1" applyAlignment="1">
      <alignment horizontal="center" vertical="center" wrapText="1"/>
    </xf>
    <xf numFmtId="0" fontId="8" fillId="3" borderId="8" xfId="4" applyFont="1" applyFill="1" applyBorder="1" applyAlignment="1">
      <alignment horizontal="center" vertical="center" wrapText="1"/>
    </xf>
    <xf numFmtId="0" fontId="8" fillId="3" borderId="42" xfId="4" applyFont="1" applyFill="1" applyBorder="1" applyAlignment="1">
      <alignment horizontal="center" vertical="center" wrapText="1"/>
    </xf>
    <xf numFmtId="0" fontId="8" fillId="4" borderId="41" xfId="4" applyFont="1" applyFill="1" applyBorder="1" applyAlignment="1">
      <alignment horizontal="center" vertical="center"/>
    </xf>
    <xf numFmtId="0" fontId="8" fillId="4" borderId="14" xfId="4" applyFont="1" applyFill="1" applyBorder="1" applyAlignment="1">
      <alignment horizontal="center" vertical="center"/>
    </xf>
    <xf numFmtId="0" fontId="8" fillId="4" borderId="19" xfId="4" applyFont="1" applyFill="1" applyBorder="1" applyAlignment="1">
      <alignment horizontal="center" vertical="center"/>
    </xf>
    <xf numFmtId="0" fontId="8" fillId="4" borderId="42" xfId="4" applyFont="1" applyFill="1" applyBorder="1" applyAlignment="1">
      <alignment horizontal="center" vertical="center"/>
    </xf>
    <xf numFmtId="0" fontId="8" fillId="4" borderId="17" xfId="4" applyFont="1" applyFill="1" applyBorder="1" applyAlignment="1">
      <alignment horizontal="center" vertical="center"/>
    </xf>
    <xf numFmtId="0" fontId="8" fillId="4" borderId="20" xfId="4" applyFont="1" applyFill="1" applyBorder="1" applyAlignment="1">
      <alignment horizontal="center" vertical="center"/>
    </xf>
    <xf numFmtId="0" fontId="8" fillId="3" borderId="15" xfId="4" applyFont="1" applyFill="1" applyBorder="1" applyAlignment="1">
      <alignment horizontal="center" vertical="center" wrapText="1"/>
    </xf>
    <xf numFmtId="0" fontId="8" fillId="3" borderId="6" xfId="4" applyFont="1" applyFill="1" applyBorder="1" applyAlignment="1">
      <alignment horizontal="center" vertical="center" wrapText="1"/>
    </xf>
    <xf numFmtId="0" fontId="8" fillId="3" borderId="18" xfId="4" applyFont="1" applyFill="1" applyBorder="1" applyAlignment="1">
      <alignment horizontal="center" vertical="center" wrapText="1"/>
    </xf>
    <xf numFmtId="0" fontId="8" fillId="3" borderId="62" xfId="4" applyFont="1" applyFill="1" applyBorder="1" applyAlignment="1">
      <alignment horizontal="center" vertical="center" wrapText="1"/>
    </xf>
    <xf numFmtId="0" fontId="5" fillId="0" borderId="68" xfId="4" applyBorder="1" applyAlignment="1">
      <alignment horizontal="left" vertical="center"/>
    </xf>
    <xf numFmtId="0" fontId="5" fillId="0" borderId="67" xfId="4" applyBorder="1" applyAlignment="1">
      <alignment horizontal="left" vertical="center"/>
    </xf>
    <xf numFmtId="0" fontId="5" fillId="0" borderId="71" xfId="4" applyBorder="1" applyAlignment="1">
      <alignment horizontal="left" vertical="center"/>
    </xf>
    <xf numFmtId="0" fontId="5" fillId="0" borderId="33" xfId="4" applyBorder="1" applyAlignment="1">
      <alignment horizontal="left" vertical="center"/>
    </xf>
    <xf numFmtId="0" fontId="5" fillId="0" borderId="38" xfId="4" applyBorder="1" applyAlignment="1">
      <alignment horizontal="left" vertical="center"/>
    </xf>
    <xf numFmtId="0" fontId="5" fillId="0" borderId="39" xfId="4" applyBorder="1" applyAlignment="1">
      <alignment horizontal="left" vertical="center"/>
    </xf>
    <xf numFmtId="0" fontId="8" fillId="4" borderId="13" xfId="4" applyFont="1" applyFill="1" applyBorder="1" applyAlignment="1">
      <alignment horizontal="center" vertical="center"/>
    </xf>
    <xf numFmtId="0" fontId="8" fillId="4" borderId="0" xfId="4" applyFont="1" applyFill="1" applyAlignment="1">
      <alignment horizontal="center" vertical="center"/>
    </xf>
    <xf numFmtId="0" fontId="8" fillId="4" borderId="15" xfId="4" applyFont="1" applyFill="1" applyBorder="1" applyAlignment="1">
      <alignment horizontal="center" vertical="center"/>
    </xf>
    <xf numFmtId="0" fontId="8" fillId="4" borderId="16" xfId="4" applyFont="1" applyFill="1" applyBorder="1" applyAlignment="1">
      <alignment horizontal="center" vertical="center"/>
    </xf>
    <xf numFmtId="0" fontId="8" fillId="4" borderId="18" xfId="4" applyFont="1" applyFill="1" applyBorder="1" applyAlignment="1">
      <alignment horizontal="center" vertical="center"/>
    </xf>
    <xf numFmtId="0" fontId="8" fillId="4" borderId="37" xfId="4" applyFont="1" applyFill="1" applyBorder="1" applyAlignment="1">
      <alignment horizontal="center" vertical="center"/>
    </xf>
    <xf numFmtId="0" fontId="8" fillId="0" borderId="37" xfId="4" applyFont="1" applyBorder="1" applyAlignment="1">
      <alignment horizontal="left" vertical="center"/>
    </xf>
    <xf numFmtId="0" fontId="8" fillId="0" borderId="2" xfId="4" applyFont="1" applyBorder="1" applyAlignment="1">
      <alignment horizontal="left" vertical="center"/>
    </xf>
    <xf numFmtId="0" fontId="8" fillId="0" borderId="12" xfId="4" applyFont="1" applyBorder="1" applyAlignment="1">
      <alignment horizontal="left" vertical="center"/>
    </xf>
    <xf numFmtId="0" fontId="5" fillId="0" borderId="61" xfId="4" applyBorder="1" applyAlignment="1">
      <alignment horizontal="left" vertical="center"/>
    </xf>
    <xf numFmtId="0" fontId="5" fillId="0" borderId="70" xfId="4" applyBorder="1" applyAlignment="1">
      <alignment horizontal="left" vertical="center"/>
    </xf>
    <xf numFmtId="0" fontId="5" fillId="0" borderId="64" xfId="4" applyBorder="1" applyAlignment="1">
      <alignment horizontal="left" vertical="center"/>
    </xf>
    <xf numFmtId="0" fontId="5" fillId="0" borderId="73" xfId="4" applyBorder="1" applyAlignment="1">
      <alignment horizontal="left" vertical="center"/>
    </xf>
    <xf numFmtId="0" fontId="5" fillId="0" borderId="74" xfId="4" applyBorder="1" applyAlignment="1">
      <alignment horizontal="left" vertical="center"/>
    </xf>
    <xf numFmtId="0" fontId="5" fillId="0" borderId="75" xfId="4" applyBorder="1" applyAlignment="1">
      <alignment horizontal="left" vertical="center"/>
    </xf>
    <xf numFmtId="0" fontId="46" fillId="14" borderId="0" xfId="3" applyFont="1" applyFill="1" applyAlignment="1">
      <alignment horizontal="left" vertical="center" wrapText="1"/>
    </xf>
    <xf numFmtId="0" fontId="46" fillId="14" borderId="0" xfId="3" applyFont="1" applyFill="1" applyAlignment="1">
      <alignment horizontal="center" vertical="center" wrapText="1"/>
    </xf>
    <xf numFmtId="0" fontId="16" fillId="14" borderId="0" xfId="3" applyFont="1" applyFill="1" applyAlignment="1">
      <alignment horizontal="left" vertical="center" wrapText="1"/>
    </xf>
    <xf numFmtId="0" fontId="38" fillId="13" borderId="37" xfId="0" applyFont="1" applyFill="1" applyBorder="1" applyAlignment="1">
      <alignment horizontal="center" vertical="center" wrapText="1"/>
    </xf>
    <xf numFmtId="0" fontId="38" fillId="13" borderId="2" xfId="0" applyFont="1" applyFill="1" applyBorder="1" applyAlignment="1">
      <alignment horizontal="center" vertical="center" wrapText="1"/>
    </xf>
    <xf numFmtId="0" fontId="38" fillId="13" borderId="12" xfId="0" applyFont="1" applyFill="1" applyBorder="1" applyAlignment="1">
      <alignment horizontal="center" vertical="center" wrapText="1"/>
    </xf>
    <xf numFmtId="0" fontId="22" fillId="0" borderId="9" xfId="0" applyFont="1" applyBorder="1" applyAlignment="1">
      <alignment horizontal="center" vertical="center" wrapText="1"/>
    </xf>
    <xf numFmtId="0" fontId="22" fillId="0" borderId="50" xfId="0" applyFont="1" applyBorder="1" applyAlignment="1">
      <alignment horizontal="center" vertical="center" wrapText="1"/>
    </xf>
    <xf numFmtId="0" fontId="22" fillId="0" borderId="51"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50" xfId="0" applyFont="1" applyBorder="1" applyAlignment="1">
      <alignment horizontal="center" vertical="center" wrapText="1"/>
    </xf>
    <xf numFmtId="0" fontId="24" fillId="0" borderId="51" xfId="0" applyFont="1" applyBorder="1" applyAlignment="1">
      <alignment horizontal="center" vertical="center" wrapText="1"/>
    </xf>
    <xf numFmtId="0" fontId="8" fillId="0" borderId="67" xfId="0" applyFont="1" applyBorder="1" applyAlignment="1">
      <alignment horizontal="center"/>
    </xf>
    <xf numFmtId="0" fontId="6" fillId="2" borderId="0" xfId="0" applyFont="1" applyFill="1" applyAlignment="1">
      <alignment horizontal="center" vertical="center"/>
    </xf>
  </cellXfs>
  <cellStyles count="9">
    <cellStyle name="Comma" xfId="5" builtinId="3"/>
    <cellStyle name="Hyperlink" xfId="1" builtinId="8"/>
    <cellStyle name="Hyperlink 2" xfId="7" xr:uid="{8071D463-B477-42C0-881E-3FDC7168B884}"/>
    <cellStyle name="Normal" xfId="0" builtinId="0"/>
    <cellStyle name="Normal 2" xfId="2" xr:uid="{00000000-0005-0000-0000-000002000000}"/>
    <cellStyle name="Normal 3" xfId="3" xr:uid="{00000000-0005-0000-0000-000003000000}"/>
    <cellStyle name="Normal 4" xfId="4" xr:uid="{00000000-0005-0000-0000-000004000000}"/>
    <cellStyle name="Normal 5" xfId="6" xr:uid="{445AC042-4117-4931-86A2-1965A53E874E}"/>
    <cellStyle name="Normal 6" xfId="8" xr:uid="{5FF05376-BA3B-4BD4-94BF-7AA6EFE19152}"/>
  </cellStyles>
  <dxfs count="26">
    <dxf>
      <fill>
        <patternFill>
          <bgColor rgb="FF00B050"/>
        </patternFill>
      </fill>
    </dxf>
    <dxf>
      <fill>
        <patternFill>
          <bgColor rgb="FFFFC000"/>
        </patternFill>
      </fill>
    </dxf>
    <dxf>
      <font>
        <b/>
        <i val="0"/>
        <color theme="0"/>
      </font>
      <fill>
        <patternFill>
          <bgColor rgb="FFFF0000"/>
        </patternFill>
      </fill>
    </dxf>
    <dxf>
      <fill>
        <patternFill>
          <bgColor rgb="FF00B050"/>
        </patternFill>
      </fill>
    </dxf>
    <dxf>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FFC000"/>
        </patternFill>
      </fill>
    </dxf>
    <dxf>
      <fill>
        <patternFill>
          <bgColor rgb="FF00B050"/>
        </patternFill>
      </fill>
    </dxf>
    <dxf>
      <font>
        <condense val="0"/>
        <extend val="0"/>
        <color indexed="53"/>
      </font>
      <fill>
        <patternFill>
          <bgColor indexed="53"/>
        </patternFill>
      </fill>
    </dxf>
    <dxf>
      <font>
        <condense val="0"/>
        <extend val="0"/>
        <color indexed="59"/>
      </font>
      <fill>
        <patternFill patternType="lightUp">
          <bgColor indexed="65"/>
        </patternFill>
      </fill>
    </dxf>
    <dxf>
      <font>
        <condense val="0"/>
        <extend val="0"/>
        <color indexed="48"/>
      </font>
      <fill>
        <patternFill>
          <bgColor indexed="48"/>
        </patternFill>
      </fill>
    </dxf>
    <dxf>
      <font>
        <condense val="0"/>
        <extend val="0"/>
        <color indexed="53"/>
      </font>
      <fill>
        <patternFill>
          <bgColor indexed="53"/>
        </patternFill>
      </fill>
    </dxf>
    <dxf>
      <font>
        <condense val="0"/>
        <extend val="0"/>
        <color auto="1"/>
      </font>
      <fill>
        <patternFill>
          <bgColor indexed="57"/>
        </patternFill>
      </fill>
    </dxf>
    <dxf>
      <font>
        <condense val="0"/>
        <extend val="0"/>
        <color auto="1"/>
      </font>
      <fill>
        <patternFill patternType="none">
          <bgColor indexed="65"/>
        </patternFill>
      </fill>
    </dxf>
    <dxf>
      <font>
        <condense val="0"/>
        <extend val="0"/>
        <color auto="1"/>
      </font>
      <fill>
        <patternFill>
          <bgColor indexed="49"/>
        </patternFill>
      </fill>
    </dxf>
    <dxf>
      <fill>
        <patternFill>
          <bgColor indexed="50"/>
        </patternFill>
      </fill>
    </dxf>
    <dxf>
      <font>
        <condense val="0"/>
        <extend val="0"/>
        <color indexed="53"/>
      </font>
      <fill>
        <patternFill>
          <bgColor indexed="53"/>
        </patternFill>
      </fill>
    </dxf>
    <dxf>
      <fill>
        <patternFill>
          <bgColor indexed="50"/>
        </patternFill>
      </fill>
    </dxf>
    <dxf>
      <font>
        <condense val="0"/>
        <extend val="0"/>
        <color indexed="53"/>
      </font>
      <fill>
        <patternFill>
          <bgColor indexed="5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6E7455"/>
      <rgbColor rgb="00FFFFFF"/>
      <rgbColor rgb="0033CC33"/>
      <rgbColor rgb="00FFFFFF"/>
      <rgbColor rgb="006C5635"/>
      <rgbColor rgb="00FFFFFF"/>
      <rgbColor rgb="00000000"/>
      <rgbColor rgb="00FFFFFF"/>
      <rgbColor rgb="00781D0A"/>
      <rgbColor rgb="005F5F5F"/>
      <rgbColor rgb="00B6623D"/>
      <rgbColor rgb="00133960"/>
      <rgbColor rgb="00FFFFFF"/>
      <rgbColor rgb="002B3C4C"/>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25A7FF"/>
      <rgbColor rgb="00FD9173"/>
      <rgbColor rgb="00FF0000"/>
      <rgbColor rgb="00FFFFFF"/>
      <rgbColor rgb="00FFFF00"/>
      <rgbColor rgb="003D658E"/>
      <rgbColor rgb="00FFFFFF"/>
      <rgbColor rgb="00FFFFFF"/>
      <rgbColor rgb="00979B80"/>
      <rgbColor rgb="00BAFF97"/>
      <rgbColor rgb="00EEE9B2"/>
      <rgbColor rgb="00DDDECE"/>
      <rgbColor rgb="00D3CB8D"/>
      <rgbColor rgb="00FFFFFF"/>
      <rgbColor rgb="00BE7930"/>
      <rgbColor rgb="00848E97"/>
    </indexedColors>
    <mruColors>
      <color rgb="FFFEF2E8"/>
      <color rgb="FFFFFF79"/>
      <color rgb="FFBEE296"/>
      <color rgb="FFA4D76B"/>
      <color rgb="FFFFD85B"/>
      <color rgb="FF7B7B7B"/>
      <color rgb="FF7B5FA1"/>
      <color rgb="FF152437"/>
      <color rgb="FF9DB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114300</xdr:colOff>
      <xdr:row>13</xdr:row>
      <xdr:rowOff>104775</xdr:rowOff>
    </xdr:from>
    <xdr:to>
      <xdr:col>1</xdr:col>
      <xdr:colOff>419100</xdr:colOff>
      <xdr:row>16</xdr:row>
      <xdr:rowOff>0</xdr:rowOff>
    </xdr:to>
    <xdr:sp macro="" textlink="">
      <xdr:nvSpPr>
        <xdr:cNvPr id="14347" name="WordArt 11">
          <a:extLst>
            <a:ext uri="{FF2B5EF4-FFF2-40B4-BE49-F238E27FC236}">
              <a16:creationId xmlns:a16="http://schemas.microsoft.com/office/drawing/2014/main" id="{00000000-0008-0000-0000-00000B380000}"/>
            </a:ext>
          </a:extLst>
        </xdr:cNvPr>
        <xdr:cNvSpPr>
          <a:spLocks noChangeArrowheads="1" noChangeShapeType="1" noTextEdit="1"/>
        </xdr:cNvSpPr>
      </xdr:nvSpPr>
      <xdr:spPr bwMode="auto">
        <a:xfrm>
          <a:off x="304800" y="7477125"/>
          <a:ext cx="304800" cy="819150"/>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3</a:t>
          </a:r>
        </a:p>
      </xdr:txBody>
    </xdr:sp>
    <xdr:clientData/>
  </xdr:twoCellAnchor>
  <xdr:twoCellAnchor>
    <xdr:from>
      <xdr:col>6</xdr:col>
      <xdr:colOff>104775</xdr:colOff>
      <xdr:row>13</xdr:row>
      <xdr:rowOff>104775</xdr:rowOff>
    </xdr:from>
    <xdr:to>
      <xdr:col>6</xdr:col>
      <xdr:colOff>409575</xdr:colOff>
      <xdr:row>16</xdr:row>
      <xdr:rowOff>0</xdr:rowOff>
    </xdr:to>
    <xdr:sp macro="" textlink="">
      <xdr:nvSpPr>
        <xdr:cNvPr id="14348" name="WordArt 12">
          <a:extLst>
            <a:ext uri="{FF2B5EF4-FFF2-40B4-BE49-F238E27FC236}">
              <a16:creationId xmlns:a16="http://schemas.microsoft.com/office/drawing/2014/main" id="{00000000-0008-0000-0000-00000C380000}"/>
            </a:ext>
          </a:extLst>
        </xdr:cNvPr>
        <xdr:cNvSpPr>
          <a:spLocks noChangeArrowheads="1" noChangeShapeType="1" noTextEdit="1"/>
        </xdr:cNvSpPr>
      </xdr:nvSpPr>
      <xdr:spPr bwMode="auto">
        <a:xfrm>
          <a:off x="5772150" y="7477125"/>
          <a:ext cx="304800" cy="819150"/>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4</a:t>
          </a:r>
        </a:p>
      </xdr:txBody>
    </xdr:sp>
    <xdr:clientData/>
  </xdr:twoCellAnchor>
  <xdr:twoCellAnchor>
    <xdr:from>
      <xdr:col>1</xdr:col>
      <xdr:colOff>114300</xdr:colOff>
      <xdr:row>6</xdr:row>
      <xdr:rowOff>180975</xdr:rowOff>
    </xdr:from>
    <xdr:to>
      <xdr:col>1</xdr:col>
      <xdr:colOff>419100</xdr:colOff>
      <xdr:row>9</xdr:row>
      <xdr:rowOff>0</xdr:rowOff>
    </xdr:to>
    <xdr:sp macro="" textlink="">
      <xdr:nvSpPr>
        <xdr:cNvPr id="14354" name="WordArt 18">
          <a:extLst>
            <a:ext uri="{FF2B5EF4-FFF2-40B4-BE49-F238E27FC236}">
              <a16:creationId xmlns:a16="http://schemas.microsoft.com/office/drawing/2014/main" id="{00000000-0008-0000-0000-000012380000}"/>
            </a:ext>
          </a:extLst>
        </xdr:cNvPr>
        <xdr:cNvSpPr>
          <a:spLocks noChangeArrowheads="1" noChangeShapeType="1" noTextEdit="1"/>
        </xdr:cNvSpPr>
      </xdr:nvSpPr>
      <xdr:spPr bwMode="auto">
        <a:xfrm>
          <a:off x="304800" y="5495925"/>
          <a:ext cx="304800" cy="819150"/>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1</a:t>
          </a:r>
        </a:p>
      </xdr:txBody>
    </xdr:sp>
    <xdr:clientData/>
  </xdr:twoCellAnchor>
  <xdr:twoCellAnchor>
    <xdr:from>
      <xdr:col>6</xdr:col>
      <xdr:colOff>114300</xdr:colOff>
      <xdr:row>6</xdr:row>
      <xdr:rowOff>190500</xdr:rowOff>
    </xdr:from>
    <xdr:to>
      <xdr:col>6</xdr:col>
      <xdr:colOff>419100</xdr:colOff>
      <xdr:row>9</xdr:row>
      <xdr:rowOff>0</xdr:rowOff>
    </xdr:to>
    <xdr:sp macro="" textlink="">
      <xdr:nvSpPr>
        <xdr:cNvPr id="14355" name="WordArt 19">
          <a:extLst>
            <a:ext uri="{FF2B5EF4-FFF2-40B4-BE49-F238E27FC236}">
              <a16:creationId xmlns:a16="http://schemas.microsoft.com/office/drawing/2014/main" id="{00000000-0008-0000-0000-000013380000}"/>
            </a:ext>
          </a:extLst>
        </xdr:cNvPr>
        <xdr:cNvSpPr>
          <a:spLocks noChangeArrowheads="1" noChangeShapeType="1" noTextEdit="1"/>
        </xdr:cNvSpPr>
      </xdr:nvSpPr>
      <xdr:spPr bwMode="auto">
        <a:xfrm>
          <a:off x="5781675" y="5505450"/>
          <a:ext cx="304800" cy="819150"/>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2</a:t>
          </a:r>
        </a:p>
      </xdr:txBody>
    </xdr:sp>
    <xdr:clientData/>
  </xdr:twoCellAnchor>
  <xdr:twoCellAnchor editAs="oneCell">
    <xdr:from>
      <xdr:col>8</xdr:col>
      <xdr:colOff>551906</xdr:colOff>
      <xdr:row>0</xdr:row>
      <xdr:rowOff>6168</xdr:rowOff>
    </xdr:from>
    <xdr:to>
      <xdr:col>10</xdr:col>
      <xdr:colOff>247105</xdr:colOff>
      <xdr:row>2</xdr:row>
      <xdr:rowOff>379548</xdr:rowOff>
    </xdr:to>
    <xdr:pic>
      <xdr:nvPicPr>
        <xdr:cNvPr id="7" name="Picture 6">
          <a:extLst>
            <a:ext uri="{FF2B5EF4-FFF2-40B4-BE49-F238E27FC236}">
              <a16:creationId xmlns:a16="http://schemas.microsoft.com/office/drawing/2014/main" id="{00000000-0008-0000-0000-000007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5926" b="22222"/>
        <a:stretch/>
      </xdr:blipFill>
      <xdr:spPr bwMode="auto">
        <a:xfrm>
          <a:off x="8199120" y="6168"/>
          <a:ext cx="2752271" cy="699951"/>
        </a:xfrm>
        <a:prstGeom prst="rect">
          <a:avLst/>
        </a:prstGeom>
        <a:noFill/>
      </xdr:spPr>
    </xdr:pic>
    <xdr:clientData/>
  </xdr:twoCellAnchor>
  <xdr:twoCellAnchor>
    <xdr:from>
      <xdr:col>1</xdr:col>
      <xdr:colOff>114300</xdr:colOff>
      <xdr:row>27</xdr:row>
      <xdr:rowOff>104775</xdr:rowOff>
    </xdr:from>
    <xdr:to>
      <xdr:col>1</xdr:col>
      <xdr:colOff>419100</xdr:colOff>
      <xdr:row>30</xdr:row>
      <xdr:rowOff>0</xdr:rowOff>
    </xdr:to>
    <xdr:sp macro="" textlink="">
      <xdr:nvSpPr>
        <xdr:cNvPr id="8" name="WordArt 11">
          <a:extLst>
            <a:ext uri="{FF2B5EF4-FFF2-40B4-BE49-F238E27FC236}">
              <a16:creationId xmlns:a16="http://schemas.microsoft.com/office/drawing/2014/main" id="{00000000-0008-0000-0000-000008000000}"/>
            </a:ext>
          </a:extLst>
        </xdr:cNvPr>
        <xdr:cNvSpPr>
          <a:spLocks noChangeArrowheads="1" noChangeShapeType="1" noTextEdit="1"/>
        </xdr:cNvSpPr>
      </xdr:nvSpPr>
      <xdr:spPr bwMode="auto">
        <a:xfrm>
          <a:off x="312420" y="2497455"/>
          <a:ext cx="304800" cy="512445"/>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7</a:t>
          </a:r>
        </a:p>
      </xdr:txBody>
    </xdr:sp>
    <xdr:clientData/>
  </xdr:twoCellAnchor>
  <xdr:twoCellAnchor>
    <xdr:from>
      <xdr:col>6</xdr:col>
      <xdr:colOff>104775</xdr:colOff>
      <xdr:row>27</xdr:row>
      <xdr:rowOff>104775</xdr:rowOff>
    </xdr:from>
    <xdr:to>
      <xdr:col>6</xdr:col>
      <xdr:colOff>409575</xdr:colOff>
      <xdr:row>30</xdr:row>
      <xdr:rowOff>0</xdr:rowOff>
    </xdr:to>
    <xdr:sp macro="" textlink="">
      <xdr:nvSpPr>
        <xdr:cNvPr id="9" name="WordArt 12">
          <a:extLst>
            <a:ext uri="{FF2B5EF4-FFF2-40B4-BE49-F238E27FC236}">
              <a16:creationId xmlns:a16="http://schemas.microsoft.com/office/drawing/2014/main" id="{00000000-0008-0000-0000-000009000000}"/>
            </a:ext>
          </a:extLst>
        </xdr:cNvPr>
        <xdr:cNvSpPr>
          <a:spLocks noChangeArrowheads="1" noChangeShapeType="1" noTextEdit="1"/>
        </xdr:cNvSpPr>
      </xdr:nvSpPr>
      <xdr:spPr bwMode="auto">
        <a:xfrm>
          <a:off x="5926455" y="2497455"/>
          <a:ext cx="304800" cy="512445"/>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8</a:t>
          </a:r>
        </a:p>
      </xdr:txBody>
    </xdr:sp>
    <xdr:clientData/>
  </xdr:twoCellAnchor>
  <xdr:twoCellAnchor>
    <xdr:from>
      <xdr:col>1</xdr:col>
      <xdr:colOff>114300</xdr:colOff>
      <xdr:row>20</xdr:row>
      <xdr:rowOff>180975</xdr:rowOff>
    </xdr:from>
    <xdr:to>
      <xdr:col>1</xdr:col>
      <xdr:colOff>419100</xdr:colOff>
      <xdr:row>23</xdr:row>
      <xdr:rowOff>0</xdr:rowOff>
    </xdr:to>
    <xdr:sp macro="" textlink="">
      <xdr:nvSpPr>
        <xdr:cNvPr id="10" name="WordArt 18">
          <a:extLst>
            <a:ext uri="{FF2B5EF4-FFF2-40B4-BE49-F238E27FC236}">
              <a16:creationId xmlns:a16="http://schemas.microsoft.com/office/drawing/2014/main" id="{00000000-0008-0000-0000-00000A000000}"/>
            </a:ext>
          </a:extLst>
        </xdr:cNvPr>
        <xdr:cNvSpPr>
          <a:spLocks noChangeArrowheads="1" noChangeShapeType="1" noTextEdit="1"/>
        </xdr:cNvSpPr>
      </xdr:nvSpPr>
      <xdr:spPr bwMode="auto">
        <a:xfrm>
          <a:off x="312420" y="1179195"/>
          <a:ext cx="304800" cy="512445"/>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5</a:t>
          </a:r>
        </a:p>
      </xdr:txBody>
    </xdr:sp>
    <xdr:clientData/>
  </xdr:twoCellAnchor>
  <xdr:twoCellAnchor>
    <xdr:from>
      <xdr:col>6</xdr:col>
      <xdr:colOff>114300</xdr:colOff>
      <xdr:row>20</xdr:row>
      <xdr:rowOff>190500</xdr:rowOff>
    </xdr:from>
    <xdr:to>
      <xdr:col>6</xdr:col>
      <xdr:colOff>419100</xdr:colOff>
      <xdr:row>23</xdr:row>
      <xdr:rowOff>0</xdr:rowOff>
    </xdr:to>
    <xdr:sp macro="" textlink="">
      <xdr:nvSpPr>
        <xdr:cNvPr id="11" name="WordArt 19">
          <a:extLst>
            <a:ext uri="{FF2B5EF4-FFF2-40B4-BE49-F238E27FC236}">
              <a16:creationId xmlns:a16="http://schemas.microsoft.com/office/drawing/2014/main" id="{00000000-0008-0000-0000-00000B000000}"/>
            </a:ext>
          </a:extLst>
        </xdr:cNvPr>
        <xdr:cNvSpPr>
          <a:spLocks noChangeArrowheads="1" noChangeShapeType="1" noTextEdit="1"/>
        </xdr:cNvSpPr>
      </xdr:nvSpPr>
      <xdr:spPr bwMode="auto">
        <a:xfrm>
          <a:off x="5935980" y="1188720"/>
          <a:ext cx="304800" cy="502920"/>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781D0A"/>
              </a:solidFill>
              <a:effectLst>
                <a:outerShdw dist="35921" dir="2700000" sy="50000" kx="2115830" algn="bl" rotWithShape="0">
                  <a:srgbClr val="C0C0C0">
                    <a:alpha val="80000"/>
                  </a:srgbClr>
                </a:outerShdw>
              </a:effectLst>
              <a:latin typeface="Arial Black"/>
            </a:rPr>
            <a:t>6</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dhakar.chavan/Downloads/raid-log-templat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arshvardhan.parasha\Downloads\Project%20Plan%20(1).xlsx" TargetMode="External"/><Relationship Id="rId1" Type="http://schemas.openxmlformats.org/officeDocument/2006/relationships/externalLinkPath" Target="/Users/harshvardhan.parasha/Downloads/Project%20Plan%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POC\TATA%20AIG\Updated%20Docs\Project%20Plan%20-%20TATA%20AI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dvlomos01:11942/Governance/Optimize%20IT/SBS%20-%20PM%20Lite%20Feb%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D"/>
      <sheetName val="Risks"/>
      <sheetName val="Assumptions"/>
      <sheetName val="Issues"/>
      <sheetName val="Dependencies"/>
      <sheetName val="Data"/>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cope"/>
      <sheetName val="1. Project Details"/>
      <sheetName val="Hidden"/>
      <sheetName val="2. Planning"/>
      <sheetName val="3. Task Monitoring"/>
      <sheetName val="4. Risk"/>
      <sheetName val="5. Assumptions"/>
      <sheetName val="6. Issue Log"/>
      <sheetName val="7. Dependencies"/>
      <sheetName val="8. Meeting Notes"/>
      <sheetName val="9. Estimation"/>
      <sheetName val="HiddenWkly"/>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 Project Details"/>
      <sheetName val="2. Planning"/>
      <sheetName val="Sheet3"/>
      <sheetName val="Sheet1"/>
      <sheetName val="3A. Plan for First 2 Weeks"/>
      <sheetName val="3. Task Monitoring"/>
      <sheetName val="3. Task Monitoring Updated"/>
      <sheetName val="Project Plan Deviation"/>
      <sheetName val="4. Risk"/>
      <sheetName val="5. Assumptions"/>
      <sheetName val="6. Issue Log"/>
      <sheetName val="7. Dependencies"/>
      <sheetName val="8. Meeting Notes"/>
      <sheetName val="Daily Status Format"/>
      <sheetName val="9. Estimation"/>
      <sheetName val="Sheet2"/>
      <sheetName val="5. Reporting"/>
      <sheetName val="Hidden"/>
      <sheetName val="HiddenWkly"/>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S Forecast"/>
      <sheetName val="Milestones"/>
      <sheetName val="Module 1 - Process Overview"/>
      <sheetName val="Module 2 - Initiate Proj"/>
      <sheetName val="Module 3 - Put Plan Together"/>
      <sheetName val="Module 4 - Manage The Proj"/>
      <sheetName val="Module 5 - Close Proj"/>
    </sheetNames>
  </externalBook>
</externalLink>
</file>

<file path=xl/persons/person.xml><?xml version="1.0" encoding="utf-8"?>
<personList xmlns="http://schemas.microsoft.com/office/spreadsheetml/2018/threadedcomments" xmlns:x="http://schemas.openxmlformats.org/spreadsheetml/2006/main">
  <person displayName="Harshvardhan Parashar" id="{C7E6D9E0-C017-4264-A17C-03FA4EF2477A}" userId="S::harshvardhan.parashar@exponentia.ai::ad26acb9-87b9-43e9-8a93-ac23f1724e6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781D0A"/>
        </a:solidFill>
        <a:ln w="9525" cap="flat" cmpd="sng" algn="ctr">
          <a:solidFill>
            <a:srgbClr val="000000"/>
          </a:solidFill>
          <a:prstDash val="solid"/>
          <a:round/>
          <a:headEnd type="none" w="med" len="med"/>
          <a:tailEnd type="none" w="med" len="med"/>
        </a:ln>
        <a:effectLst>
          <a:outerShdw dist="35921" dir="2700000" sy="50000" kx="2115830" algn="bl" rotWithShape="0">
            <a:srgbClr val="C0C0C0">
              <a:alpha val="80000"/>
            </a:srgbClr>
          </a:outerShdw>
        </a:effectLst>
      </a:spPr>
      <a:bodyPr vertOverflow="clip" wrap="square" lIns="18288" tIns="0" rIns="0" bIns="0" upright="1"/>
      <a:lstStyle/>
    </a:spDef>
    <a:lnDef>
      <a:spPr bwMode="auto">
        <a:xfrm>
          <a:off x="0" y="0"/>
          <a:ext cx="1" cy="1"/>
        </a:xfrm>
        <a:custGeom>
          <a:avLst/>
          <a:gdLst/>
          <a:ahLst/>
          <a:cxnLst/>
          <a:rect l="0" t="0" r="0" b="0"/>
          <a:pathLst/>
        </a:custGeom>
        <a:solidFill>
          <a:srgbClr val="781D0A"/>
        </a:solidFill>
        <a:ln w="9525" cap="flat" cmpd="sng" algn="ctr">
          <a:solidFill>
            <a:srgbClr val="000000"/>
          </a:solidFill>
          <a:prstDash val="solid"/>
          <a:round/>
          <a:headEnd type="none" w="med" len="med"/>
          <a:tailEnd type="none" w="med" len="med"/>
        </a:ln>
        <a:effectLst>
          <a:outerShdw dist="35921" dir="2700000" sy="50000" kx="2115830" algn="bl" rotWithShape="0">
            <a:srgbClr val="C0C0C0">
              <a:alpha val="80000"/>
            </a:srgbClr>
          </a:outerShdw>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3" dT="2024-07-26T05:56:07.91" personId="{C7E6D9E0-C017-4264-A17C-03FA4EF2477A}" id="{0AFD4943-F749-4EC7-9AF9-FE3C32C38C00}">
    <text xml:space="preserve">Need to have discussion with Farhan 
</text>
  </threadedComment>
  <threadedComment ref="C114" dT="2024-07-26T06:11:34.08" personId="{C7E6D9E0-C017-4264-A17C-03FA4EF2477A}" id="{7439AE11-6CC9-4BB3-9CB9-9DE89270C032}">
    <text xml:space="preserve">Discussion with Imran, mention the steps to define structure of ADLS-Gen2
</text>
  </threadedComment>
  <threadedComment ref="B138" dT="2024-07-26T06:13:48.13" personId="{C7E6D9E0-C017-4264-A17C-03FA4EF2477A}" id="{65663EC4-CA94-41BC-BCCB-353B20EA10BE}">
    <text xml:space="preserve">Discussion with Farhan 
</text>
  </threadedComment>
  <threadedComment ref="C157" dT="2024-07-26T06:11:34.08" personId="{C7E6D9E0-C017-4264-A17C-03FA4EF2477A}" id="{3E38866A-682A-42EF-A363-2D584A33B33D}">
    <text xml:space="preserve">Discussion with Imran, mention the steps to define structure of ADLS-Gen2
</text>
  </threadedComment>
  <threadedComment ref="C199" dT="2024-07-26T06:11:34.08" personId="{C7E6D9E0-C017-4264-A17C-03FA4EF2477A}" id="{F4883523-7FA2-4D24-8D3E-E0AD0F253882}">
    <text xml:space="preserve">Discussion with Imran, mention the steps to define structure of ADLS-Gen2
</text>
  </threadedComment>
  <threadedComment ref="B223" dT="2024-07-26T06:13:48.13" personId="{C7E6D9E0-C017-4264-A17C-03FA4EF2477A}" id="{E0F3B0EC-707C-4792-8252-C133A9468690}">
    <text xml:space="preserve">Discussion with Farhan 
</text>
  </threadedComment>
  <threadedComment ref="C241" dT="2024-07-26T06:11:34.08" personId="{C7E6D9E0-C017-4264-A17C-03FA4EF2477A}" id="{B103DD25-AA52-4B97-A366-754B33C1DFD1}">
    <text xml:space="preserve">Discussion with Imran, mention the steps to define structure of ADLS-Gen2
</text>
  </threadedComment>
  <threadedComment ref="B265" dT="2024-07-26T06:13:48.13" personId="{C7E6D9E0-C017-4264-A17C-03FA4EF2477A}" id="{93D7783F-3CF3-4F96-8113-A7FF8124AD01}">
    <text xml:space="preserve">Discussion with Farhan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W179"/>
  <sheetViews>
    <sheetView showGridLines="0" topLeftCell="B1" zoomScale="70" zoomScaleNormal="70" workbookViewId="0">
      <selection activeCell="C2" sqref="C2"/>
    </sheetView>
  </sheetViews>
  <sheetFormatPr defaultRowHeight="13.2"/>
  <cols>
    <col min="1" max="1" width="2.88671875" customWidth="1"/>
    <col min="2" max="2" width="7" customWidth="1"/>
    <col min="3" max="3" width="16.88671875" customWidth="1"/>
    <col min="4" max="4" width="26.88671875" customWidth="1"/>
    <col min="5" max="5" width="16.88671875" customWidth="1"/>
    <col min="6" max="6" width="15" customWidth="1"/>
    <col min="7" max="7" width="7" customWidth="1"/>
    <col min="8" max="8" width="16.88671875" customWidth="1"/>
    <col min="9" max="9" width="26.88671875" customWidth="1"/>
    <col min="10" max="10" width="16.88671875" style="4" customWidth="1"/>
    <col min="11" max="11" width="15.88671875" style="4" customWidth="1"/>
    <col min="12" max="12" width="25" customWidth="1"/>
    <col min="13" max="13" width="28.5546875" style="4" customWidth="1"/>
    <col min="14" max="14" width="28.5546875" customWidth="1"/>
    <col min="15" max="15" width="21.44140625" style="4" customWidth="1"/>
  </cols>
  <sheetData>
    <row r="3" spans="2:23" ht="30" customHeight="1">
      <c r="B3" s="1"/>
      <c r="J3"/>
      <c r="K3"/>
      <c r="M3"/>
      <c r="O3"/>
      <c r="Q3" s="9"/>
    </row>
    <row r="4" spans="2:23">
      <c r="B4" s="367" t="s">
        <v>0</v>
      </c>
      <c r="C4" s="367"/>
      <c r="D4" s="367"/>
      <c r="E4" s="367"/>
      <c r="F4" s="367"/>
      <c r="G4" s="367"/>
      <c r="H4" s="367"/>
      <c r="I4" s="367"/>
      <c r="J4" s="367"/>
      <c r="K4" s="17"/>
      <c r="L4" s="17"/>
      <c r="M4" s="17"/>
      <c r="N4" s="17"/>
      <c r="O4" s="17"/>
    </row>
    <row r="5" spans="2:23" ht="8.1" customHeight="1">
      <c r="B5" s="367"/>
      <c r="C5" s="367"/>
      <c r="D5" s="367"/>
      <c r="E5" s="367"/>
      <c r="F5" s="367"/>
      <c r="G5" s="367"/>
      <c r="H5" s="367"/>
      <c r="I5" s="367"/>
      <c r="J5" s="367"/>
      <c r="K5" s="17"/>
      <c r="L5" s="17"/>
      <c r="M5" s="17"/>
      <c r="N5" s="17"/>
      <c r="O5" s="17"/>
    </row>
    <row r="6" spans="2:23">
      <c r="B6" s="368" t="s">
        <v>1</v>
      </c>
      <c r="C6" s="369"/>
      <c r="D6" s="369"/>
      <c r="E6" s="369"/>
      <c r="F6" s="369"/>
      <c r="G6" s="369"/>
      <c r="H6" s="369"/>
      <c r="I6" s="369"/>
      <c r="J6" s="369"/>
      <c r="K6" s="7"/>
      <c r="L6" s="7"/>
      <c r="M6" s="7"/>
    </row>
    <row r="7" spans="2:23" ht="20.25" customHeight="1" thickBot="1">
      <c r="C7" s="70"/>
      <c r="D7" s="70"/>
      <c r="E7" s="70"/>
      <c r="F7" s="70"/>
      <c r="G7" s="70"/>
      <c r="H7" s="70"/>
      <c r="I7" s="70"/>
      <c r="J7" s="70"/>
      <c r="K7" s="70"/>
      <c r="L7" s="70"/>
      <c r="M7" s="70"/>
      <c r="N7" s="70"/>
      <c r="O7" s="70"/>
      <c r="P7" s="70"/>
      <c r="Q7" s="70"/>
      <c r="R7" s="70"/>
      <c r="S7" s="70"/>
      <c r="T7" s="70"/>
      <c r="U7" s="70"/>
      <c r="V7" s="8"/>
      <c r="W7" s="8"/>
    </row>
    <row r="8" spans="2:23" ht="21" customHeight="1" thickBot="1">
      <c r="C8" s="362" t="s">
        <v>2</v>
      </c>
      <c r="D8" s="363"/>
      <c r="E8" s="364"/>
      <c r="F8" s="70"/>
      <c r="G8" s="70"/>
      <c r="H8" s="362" t="s">
        <v>3</v>
      </c>
      <c r="I8" s="363"/>
      <c r="J8" s="364"/>
      <c r="K8" s="70"/>
      <c r="L8" s="70"/>
      <c r="M8" s="70"/>
      <c r="N8" s="70"/>
      <c r="O8" s="70"/>
      <c r="P8" s="70"/>
      <c r="Q8" s="70"/>
      <c r="R8" s="70"/>
      <c r="S8" s="70"/>
      <c r="T8" s="70"/>
      <c r="U8" s="70"/>
      <c r="V8" s="8"/>
      <c r="W8" s="8"/>
    </row>
    <row r="9" spans="2:23" ht="13.8" thickBot="1">
      <c r="C9" s="71"/>
      <c r="D9" s="72"/>
      <c r="E9" s="73"/>
      <c r="F9" s="70"/>
      <c r="G9" s="70"/>
      <c r="H9" s="71"/>
      <c r="I9" s="72"/>
      <c r="J9" s="73"/>
      <c r="K9" s="70"/>
      <c r="L9" s="70"/>
      <c r="M9" s="70"/>
      <c r="N9" s="70"/>
      <c r="O9" s="70"/>
      <c r="P9" s="70"/>
      <c r="Q9" s="70"/>
      <c r="R9" s="70"/>
      <c r="S9" s="70"/>
      <c r="T9" s="70"/>
      <c r="U9" s="70"/>
      <c r="V9" s="8"/>
      <c r="W9" s="8"/>
    </row>
    <row r="10" spans="2:23" ht="13.8" thickTop="1">
      <c r="C10" s="74"/>
      <c r="D10" s="360" t="s">
        <v>4</v>
      </c>
      <c r="E10" s="75"/>
      <c r="F10" s="70"/>
      <c r="G10" s="70"/>
      <c r="H10" s="74"/>
      <c r="I10" s="360" t="s">
        <v>5</v>
      </c>
      <c r="J10" s="75"/>
      <c r="K10" s="70"/>
      <c r="L10" s="70"/>
      <c r="M10" s="70"/>
      <c r="N10" s="70"/>
      <c r="O10" s="70"/>
      <c r="P10" s="70"/>
      <c r="Q10" s="70"/>
      <c r="R10" s="70"/>
      <c r="S10" s="70"/>
      <c r="T10" s="70"/>
      <c r="U10" s="70"/>
      <c r="V10" s="8"/>
      <c r="W10" s="8"/>
    </row>
    <row r="11" spans="2:23" ht="13.8" thickBot="1">
      <c r="C11" s="74"/>
      <c r="D11" s="361"/>
      <c r="E11" s="75"/>
      <c r="F11" s="70"/>
      <c r="G11" s="70"/>
      <c r="H11" s="74"/>
      <c r="I11" s="361"/>
      <c r="J11" s="75"/>
      <c r="K11" s="70"/>
      <c r="L11" s="70"/>
      <c r="M11" s="70"/>
      <c r="N11" s="70"/>
      <c r="O11" s="70"/>
      <c r="P11" s="70"/>
      <c r="Q11" s="70"/>
      <c r="R11" s="70"/>
      <c r="S11" s="70"/>
      <c r="T11" s="70"/>
      <c r="U11" s="70"/>
      <c r="V11" s="8"/>
      <c r="W11" s="8"/>
    </row>
    <row r="12" spans="2:23" ht="14.4" thickTop="1" thickBot="1">
      <c r="C12" s="76"/>
      <c r="D12" s="77"/>
      <c r="E12" s="78"/>
      <c r="F12" s="70"/>
      <c r="G12" s="70"/>
      <c r="H12" s="76"/>
      <c r="I12" s="77"/>
      <c r="J12" s="78"/>
      <c r="K12" s="70"/>
      <c r="L12" s="70"/>
      <c r="M12" s="70"/>
      <c r="N12" s="70"/>
      <c r="O12" s="70"/>
      <c r="P12" s="70"/>
      <c r="Q12" s="70"/>
      <c r="R12" s="70"/>
      <c r="S12" s="70"/>
      <c r="T12" s="70"/>
      <c r="U12" s="70"/>
      <c r="V12" s="8"/>
      <c r="W12" s="8"/>
    </row>
    <row r="13" spans="2:23">
      <c r="C13" s="70"/>
      <c r="D13" s="70"/>
      <c r="E13" s="70"/>
      <c r="F13" s="70"/>
      <c r="G13" s="70"/>
      <c r="H13" s="70"/>
      <c r="I13" s="70"/>
      <c r="J13" s="70"/>
      <c r="K13" s="70"/>
      <c r="L13" s="70"/>
      <c r="M13" s="70"/>
      <c r="N13" s="70"/>
      <c r="O13" s="70"/>
      <c r="P13" s="70"/>
      <c r="Q13" s="70"/>
      <c r="R13" s="70"/>
      <c r="S13" s="70"/>
      <c r="T13" s="70"/>
      <c r="U13" s="70"/>
      <c r="V13" s="8"/>
      <c r="W13" s="8"/>
    </row>
    <row r="14" spans="2:23" ht="13.8" thickBot="1">
      <c r="C14" s="70"/>
      <c r="D14" s="70"/>
      <c r="E14" s="70"/>
      <c r="F14" s="70"/>
      <c r="G14" s="70"/>
      <c r="H14" s="70"/>
      <c r="I14" s="70"/>
      <c r="J14" s="70"/>
      <c r="K14" s="70"/>
      <c r="L14" s="70"/>
      <c r="M14" s="70"/>
      <c r="N14" s="70"/>
      <c r="O14" s="70"/>
      <c r="P14" s="70"/>
      <c r="Q14" s="70"/>
      <c r="R14" s="70"/>
      <c r="S14" s="70"/>
      <c r="T14" s="70"/>
      <c r="U14" s="70"/>
      <c r="V14" s="8"/>
      <c r="W14" s="8"/>
    </row>
    <row r="15" spans="2:23" ht="21" customHeight="1" thickBot="1">
      <c r="C15" s="362" t="s">
        <v>6</v>
      </c>
      <c r="D15" s="365"/>
      <c r="E15" s="366"/>
      <c r="F15" s="70"/>
      <c r="G15" s="70"/>
      <c r="H15" s="362" t="s">
        <v>7</v>
      </c>
      <c r="I15" s="363"/>
      <c r="J15" s="364"/>
      <c r="K15" s="70"/>
      <c r="L15" s="70"/>
      <c r="M15" s="70"/>
      <c r="N15" s="70"/>
      <c r="O15" s="70"/>
      <c r="P15" s="70"/>
      <c r="Q15" s="70"/>
      <c r="R15" s="70"/>
      <c r="S15" s="70"/>
      <c r="T15" s="70"/>
      <c r="U15" s="70"/>
      <c r="V15" s="8"/>
      <c r="W15" s="8"/>
    </row>
    <row r="16" spans="2:23" ht="13.8" thickBot="1">
      <c r="C16" s="74"/>
      <c r="D16" s="79"/>
      <c r="E16" s="75"/>
      <c r="F16" s="70"/>
      <c r="G16" s="70"/>
      <c r="H16" s="74"/>
      <c r="I16" s="79"/>
      <c r="J16" s="75"/>
      <c r="K16" s="70"/>
      <c r="L16" s="70"/>
      <c r="M16" s="70"/>
      <c r="N16" s="70"/>
      <c r="O16" s="70"/>
      <c r="P16" s="70"/>
      <c r="Q16" s="70"/>
      <c r="R16" s="70"/>
      <c r="S16" s="70"/>
      <c r="T16" s="70"/>
      <c r="U16" s="70"/>
      <c r="V16" s="8"/>
      <c r="W16" s="8"/>
    </row>
    <row r="17" spans="3:23" ht="13.8" thickTop="1">
      <c r="C17" s="74"/>
      <c r="D17" s="360" t="s">
        <v>8</v>
      </c>
      <c r="E17" s="75"/>
      <c r="F17" s="70"/>
      <c r="G17" s="70"/>
      <c r="H17" s="74"/>
      <c r="I17" s="360" t="s">
        <v>9</v>
      </c>
      <c r="J17" s="75"/>
      <c r="K17" s="70"/>
      <c r="L17" s="70"/>
      <c r="M17" s="70"/>
      <c r="N17" s="70"/>
      <c r="O17" s="70"/>
      <c r="P17" s="70"/>
      <c r="Q17" s="70"/>
      <c r="R17" s="70"/>
      <c r="S17" s="70"/>
      <c r="T17" s="70"/>
      <c r="U17" s="70"/>
      <c r="V17" s="8"/>
      <c r="W17" s="8"/>
    </row>
    <row r="18" spans="3:23" ht="13.8" thickBot="1">
      <c r="C18" s="74"/>
      <c r="D18" s="361"/>
      <c r="E18" s="75"/>
      <c r="F18" s="70"/>
      <c r="G18" s="70"/>
      <c r="H18" s="74"/>
      <c r="I18" s="361"/>
      <c r="J18" s="75"/>
      <c r="K18" s="70"/>
      <c r="L18" s="70"/>
      <c r="M18" s="70"/>
      <c r="N18" s="70"/>
      <c r="O18" s="70"/>
      <c r="P18" s="70"/>
      <c r="Q18" s="70"/>
      <c r="R18" s="70"/>
      <c r="S18" s="70"/>
      <c r="T18" s="70"/>
      <c r="U18" s="70"/>
      <c r="V18" s="8"/>
      <c r="W18" s="8"/>
    </row>
    <row r="19" spans="3:23" ht="14.4" thickTop="1" thickBot="1">
      <c r="C19" s="76"/>
      <c r="D19" s="77"/>
      <c r="E19" s="78"/>
      <c r="F19" s="70"/>
      <c r="G19" s="70"/>
      <c r="H19" s="76"/>
      <c r="I19" s="77"/>
      <c r="J19" s="78"/>
      <c r="K19" s="70"/>
      <c r="L19" s="70"/>
      <c r="M19" s="70"/>
      <c r="N19" s="70"/>
      <c r="O19" s="70"/>
      <c r="P19" s="70"/>
      <c r="Q19" s="70"/>
      <c r="R19" s="70"/>
      <c r="S19" s="70"/>
      <c r="T19" s="70"/>
      <c r="U19" s="70"/>
      <c r="V19" s="8"/>
      <c r="W19" s="8"/>
    </row>
    <row r="20" spans="3:23">
      <c r="C20" s="70"/>
      <c r="D20" s="70"/>
      <c r="E20" s="70"/>
      <c r="F20" s="70"/>
      <c r="G20" s="70"/>
      <c r="H20" s="70"/>
      <c r="I20" s="70"/>
      <c r="J20" s="70"/>
      <c r="K20" s="70"/>
      <c r="L20" s="70"/>
      <c r="M20" s="70"/>
      <c r="N20" s="70"/>
      <c r="O20" s="70"/>
      <c r="P20" s="70"/>
      <c r="Q20" s="70"/>
      <c r="R20" s="70"/>
      <c r="S20" s="70"/>
      <c r="T20" s="70"/>
      <c r="U20" s="70"/>
      <c r="V20" s="8"/>
      <c r="W20" s="8"/>
    </row>
    <row r="21" spans="3:23" ht="20.25" customHeight="1" thickBot="1">
      <c r="C21" s="70"/>
      <c r="D21" s="70"/>
      <c r="E21" s="70"/>
      <c r="F21" s="70"/>
      <c r="G21" s="70"/>
      <c r="H21" s="70"/>
      <c r="I21" s="70"/>
      <c r="J21" s="70"/>
      <c r="K21" s="70"/>
      <c r="L21" s="70"/>
      <c r="M21" s="70"/>
      <c r="N21" s="70"/>
      <c r="O21" s="70"/>
      <c r="P21" s="70"/>
      <c r="Q21" s="70"/>
      <c r="R21" s="70"/>
      <c r="S21" s="70"/>
      <c r="T21" s="70"/>
      <c r="U21" s="70"/>
      <c r="V21" s="8"/>
      <c r="W21" s="8"/>
    </row>
    <row r="22" spans="3:23" ht="21" customHeight="1" thickBot="1">
      <c r="C22" s="362" t="s">
        <v>10</v>
      </c>
      <c r="D22" s="363"/>
      <c r="E22" s="364"/>
      <c r="F22" s="70"/>
      <c r="G22" s="70"/>
      <c r="H22" s="362" t="s">
        <v>11</v>
      </c>
      <c r="I22" s="363"/>
      <c r="J22" s="364"/>
      <c r="K22" s="70"/>
      <c r="L22" s="70"/>
      <c r="M22" s="70"/>
      <c r="N22" s="70"/>
      <c r="O22" s="70"/>
      <c r="P22" s="70"/>
      <c r="Q22" s="70"/>
      <c r="R22" s="70"/>
      <c r="S22" s="70"/>
      <c r="T22" s="70"/>
      <c r="U22" s="70"/>
      <c r="V22" s="8"/>
      <c r="W22" s="8"/>
    </row>
    <row r="23" spans="3:23" ht="13.8" thickBot="1">
      <c r="C23" s="71"/>
      <c r="D23" s="72"/>
      <c r="E23" s="73"/>
      <c r="F23" s="70"/>
      <c r="G23" s="70"/>
      <c r="H23" s="71"/>
      <c r="I23" s="72"/>
      <c r="J23" s="73"/>
      <c r="K23" s="70"/>
      <c r="L23" s="70"/>
      <c r="M23" s="70"/>
      <c r="N23" s="70"/>
      <c r="O23" s="70"/>
      <c r="P23" s="70"/>
      <c r="Q23" s="70"/>
      <c r="R23" s="70"/>
      <c r="S23" s="70"/>
      <c r="T23" s="70"/>
      <c r="U23" s="70"/>
      <c r="V23" s="8"/>
      <c r="W23" s="8"/>
    </row>
    <row r="24" spans="3:23" ht="13.8" thickTop="1">
      <c r="C24" s="74"/>
      <c r="D24" s="360" t="s">
        <v>12</v>
      </c>
      <c r="E24" s="75"/>
      <c r="F24" s="70"/>
      <c r="G24" s="70"/>
      <c r="H24" s="74"/>
      <c r="I24" s="360" t="s">
        <v>13</v>
      </c>
      <c r="J24" s="75"/>
      <c r="K24" s="70"/>
      <c r="L24" s="70"/>
      <c r="M24" s="70"/>
      <c r="N24" s="70"/>
      <c r="O24" s="70"/>
      <c r="P24" s="70"/>
      <c r="Q24" s="70"/>
      <c r="R24" s="70"/>
      <c r="S24" s="70"/>
      <c r="T24" s="70"/>
      <c r="U24" s="70"/>
      <c r="V24" s="8"/>
      <c r="W24" s="8"/>
    </row>
    <row r="25" spans="3:23" ht="13.8" thickBot="1">
      <c r="C25" s="74"/>
      <c r="D25" s="361"/>
      <c r="E25" s="75"/>
      <c r="F25" s="70"/>
      <c r="G25" s="70"/>
      <c r="H25" s="74"/>
      <c r="I25" s="361"/>
      <c r="J25" s="75"/>
      <c r="K25" s="70"/>
      <c r="L25" s="70"/>
      <c r="M25" s="70"/>
      <c r="N25" s="70"/>
      <c r="O25" s="70"/>
      <c r="P25" s="70"/>
      <c r="Q25" s="70"/>
      <c r="R25" s="70"/>
      <c r="S25" s="70"/>
      <c r="T25" s="70"/>
      <c r="U25" s="70"/>
      <c r="V25" s="8"/>
      <c r="W25" s="8"/>
    </row>
    <row r="26" spans="3:23" ht="14.4" thickTop="1" thickBot="1">
      <c r="C26" s="76"/>
      <c r="D26" s="77"/>
      <c r="E26" s="78"/>
      <c r="F26" s="70"/>
      <c r="G26" s="70"/>
      <c r="H26" s="76"/>
      <c r="I26" s="77"/>
      <c r="J26" s="78"/>
      <c r="K26" s="70"/>
      <c r="L26" s="70"/>
      <c r="M26" s="70"/>
      <c r="N26" s="70"/>
      <c r="O26" s="70"/>
      <c r="P26" s="70"/>
      <c r="Q26" s="70"/>
      <c r="R26" s="70"/>
      <c r="S26" s="70"/>
      <c r="T26" s="70"/>
      <c r="U26" s="70"/>
      <c r="V26" s="8"/>
      <c r="W26" s="8"/>
    </row>
    <row r="27" spans="3:23">
      <c r="C27" s="70"/>
      <c r="D27" s="70"/>
      <c r="E27" s="70"/>
      <c r="F27" s="70"/>
      <c r="G27" s="70"/>
      <c r="H27" s="70"/>
      <c r="I27" s="70"/>
      <c r="J27" s="70"/>
      <c r="K27" s="70"/>
      <c r="L27" s="70"/>
      <c r="M27" s="70"/>
      <c r="N27" s="70"/>
      <c r="O27" s="70"/>
      <c r="P27" s="70"/>
      <c r="Q27" s="70"/>
      <c r="R27" s="70"/>
      <c r="S27" s="70"/>
      <c r="T27" s="70"/>
      <c r="U27" s="70"/>
      <c r="V27" s="8"/>
      <c r="W27" s="8"/>
    </row>
    <row r="28" spans="3:23" ht="13.8" thickBot="1">
      <c r="C28" s="70"/>
      <c r="D28" s="70"/>
      <c r="E28" s="70"/>
      <c r="F28" s="70"/>
      <c r="G28" s="70"/>
      <c r="H28" s="70"/>
      <c r="I28" s="70"/>
      <c r="J28" s="70"/>
      <c r="K28" s="70"/>
      <c r="L28" s="70"/>
      <c r="M28" s="70"/>
      <c r="N28" s="70"/>
      <c r="O28" s="70"/>
      <c r="P28" s="70"/>
      <c r="Q28" s="70"/>
      <c r="R28" s="70"/>
      <c r="S28" s="70"/>
      <c r="T28" s="70"/>
      <c r="U28" s="70"/>
      <c r="V28" s="8"/>
      <c r="W28" s="8"/>
    </row>
    <row r="29" spans="3:23" ht="21" customHeight="1" thickBot="1">
      <c r="C29" s="362" t="s">
        <v>14</v>
      </c>
      <c r="D29" s="365"/>
      <c r="E29" s="366"/>
      <c r="F29" s="70"/>
      <c r="G29" s="70"/>
      <c r="H29" s="362" t="s">
        <v>15</v>
      </c>
      <c r="I29" s="363"/>
      <c r="J29" s="364"/>
      <c r="K29" s="70"/>
      <c r="L29" s="70"/>
      <c r="M29" s="70"/>
      <c r="N29" s="70"/>
      <c r="O29" s="70"/>
      <c r="P29" s="70"/>
      <c r="Q29" s="70"/>
      <c r="R29" s="70"/>
      <c r="S29" s="70"/>
      <c r="T29" s="70"/>
      <c r="U29" s="70"/>
      <c r="V29" s="8"/>
      <c r="W29" s="8"/>
    </row>
    <row r="30" spans="3:23" ht="13.8" thickBot="1">
      <c r="C30" s="74"/>
      <c r="D30" s="79"/>
      <c r="E30" s="75"/>
      <c r="F30" s="70"/>
      <c r="G30" s="70"/>
      <c r="H30" s="74"/>
      <c r="I30" s="79"/>
      <c r="J30" s="75"/>
      <c r="K30" s="70"/>
      <c r="L30" s="70"/>
      <c r="M30" s="70"/>
      <c r="N30" s="70"/>
      <c r="O30" s="70"/>
      <c r="P30" s="70"/>
      <c r="Q30" s="70"/>
      <c r="R30" s="70"/>
      <c r="S30" s="70"/>
      <c r="T30" s="70"/>
      <c r="U30" s="70"/>
      <c r="V30" s="8"/>
      <c r="W30" s="8"/>
    </row>
    <row r="31" spans="3:23" ht="13.8" thickTop="1">
      <c r="C31" s="74"/>
      <c r="D31" s="360" t="s">
        <v>16</v>
      </c>
      <c r="E31" s="75"/>
      <c r="F31" s="70"/>
      <c r="G31" s="70"/>
      <c r="H31" s="74"/>
      <c r="I31" s="360" t="s">
        <v>17</v>
      </c>
      <c r="J31" s="75"/>
      <c r="K31" s="70"/>
      <c r="L31" s="70"/>
      <c r="M31" s="70"/>
      <c r="N31" s="70"/>
      <c r="O31" s="70"/>
      <c r="P31" s="70"/>
      <c r="Q31" s="70"/>
      <c r="R31" s="70"/>
      <c r="S31" s="70"/>
      <c r="T31" s="70"/>
      <c r="U31" s="70"/>
      <c r="V31" s="8"/>
      <c r="W31" s="8"/>
    </row>
    <row r="32" spans="3:23" ht="13.8" thickBot="1">
      <c r="C32" s="74"/>
      <c r="D32" s="361"/>
      <c r="E32" s="75"/>
      <c r="F32" s="70"/>
      <c r="G32" s="70"/>
      <c r="H32" s="74"/>
      <c r="I32" s="361"/>
      <c r="J32" s="75"/>
      <c r="K32" s="70"/>
      <c r="L32" s="70"/>
      <c r="M32" s="70"/>
      <c r="N32" s="70"/>
      <c r="O32" s="70"/>
      <c r="P32" s="70"/>
      <c r="Q32" s="70"/>
      <c r="R32" s="70"/>
      <c r="S32" s="70"/>
      <c r="T32" s="70"/>
      <c r="U32" s="70"/>
      <c r="V32" s="8"/>
      <c r="W32" s="8"/>
    </row>
    <row r="33" spans="3:23" ht="14.4" thickTop="1" thickBot="1">
      <c r="C33" s="76"/>
      <c r="D33" s="77"/>
      <c r="E33" s="78"/>
      <c r="F33" s="70"/>
      <c r="G33" s="70"/>
      <c r="H33" s="76"/>
      <c r="I33" s="77"/>
      <c r="J33" s="78"/>
      <c r="K33" s="70"/>
      <c r="L33" s="70"/>
      <c r="M33" s="70"/>
      <c r="N33" s="70"/>
      <c r="O33" s="70"/>
      <c r="P33" s="70"/>
      <c r="Q33" s="70"/>
      <c r="R33" s="70"/>
      <c r="S33" s="70"/>
      <c r="T33" s="70"/>
      <c r="U33" s="70"/>
      <c r="V33" s="8"/>
      <c r="W33" s="8"/>
    </row>
    <row r="34" spans="3:23">
      <c r="C34" s="70"/>
      <c r="D34" s="70"/>
      <c r="E34" s="70"/>
      <c r="F34" s="70"/>
      <c r="G34" s="70"/>
      <c r="H34" s="70"/>
      <c r="I34" s="70"/>
      <c r="J34" s="70"/>
      <c r="K34" s="70"/>
      <c r="L34" s="70"/>
      <c r="M34" s="70"/>
      <c r="N34" s="70"/>
      <c r="O34" s="70"/>
      <c r="P34" s="70"/>
      <c r="Q34" s="70"/>
      <c r="R34" s="70"/>
      <c r="S34" s="70"/>
      <c r="T34" s="70"/>
      <c r="U34" s="70"/>
      <c r="V34" s="8"/>
      <c r="W34" s="8"/>
    </row>
    <row r="35" spans="3:23">
      <c r="C35" s="70"/>
      <c r="D35" s="70"/>
      <c r="E35" s="70"/>
      <c r="F35" s="70"/>
      <c r="G35" s="70"/>
      <c r="H35" s="70"/>
      <c r="I35" s="70"/>
      <c r="J35" s="70"/>
      <c r="K35" s="70"/>
      <c r="L35" s="70"/>
      <c r="M35" s="70"/>
      <c r="N35" s="70"/>
      <c r="O35" s="70"/>
      <c r="P35" s="70"/>
      <c r="Q35" s="70"/>
      <c r="R35" s="70"/>
      <c r="S35" s="70"/>
      <c r="T35" s="70"/>
      <c r="U35" s="70"/>
      <c r="V35" s="8"/>
      <c r="W35" s="8"/>
    </row>
    <row r="36" spans="3:23">
      <c r="C36" s="70"/>
      <c r="D36" s="70"/>
      <c r="E36" s="70"/>
      <c r="F36" s="70"/>
      <c r="G36" s="70"/>
      <c r="H36" s="70"/>
      <c r="I36" s="70"/>
      <c r="J36" s="70"/>
      <c r="K36" s="70"/>
      <c r="L36" s="70"/>
      <c r="M36" s="70"/>
      <c r="N36" s="70"/>
      <c r="O36" s="70"/>
      <c r="P36" s="70"/>
      <c r="Q36" s="70"/>
      <c r="R36" s="70"/>
      <c r="S36" s="70"/>
      <c r="T36" s="70"/>
      <c r="U36" s="70"/>
      <c r="V36" s="8"/>
      <c r="W36" s="8"/>
    </row>
    <row r="37" spans="3:23">
      <c r="C37" s="70"/>
      <c r="D37" s="70"/>
      <c r="E37" s="70"/>
      <c r="F37" s="70"/>
      <c r="G37" s="70"/>
      <c r="H37" s="70"/>
      <c r="I37" s="70"/>
      <c r="J37" s="70"/>
      <c r="K37" s="70"/>
      <c r="L37" s="70"/>
      <c r="M37" s="70"/>
      <c r="N37" s="70"/>
      <c r="O37" s="70"/>
      <c r="P37" s="70"/>
      <c r="Q37" s="70"/>
      <c r="R37" s="70"/>
      <c r="S37" s="70"/>
      <c r="T37" s="70"/>
      <c r="U37" s="70"/>
      <c r="V37" s="8"/>
      <c r="W37" s="8"/>
    </row>
    <row r="38" spans="3:23">
      <c r="C38" s="70"/>
      <c r="D38" s="70"/>
      <c r="E38" s="70"/>
      <c r="F38" s="70"/>
      <c r="G38" s="70"/>
      <c r="H38" s="70"/>
      <c r="I38" s="70"/>
      <c r="J38" s="70"/>
      <c r="K38" s="70"/>
      <c r="L38" s="70"/>
      <c r="M38" s="70"/>
      <c r="N38" s="70"/>
      <c r="O38" s="70"/>
      <c r="P38" s="70"/>
      <c r="Q38" s="70"/>
      <c r="R38" s="70"/>
      <c r="S38" s="70"/>
      <c r="T38" s="70"/>
      <c r="U38" s="70"/>
      <c r="V38" s="8"/>
      <c r="W38" s="8"/>
    </row>
    <row r="39" spans="3:23">
      <c r="C39" s="70"/>
      <c r="D39" s="70"/>
      <c r="E39" s="70"/>
      <c r="F39" s="70"/>
      <c r="G39" s="70"/>
      <c r="H39" s="70"/>
      <c r="I39" s="70"/>
      <c r="J39" s="70"/>
      <c r="K39" s="70"/>
      <c r="L39" s="70"/>
      <c r="M39" s="70"/>
      <c r="N39" s="70"/>
      <c r="O39" s="70"/>
      <c r="P39" s="70"/>
      <c r="Q39" s="70"/>
      <c r="R39" s="70"/>
      <c r="S39" s="70"/>
      <c r="T39" s="70"/>
      <c r="U39" s="70"/>
      <c r="V39" s="8"/>
      <c r="W39" s="8"/>
    </row>
    <row r="40" spans="3:23">
      <c r="C40" s="70"/>
      <c r="D40" s="70"/>
      <c r="E40" s="70"/>
      <c r="F40" s="70"/>
      <c r="G40" s="70"/>
      <c r="H40" s="70"/>
      <c r="I40" s="70"/>
      <c r="J40" s="70"/>
      <c r="K40" s="70"/>
      <c r="L40" s="70"/>
      <c r="M40" s="70"/>
      <c r="N40" s="70"/>
      <c r="O40" s="70"/>
      <c r="P40" s="70"/>
      <c r="Q40" s="70"/>
      <c r="R40" s="70"/>
      <c r="S40" s="70"/>
      <c r="T40" s="70"/>
      <c r="U40" s="70"/>
      <c r="V40" s="8"/>
      <c r="W40" s="8"/>
    </row>
    <row r="41" spans="3:23">
      <c r="C41" s="70"/>
      <c r="D41" s="70"/>
      <c r="E41" s="70"/>
      <c r="F41" s="70"/>
      <c r="G41" s="70"/>
      <c r="H41" s="70"/>
      <c r="I41" s="70"/>
      <c r="J41" s="70"/>
      <c r="K41" s="70"/>
      <c r="L41" s="70"/>
      <c r="M41" s="70"/>
      <c r="N41" s="70"/>
      <c r="O41" s="70"/>
      <c r="P41" s="70"/>
      <c r="Q41" s="70"/>
      <c r="R41" s="70"/>
      <c r="S41" s="70"/>
      <c r="T41" s="70"/>
      <c r="U41" s="70"/>
      <c r="V41" s="8"/>
      <c r="W41" s="8"/>
    </row>
    <row r="42" spans="3:23">
      <c r="C42" s="70"/>
      <c r="D42" s="70"/>
      <c r="E42" s="70"/>
      <c r="F42" s="70"/>
      <c r="G42" s="70"/>
      <c r="H42" s="70"/>
      <c r="I42" s="70"/>
      <c r="J42" s="70"/>
      <c r="K42" s="70"/>
      <c r="L42" s="70"/>
      <c r="M42" s="70"/>
      <c r="N42" s="70"/>
      <c r="O42" s="70"/>
      <c r="P42" s="70"/>
      <c r="Q42" s="70"/>
      <c r="R42" s="70"/>
      <c r="S42" s="70"/>
      <c r="T42" s="70"/>
      <c r="U42" s="70"/>
      <c r="V42" s="8"/>
      <c r="W42" s="8"/>
    </row>
    <row r="43" spans="3:23">
      <c r="C43" s="70"/>
      <c r="D43" s="70"/>
      <c r="E43" s="70"/>
      <c r="F43" s="70"/>
      <c r="G43" s="70"/>
      <c r="H43" s="70"/>
      <c r="I43" s="70"/>
      <c r="J43" s="70"/>
      <c r="K43" s="70"/>
      <c r="L43" s="70"/>
      <c r="M43" s="70"/>
      <c r="N43" s="70"/>
      <c r="O43" s="70"/>
      <c r="P43" s="70"/>
      <c r="Q43" s="70"/>
      <c r="R43" s="70"/>
      <c r="S43" s="70"/>
      <c r="T43" s="70"/>
      <c r="U43" s="70"/>
      <c r="V43" s="8"/>
      <c r="W43" s="8"/>
    </row>
    <row r="44" spans="3:23">
      <c r="C44" s="70"/>
      <c r="D44" s="70"/>
      <c r="E44" s="70"/>
      <c r="F44" s="70"/>
      <c r="G44" s="70"/>
      <c r="H44" s="70"/>
      <c r="I44" s="70"/>
      <c r="J44" s="70"/>
      <c r="K44" s="70"/>
      <c r="L44" s="70"/>
      <c r="M44" s="70"/>
      <c r="N44" s="70"/>
      <c r="O44" s="70"/>
      <c r="P44" s="70"/>
      <c r="Q44" s="70"/>
      <c r="R44" s="70"/>
      <c r="S44" s="70"/>
      <c r="T44" s="70"/>
      <c r="U44" s="70"/>
      <c r="V44" s="8"/>
      <c r="W44" s="8"/>
    </row>
    <row r="45" spans="3:23">
      <c r="C45" s="70"/>
      <c r="D45" s="70"/>
      <c r="E45" s="70"/>
      <c r="F45" s="70"/>
      <c r="G45" s="70"/>
      <c r="H45" s="70"/>
      <c r="I45" s="70"/>
      <c r="J45" s="70"/>
      <c r="K45" s="70"/>
      <c r="L45" s="70"/>
      <c r="M45" s="70"/>
      <c r="N45" s="70"/>
      <c r="O45" s="70"/>
      <c r="P45" s="70"/>
      <c r="Q45" s="70"/>
      <c r="R45" s="70"/>
      <c r="S45" s="70"/>
      <c r="T45" s="70"/>
      <c r="U45" s="70"/>
      <c r="V45" s="8"/>
      <c r="W45" s="8"/>
    </row>
    <row r="46" spans="3:23">
      <c r="C46" s="70"/>
      <c r="D46" s="70"/>
      <c r="E46" s="70"/>
      <c r="F46" s="70"/>
      <c r="G46" s="70"/>
      <c r="H46" s="70"/>
      <c r="I46" s="70"/>
      <c r="J46" s="70"/>
      <c r="K46" s="70"/>
      <c r="L46" s="70"/>
      <c r="M46" s="70"/>
      <c r="N46" s="70"/>
      <c r="O46" s="70"/>
      <c r="P46" s="70"/>
      <c r="Q46" s="70"/>
      <c r="R46" s="70"/>
      <c r="S46" s="70"/>
      <c r="T46" s="70"/>
      <c r="U46" s="70"/>
      <c r="V46" s="8"/>
      <c r="W46" s="8"/>
    </row>
    <row r="47" spans="3:23">
      <c r="C47" s="70"/>
      <c r="D47" s="70"/>
      <c r="E47" s="70"/>
      <c r="F47" s="70"/>
      <c r="G47" s="70"/>
      <c r="H47" s="70"/>
      <c r="I47" s="70"/>
      <c r="J47" s="70"/>
      <c r="K47" s="70"/>
      <c r="L47" s="70"/>
      <c r="M47" s="70"/>
      <c r="N47" s="70"/>
      <c r="O47" s="70"/>
      <c r="P47" s="70"/>
      <c r="Q47" s="70"/>
      <c r="R47" s="70"/>
      <c r="S47" s="70"/>
      <c r="T47" s="70"/>
      <c r="U47" s="70"/>
      <c r="V47" s="8"/>
      <c r="W47" s="8"/>
    </row>
    <row r="48" spans="3:23">
      <c r="C48" s="70"/>
      <c r="D48" s="70"/>
      <c r="E48" s="70"/>
      <c r="F48" s="70"/>
      <c r="G48" s="70"/>
      <c r="H48" s="70"/>
      <c r="I48" s="70"/>
      <c r="J48" s="70"/>
      <c r="K48" s="70"/>
      <c r="L48" s="70"/>
      <c r="M48" s="70"/>
      <c r="N48" s="70"/>
      <c r="O48" s="70"/>
      <c r="P48" s="70"/>
      <c r="Q48" s="70"/>
      <c r="R48" s="70"/>
      <c r="S48" s="70"/>
      <c r="T48" s="70"/>
      <c r="U48" s="70"/>
      <c r="V48" s="8"/>
      <c r="W48" s="8"/>
    </row>
    <row r="49" spans="3:23">
      <c r="C49" s="70"/>
      <c r="D49" s="70"/>
      <c r="E49" s="70"/>
      <c r="F49" s="70"/>
      <c r="G49" s="70"/>
      <c r="H49" s="70"/>
      <c r="I49" s="70"/>
      <c r="J49" s="70"/>
      <c r="K49" s="70"/>
      <c r="L49" s="70"/>
      <c r="M49" s="70"/>
      <c r="N49" s="70"/>
      <c r="O49" s="70"/>
      <c r="P49" s="70"/>
      <c r="Q49" s="70"/>
      <c r="R49" s="70"/>
      <c r="S49" s="70"/>
      <c r="T49" s="70"/>
      <c r="U49" s="70"/>
      <c r="V49" s="8"/>
      <c r="W49" s="8"/>
    </row>
    <row r="50" spans="3:23">
      <c r="C50" s="70"/>
      <c r="D50" s="70"/>
      <c r="E50" s="70"/>
      <c r="F50" s="70"/>
      <c r="G50" s="70"/>
      <c r="H50" s="70"/>
      <c r="I50" s="70"/>
      <c r="J50" s="70"/>
      <c r="K50" s="70"/>
      <c r="L50" s="70"/>
      <c r="M50" s="70"/>
      <c r="N50" s="70"/>
      <c r="O50" s="70"/>
      <c r="P50" s="70"/>
      <c r="Q50" s="70"/>
      <c r="R50" s="70"/>
      <c r="S50" s="70"/>
      <c r="T50" s="70"/>
      <c r="U50" s="70"/>
      <c r="V50" s="8"/>
      <c r="W50" s="8"/>
    </row>
    <row r="51" spans="3:23">
      <c r="C51" s="70"/>
      <c r="D51" s="70"/>
      <c r="E51" s="70"/>
      <c r="F51" s="70"/>
      <c r="G51" s="70"/>
      <c r="H51" s="70"/>
      <c r="I51" s="70"/>
      <c r="J51" s="70"/>
      <c r="K51" s="70"/>
      <c r="L51" s="70"/>
      <c r="M51" s="70"/>
      <c r="N51" s="70"/>
      <c r="O51" s="70"/>
      <c r="P51" s="70"/>
      <c r="Q51" s="70"/>
      <c r="R51" s="70"/>
      <c r="S51" s="70"/>
      <c r="T51" s="70"/>
      <c r="U51" s="70"/>
      <c r="V51" s="8"/>
      <c r="W51" s="8"/>
    </row>
    <row r="52" spans="3:23">
      <c r="C52" s="70"/>
      <c r="D52" s="70"/>
      <c r="E52" s="70"/>
      <c r="F52" s="70"/>
      <c r="G52" s="70"/>
      <c r="H52" s="70"/>
      <c r="I52" s="70"/>
      <c r="J52" s="70"/>
      <c r="K52" s="70"/>
      <c r="L52" s="70"/>
      <c r="M52" s="70"/>
      <c r="N52" s="70"/>
      <c r="O52" s="70"/>
      <c r="P52" s="70"/>
      <c r="Q52" s="70"/>
      <c r="R52" s="70"/>
      <c r="S52" s="70"/>
      <c r="T52" s="70"/>
      <c r="U52" s="70"/>
      <c r="V52" s="8"/>
      <c r="W52" s="8"/>
    </row>
    <row r="53" spans="3:23">
      <c r="C53" s="70"/>
      <c r="D53" s="70"/>
      <c r="E53" s="70"/>
      <c r="F53" s="70"/>
      <c r="G53" s="70"/>
      <c r="H53" s="70"/>
      <c r="I53" s="70"/>
      <c r="J53" s="70"/>
      <c r="K53" s="70"/>
      <c r="L53" s="70"/>
      <c r="M53" s="70"/>
      <c r="N53" s="70"/>
      <c r="O53" s="70"/>
      <c r="P53" s="70"/>
      <c r="Q53" s="70"/>
      <c r="R53" s="70"/>
      <c r="S53" s="70"/>
      <c r="T53" s="70"/>
      <c r="U53" s="70"/>
      <c r="V53" s="8"/>
      <c r="W53" s="8"/>
    </row>
    <row r="54" spans="3:23">
      <c r="C54" s="70"/>
      <c r="D54" s="70"/>
      <c r="E54" s="70"/>
      <c r="F54" s="70"/>
      <c r="G54" s="70"/>
      <c r="H54" s="70"/>
      <c r="I54" s="70"/>
      <c r="J54" s="70"/>
      <c r="K54" s="70"/>
      <c r="L54" s="70"/>
      <c r="M54" s="70"/>
      <c r="N54" s="70"/>
      <c r="O54" s="70"/>
      <c r="P54" s="70"/>
      <c r="Q54" s="70"/>
      <c r="R54" s="70"/>
      <c r="S54" s="70"/>
      <c r="T54" s="70"/>
      <c r="U54" s="70"/>
      <c r="V54" s="8"/>
      <c r="W54" s="8"/>
    </row>
    <row r="55" spans="3:23">
      <c r="C55" s="70"/>
      <c r="D55" s="70"/>
      <c r="E55" s="70"/>
      <c r="F55" s="70"/>
      <c r="G55" s="70"/>
      <c r="H55" s="70"/>
      <c r="I55" s="70"/>
      <c r="J55" s="70"/>
      <c r="K55" s="70"/>
      <c r="L55" s="70"/>
      <c r="M55" s="70"/>
      <c r="N55" s="70"/>
      <c r="O55" s="70"/>
      <c r="P55" s="70"/>
      <c r="Q55" s="70"/>
      <c r="R55" s="70"/>
      <c r="S55" s="70"/>
      <c r="T55" s="70"/>
      <c r="U55" s="70"/>
      <c r="V55" s="8"/>
      <c r="W55" s="8"/>
    </row>
    <row r="56" spans="3:23">
      <c r="C56" s="70"/>
      <c r="D56" s="70"/>
      <c r="E56" s="70"/>
      <c r="F56" s="70"/>
      <c r="G56" s="70"/>
      <c r="H56" s="70"/>
      <c r="I56" s="70"/>
      <c r="J56" s="70"/>
      <c r="K56" s="70"/>
      <c r="L56" s="70"/>
      <c r="M56" s="70"/>
      <c r="N56" s="70"/>
      <c r="O56" s="70"/>
      <c r="P56" s="70"/>
      <c r="Q56" s="70"/>
      <c r="R56" s="70"/>
      <c r="S56" s="70"/>
      <c r="T56" s="70"/>
      <c r="U56" s="70"/>
      <c r="V56" s="8"/>
      <c r="W56" s="8"/>
    </row>
    <row r="57" spans="3:23">
      <c r="C57" s="70"/>
      <c r="D57" s="70"/>
      <c r="E57" s="70"/>
      <c r="F57" s="70"/>
      <c r="G57" s="70"/>
      <c r="H57" s="70"/>
      <c r="I57" s="70"/>
      <c r="J57" s="70"/>
      <c r="K57" s="70"/>
      <c r="L57" s="70"/>
      <c r="M57" s="70"/>
      <c r="N57" s="70"/>
      <c r="O57" s="70"/>
      <c r="P57" s="70"/>
      <c r="Q57" s="70"/>
      <c r="R57" s="70"/>
      <c r="S57" s="70"/>
      <c r="T57" s="70"/>
      <c r="U57" s="70"/>
      <c r="V57" s="8"/>
      <c r="W57" s="8"/>
    </row>
    <row r="58" spans="3:23">
      <c r="C58" s="70"/>
      <c r="D58" s="70"/>
      <c r="E58" s="70"/>
      <c r="F58" s="70"/>
      <c r="G58" s="70"/>
      <c r="H58" s="70"/>
      <c r="I58" s="70"/>
      <c r="J58" s="70"/>
      <c r="K58" s="70"/>
      <c r="L58" s="70"/>
      <c r="M58" s="70"/>
      <c r="N58" s="70"/>
      <c r="O58" s="70"/>
      <c r="P58" s="70"/>
      <c r="Q58" s="70"/>
      <c r="R58" s="70"/>
      <c r="S58" s="70"/>
      <c r="T58" s="70"/>
      <c r="U58" s="70"/>
      <c r="V58" s="8"/>
      <c r="W58" s="8"/>
    </row>
    <row r="59" spans="3:23">
      <c r="C59" s="70"/>
      <c r="D59" s="70"/>
      <c r="E59" s="70"/>
      <c r="F59" s="70"/>
      <c r="G59" s="70"/>
      <c r="H59" s="70"/>
      <c r="I59" s="70"/>
      <c r="J59" s="70"/>
      <c r="K59" s="70"/>
      <c r="L59" s="70"/>
      <c r="M59" s="70"/>
      <c r="N59" s="70"/>
      <c r="O59" s="70"/>
      <c r="P59" s="70"/>
      <c r="Q59" s="70"/>
      <c r="R59" s="70"/>
      <c r="S59" s="70"/>
      <c r="T59" s="70"/>
      <c r="U59" s="70"/>
      <c r="V59" s="8"/>
      <c r="W59" s="8"/>
    </row>
    <row r="60" spans="3:23">
      <c r="C60" s="70"/>
      <c r="D60" s="70"/>
      <c r="E60" s="70"/>
      <c r="F60" s="70"/>
      <c r="G60" s="70"/>
      <c r="H60" s="70"/>
      <c r="I60" s="70"/>
      <c r="J60" s="70"/>
      <c r="K60" s="70"/>
      <c r="L60" s="70"/>
      <c r="M60" s="70"/>
      <c r="N60" s="70"/>
      <c r="O60" s="70"/>
      <c r="P60" s="70"/>
      <c r="Q60" s="70"/>
      <c r="R60" s="70"/>
      <c r="S60" s="70"/>
      <c r="T60" s="70"/>
      <c r="U60" s="70"/>
      <c r="V60" s="8"/>
      <c r="W60" s="8"/>
    </row>
    <row r="61" spans="3:23">
      <c r="C61" s="70"/>
      <c r="D61" s="70"/>
      <c r="E61" s="70"/>
      <c r="F61" s="70"/>
      <c r="G61" s="70"/>
      <c r="H61" s="70"/>
      <c r="I61" s="70"/>
      <c r="J61" s="70"/>
      <c r="K61" s="70"/>
      <c r="L61" s="70"/>
      <c r="M61" s="70"/>
      <c r="N61" s="70"/>
      <c r="O61" s="70"/>
      <c r="P61" s="70"/>
      <c r="Q61" s="70"/>
      <c r="R61" s="70"/>
      <c r="S61" s="70"/>
      <c r="T61" s="70"/>
      <c r="U61" s="70"/>
      <c r="V61" s="8"/>
      <c r="W61" s="8"/>
    </row>
    <row r="62" spans="3:23">
      <c r="C62" s="70"/>
      <c r="D62" s="70"/>
      <c r="E62" s="70"/>
      <c r="F62" s="70"/>
      <c r="G62" s="70"/>
      <c r="H62" s="70"/>
      <c r="I62" s="70"/>
      <c r="J62" s="70"/>
      <c r="K62" s="70"/>
      <c r="L62" s="70"/>
      <c r="M62" s="70"/>
      <c r="N62" s="70"/>
      <c r="O62" s="70"/>
      <c r="P62" s="70"/>
      <c r="Q62" s="70"/>
      <c r="R62" s="70"/>
      <c r="S62" s="70"/>
      <c r="T62" s="70"/>
      <c r="U62" s="70"/>
      <c r="V62" s="8"/>
      <c r="W62" s="8"/>
    </row>
    <row r="63" spans="3:23">
      <c r="C63" s="70"/>
      <c r="D63" s="70"/>
      <c r="E63" s="70"/>
      <c r="F63" s="70"/>
      <c r="G63" s="70"/>
      <c r="H63" s="70"/>
      <c r="I63" s="70"/>
      <c r="J63" s="70"/>
      <c r="K63" s="70"/>
      <c r="L63" s="70"/>
      <c r="M63" s="70"/>
      <c r="N63" s="70"/>
      <c r="O63" s="70"/>
      <c r="P63" s="70"/>
      <c r="Q63" s="70"/>
      <c r="R63" s="70"/>
      <c r="S63" s="70"/>
      <c r="T63" s="70"/>
      <c r="U63" s="70"/>
      <c r="V63" s="8"/>
      <c r="W63" s="8"/>
    </row>
    <row r="64" spans="3:23">
      <c r="C64" s="70"/>
      <c r="D64" s="70"/>
      <c r="E64" s="70"/>
      <c r="F64" s="70"/>
      <c r="G64" s="70"/>
      <c r="H64" s="70"/>
      <c r="I64" s="70"/>
      <c r="J64" s="70"/>
      <c r="K64" s="70"/>
      <c r="L64" s="70"/>
      <c r="M64" s="70"/>
      <c r="N64" s="70"/>
      <c r="O64" s="70"/>
      <c r="P64" s="70"/>
      <c r="Q64" s="70"/>
      <c r="R64" s="70"/>
      <c r="S64" s="70"/>
      <c r="T64" s="70"/>
      <c r="U64" s="70"/>
      <c r="V64" s="8"/>
      <c r="W64" s="8"/>
    </row>
    <row r="65" spans="3:23">
      <c r="C65" s="70"/>
      <c r="D65" s="70"/>
      <c r="E65" s="70"/>
      <c r="F65" s="70"/>
      <c r="G65" s="70"/>
      <c r="H65" s="70"/>
      <c r="I65" s="70"/>
      <c r="J65" s="70"/>
      <c r="K65" s="70"/>
      <c r="L65" s="70"/>
      <c r="M65" s="70"/>
      <c r="N65" s="70"/>
      <c r="O65" s="70"/>
      <c r="P65" s="70"/>
      <c r="Q65" s="70"/>
      <c r="R65" s="70"/>
      <c r="S65" s="70"/>
      <c r="T65" s="70"/>
      <c r="U65" s="70"/>
      <c r="V65" s="8"/>
      <c r="W65" s="8"/>
    </row>
    <row r="66" spans="3:23">
      <c r="C66" s="70"/>
      <c r="D66" s="70"/>
      <c r="E66" s="70"/>
      <c r="F66" s="70"/>
      <c r="G66" s="70"/>
      <c r="H66" s="70"/>
      <c r="I66" s="70"/>
      <c r="J66" s="70"/>
      <c r="K66" s="70"/>
      <c r="L66" s="70"/>
      <c r="M66" s="70"/>
      <c r="N66" s="70"/>
      <c r="O66" s="70"/>
      <c r="P66" s="70"/>
      <c r="Q66" s="70"/>
      <c r="R66" s="70"/>
      <c r="S66" s="70"/>
      <c r="T66" s="70"/>
      <c r="U66" s="70"/>
      <c r="V66" s="8"/>
      <c r="W66" s="8"/>
    </row>
    <row r="67" spans="3:23">
      <c r="C67" s="70"/>
      <c r="D67" s="70"/>
      <c r="E67" s="70"/>
      <c r="F67" s="70"/>
      <c r="G67" s="70"/>
      <c r="H67" s="70"/>
      <c r="I67" s="70"/>
      <c r="J67" s="70"/>
      <c r="K67" s="70"/>
      <c r="L67" s="70"/>
      <c r="M67" s="70"/>
      <c r="N67" s="70"/>
      <c r="O67" s="70"/>
      <c r="P67" s="70"/>
      <c r="Q67" s="70"/>
      <c r="R67" s="70"/>
      <c r="S67" s="70"/>
      <c r="T67" s="70"/>
      <c r="U67" s="70"/>
      <c r="V67" s="8"/>
      <c r="W67" s="8"/>
    </row>
    <row r="68" spans="3:23">
      <c r="C68" s="70"/>
      <c r="D68" s="70"/>
      <c r="E68" s="70"/>
      <c r="F68" s="70"/>
      <c r="G68" s="70"/>
      <c r="H68" s="70"/>
      <c r="I68" s="70"/>
      <c r="J68" s="70"/>
      <c r="K68" s="70"/>
      <c r="L68" s="70"/>
      <c r="M68" s="70"/>
      <c r="N68" s="70"/>
      <c r="O68" s="70"/>
      <c r="P68" s="70"/>
      <c r="Q68" s="70"/>
      <c r="R68" s="70"/>
      <c r="S68" s="70"/>
      <c r="T68" s="70"/>
      <c r="U68" s="70"/>
      <c r="V68" s="8"/>
      <c r="W68" s="8"/>
    </row>
    <row r="69" spans="3:23">
      <c r="C69" s="70"/>
      <c r="D69" s="70"/>
      <c r="E69" s="70"/>
      <c r="F69" s="70"/>
      <c r="G69" s="70"/>
      <c r="H69" s="70"/>
      <c r="I69" s="70"/>
      <c r="J69" s="70"/>
      <c r="K69" s="70"/>
      <c r="L69" s="70"/>
      <c r="M69" s="70"/>
      <c r="N69" s="70"/>
      <c r="O69" s="70"/>
      <c r="P69" s="70"/>
      <c r="Q69" s="70"/>
      <c r="R69" s="70"/>
      <c r="S69" s="70"/>
      <c r="T69" s="70"/>
      <c r="U69" s="70"/>
      <c r="V69" s="8"/>
      <c r="W69" s="8"/>
    </row>
    <row r="70" spans="3:23">
      <c r="C70" s="70"/>
      <c r="D70" s="70"/>
      <c r="E70" s="70"/>
      <c r="F70" s="70"/>
      <c r="G70" s="70"/>
      <c r="H70" s="70"/>
      <c r="I70" s="70"/>
      <c r="J70" s="70"/>
      <c r="K70" s="70"/>
      <c r="L70" s="70"/>
      <c r="M70" s="70"/>
      <c r="N70" s="70"/>
      <c r="O70" s="70"/>
      <c r="P70" s="70"/>
      <c r="Q70" s="70"/>
      <c r="R70" s="70"/>
      <c r="S70" s="70"/>
      <c r="T70" s="70"/>
      <c r="U70" s="70"/>
      <c r="V70" s="8"/>
      <c r="W70" s="8"/>
    </row>
    <row r="71" spans="3:23">
      <c r="C71" s="70"/>
      <c r="D71" s="70"/>
      <c r="E71" s="70"/>
      <c r="F71" s="70"/>
      <c r="G71" s="70"/>
      <c r="H71" s="70"/>
      <c r="I71" s="70"/>
      <c r="J71" s="70"/>
      <c r="K71" s="70"/>
      <c r="L71" s="70"/>
      <c r="M71" s="70"/>
      <c r="N71" s="70"/>
      <c r="O71" s="70"/>
      <c r="P71" s="70"/>
      <c r="Q71" s="70"/>
      <c r="R71" s="70"/>
      <c r="S71" s="70"/>
      <c r="T71" s="70"/>
      <c r="U71" s="70"/>
      <c r="V71" s="8"/>
      <c r="W71" s="8"/>
    </row>
    <row r="72" spans="3:23">
      <c r="C72" s="70"/>
      <c r="D72" s="70"/>
      <c r="E72" s="70"/>
      <c r="F72" s="70"/>
      <c r="G72" s="70"/>
      <c r="H72" s="70"/>
      <c r="I72" s="70"/>
      <c r="J72" s="70"/>
      <c r="K72" s="70"/>
      <c r="L72" s="70"/>
      <c r="M72" s="70"/>
      <c r="N72" s="70"/>
      <c r="O72" s="70"/>
      <c r="P72" s="70"/>
      <c r="Q72" s="70"/>
      <c r="R72" s="70"/>
      <c r="S72" s="70"/>
      <c r="T72" s="70"/>
      <c r="U72" s="70"/>
      <c r="V72" s="8"/>
      <c r="W72" s="8"/>
    </row>
    <row r="73" spans="3:23">
      <c r="C73" s="70"/>
      <c r="D73" s="70"/>
      <c r="E73" s="70"/>
      <c r="F73" s="70"/>
      <c r="G73" s="70"/>
      <c r="H73" s="70"/>
      <c r="I73" s="70"/>
      <c r="J73" s="70"/>
      <c r="K73" s="70"/>
      <c r="L73" s="70"/>
      <c r="M73" s="70"/>
      <c r="N73" s="70"/>
      <c r="O73" s="70"/>
      <c r="P73" s="70"/>
      <c r="Q73" s="70"/>
      <c r="R73" s="70"/>
      <c r="S73" s="70"/>
      <c r="T73" s="70"/>
      <c r="U73" s="70"/>
      <c r="V73" s="8"/>
      <c r="W73" s="8"/>
    </row>
    <row r="74" spans="3:23">
      <c r="C74" s="70"/>
      <c r="D74" s="70"/>
      <c r="E74" s="70"/>
      <c r="F74" s="70"/>
      <c r="G74" s="70"/>
      <c r="H74" s="70"/>
      <c r="I74" s="70"/>
      <c r="J74" s="70"/>
      <c r="K74" s="70"/>
      <c r="L74" s="70"/>
      <c r="M74" s="70"/>
      <c r="N74" s="70"/>
      <c r="O74" s="70"/>
      <c r="P74" s="70"/>
      <c r="Q74" s="70"/>
      <c r="R74" s="70"/>
      <c r="S74" s="70"/>
      <c r="T74" s="70"/>
      <c r="U74" s="70"/>
      <c r="V74" s="8"/>
      <c r="W74" s="8"/>
    </row>
    <row r="75" spans="3:23">
      <c r="C75" s="70"/>
      <c r="D75" s="70"/>
      <c r="E75" s="70"/>
      <c r="F75" s="70"/>
      <c r="G75" s="70"/>
      <c r="H75" s="70"/>
      <c r="I75" s="70"/>
      <c r="J75" s="70"/>
      <c r="K75" s="70"/>
      <c r="L75" s="70"/>
      <c r="M75" s="70"/>
      <c r="N75" s="70"/>
      <c r="O75" s="70"/>
      <c r="P75" s="70"/>
      <c r="Q75" s="70"/>
      <c r="R75" s="70"/>
      <c r="S75" s="70"/>
      <c r="T75" s="70"/>
      <c r="U75" s="70"/>
      <c r="V75" s="8"/>
      <c r="W75" s="8"/>
    </row>
    <row r="76" spans="3:23">
      <c r="C76" s="70"/>
      <c r="D76" s="70"/>
      <c r="E76" s="70"/>
      <c r="F76" s="70"/>
      <c r="G76" s="70"/>
      <c r="H76" s="70"/>
      <c r="I76" s="70"/>
      <c r="J76" s="70"/>
      <c r="K76" s="70"/>
      <c r="L76" s="70"/>
      <c r="M76" s="70"/>
      <c r="N76" s="70"/>
      <c r="O76" s="70"/>
      <c r="P76" s="70"/>
      <c r="Q76" s="70"/>
      <c r="R76" s="70"/>
      <c r="S76" s="70"/>
      <c r="T76" s="70"/>
      <c r="U76" s="70"/>
      <c r="V76" s="8"/>
      <c r="W76" s="8"/>
    </row>
    <row r="77" spans="3:23">
      <c r="C77" s="70"/>
      <c r="D77" s="70"/>
      <c r="E77" s="70"/>
      <c r="F77" s="70"/>
      <c r="G77" s="70"/>
      <c r="H77" s="70"/>
      <c r="I77" s="70"/>
      <c r="J77" s="70"/>
      <c r="K77" s="70"/>
      <c r="L77" s="70"/>
      <c r="M77" s="70"/>
      <c r="N77" s="70"/>
      <c r="O77" s="70"/>
      <c r="P77" s="70"/>
      <c r="Q77" s="70"/>
      <c r="R77" s="70"/>
      <c r="S77" s="70"/>
      <c r="T77" s="70"/>
      <c r="U77" s="70"/>
      <c r="V77" s="8"/>
      <c r="W77" s="8"/>
    </row>
    <row r="78" spans="3:23">
      <c r="C78" s="70"/>
      <c r="D78" s="70"/>
      <c r="E78" s="70"/>
      <c r="F78" s="70"/>
      <c r="G78" s="70"/>
      <c r="H78" s="70"/>
      <c r="I78" s="70"/>
      <c r="J78" s="70"/>
      <c r="K78" s="70"/>
      <c r="L78" s="70"/>
      <c r="M78" s="70"/>
      <c r="N78" s="70"/>
      <c r="O78" s="70"/>
      <c r="P78" s="70"/>
      <c r="Q78" s="70"/>
      <c r="R78" s="70"/>
      <c r="S78" s="70"/>
      <c r="T78" s="70"/>
      <c r="U78" s="70"/>
      <c r="V78" s="8"/>
      <c r="W78" s="8"/>
    </row>
    <row r="79" spans="3:23">
      <c r="C79" s="70"/>
      <c r="D79" s="70"/>
      <c r="E79" s="70"/>
      <c r="F79" s="70"/>
      <c r="G79" s="70"/>
      <c r="H79" s="70"/>
      <c r="I79" s="70"/>
      <c r="J79" s="70"/>
      <c r="K79" s="70"/>
      <c r="L79" s="70"/>
      <c r="M79" s="70"/>
      <c r="N79" s="70"/>
      <c r="O79" s="70"/>
      <c r="P79" s="70"/>
      <c r="Q79" s="70"/>
      <c r="R79" s="70"/>
      <c r="S79" s="70"/>
      <c r="T79" s="70"/>
      <c r="U79" s="70"/>
      <c r="V79" s="8"/>
      <c r="W79" s="8"/>
    </row>
    <row r="80" spans="3:23">
      <c r="C80" s="70"/>
      <c r="D80" s="70"/>
      <c r="E80" s="70"/>
      <c r="F80" s="70"/>
      <c r="G80" s="70"/>
      <c r="H80" s="70"/>
      <c r="I80" s="70"/>
      <c r="J80" s="70"/>
      <c r="K80" s="70"/>
      <c r="L80" s="70"/>
      <c r="M80" s="70"/>
      <c r="N80" s="70"/>
      <c r="O80" s="70"/>
      <c r="P80" s="70"/>
      <c r="Q80" s="70"/>
      <c r="R80" s="70"/>
      <c r="S80" s="70"/>
      <c r="T80" s="70"/>
      <c r="U80" s="70"/>
      <c r="V80" s="8"/>
      <c r="W80" s="8"/>
    </row>
    <row r="81" spans="3:23">
      <c r="C81" s="70"/>
      <c r="D81" s="70"/>
      <c r="E81" s="70"/>
      <c r="F81" s="70"/>
      <c r="G81" s="70"/>
      <c r="H81" s="70"/>
      <c r="I81" s="70"/>
      <c r="J81" s="70"/>
      <c r="K81" s="70"/>
      <c r="L81" s="70"/>
      <c r="M81" s="70"/>
      <c r="N81" s="70"/>
      <c r="O81" s="70"/>
      <c r="P81" s="70"/>
      <c r="Q81" s="70"/>
      <c r="R81" s="70"/>
      <c r="S81" s="70"/>
      <c r="T81" s="70"/>
      <c r="U81" s="70"/>
      <c r="V81" s="8"/>
      <c r="W81" s="8"/>
    </row>
    <row r="82" spans="3:23">
      <c r="C82" s="70"/>
      <c r="D82" s="70"/>
      <c r="E82" s="70"/>
      <c r="F82" s="70"/>
      <c r="G82" s="70"/>
      <c r="H82" s="70"/>
      <c r="I82" s="70"/>
      <c r="J82" s="70"/>
      <c r="K82" s="70"/>
      <c r="L82" s="70"/>
      <c r="M82" s="70"/>
      <c r="N82" s="70"/>
      <c r="O82" s="70"/>
      <c r="P82" s="70"/>
      <c r="Q82" s="70"/>
      <c r="R82" s="70"/>
      <c r="S82" s="70"/>
      <c r="T82" s="70"/>
      <c r="U82" s="70"/>
      <c r="V82" s="8"/>
      <c r="W82" s="8"/>
    </row>
    <row r="83" spans="3:23">
      <c r="C83" s="70"/>
      <c r="D83" s="70"/>
      <c r="E83" s="70"/>
      <c r="F83" s="70"/>
      <c r="G83" s="70"/>
      <c r="H83" s="70"/>
      <c r="I83" s="70"/>
      <c r="J83" s="70"/>
      <c r="K83" s="70"/>
      <c r="L83" s="70"/>
      <c r="M83" s="70"/>
      <c r="N83" s="70"/>
      <c r="O83" s="70"/>
      <c r="P83" s="70"/>
      <c r="Q83" s="70"/>
      <c r="R83" s="70"/>
      <c r="S83" s="70"/>
      <c r="T83" s="70"/>
      <c r="U83" s="70"/>
      <c r="V83" s="8"/>
      <c r="W83" s="8"/>
    </row>
    <row r="84" spans="3:23">
      <c r="C84" s="70"/>
      <c r="D84" s="70"/>
      <c r="E84" s="70"/>
      <c r="F84" s="70"/>
      <c r="G84" s="70"/>
      <c r="H84" s="70"/>
      <c r="I84" s="70"/>
      <c r="J84" s="70"/>
      <c r="K84" s="70"/>
      <c r="L84" s="70"/>
      <c r="M84" s="70"/>
      <c r="N84" s="70"/>
      <c r="O84" s="70"/>
      <c r="P84" s="70"/>
      <c r="Q84" s="70"/>
      <c r="R84" s="70"/>
      <c r="S84" s="70"/>
      <c r="T84" s="70"/>
      <c r="U84" s="70"/>
      <c r="V84" s="8"/>
      <c r="W84" s="8"/>
    </row>
    <row r="85" spans="3:23">
      <c r="C85" s="70"/>
      <c r="D85" s="70"/>
      <c r="E85" s="70"/>
      <c r="F85" s="70"/>
      <c r="G85" s="70"/>
      <c r="H85" s="70"/>
      <c r="I85" s="70"/>
      <c r="J85" s="70"/>
      <c r="K85" s="70"/>
      <c r="L85" s="70"/>
      <c r="M85" s="70"/>
      <c r="N85" s="70"/>
      <c r="O85" s="70"/>
      <c r="P85" s="70"/>
      <c r="Q85" s="70"/>
      <c r="R85" s="70"/>
      <c r="S85" s="70"/>
      <c r="T85" s="70"/>
      <c r="U85" s="70"/>
      <c r="V85" s="8"/>
      <c r="W85" s="8"/>
    </row>
    <row r="86" spans="3:23">
      <c r="C86" s="70"/>
      <c r="D86" s="70"/>
      <c r="E86" s="70"/>
      <c r="F86" s="70"/>
      <c r="G86" s="70"/>
      <c r="H86" s="70"/>
      <c r="I86" s="70"/>
      <c r="J86" s="70"/>
      <c r="K86" s="70"/>
      <c r="L86" s="70"/>
      <c r="M86" s="70"/>
      <c r="N86" s="70"/>
      <c r="O86" s="70"/>
      <c r="P86" s="70"/>
      <c r="Q86" s="70"/>
      <c r="R86" s="70"/>
      <c r="S86" s="70"/>
      <c r="T86" s="70"/>
      <c r="U86" s="70"/>
      <c r="V86" s="8"/>
      <c r="W86" s="8"/>
    </row>
    <row r="87" spans="3:23">
      <c r="C87" s="70"/>
      <c r="D87" s="70"/>
      <c r="E87" s="70"/>
      <c r="F87" s="70"/>
      <c r="G87" s="70"/>
      <c r="H87" s="70"/>
      <c r="I87" s="70"/>
      <c r="J87" s="70"/>
      <c r="K87" s="70"/>
      <c r="L87" s="70"/>
      <c r="M87" s="70"/>
      <c r="N87" s="70"/>
      <c r="O87" s="70"/>
      <c r="P87" s="70"/>
      <c r="Q87" s="70"/>
      <c r="R87" s="70"/>
      <c r="S87" s="70"/>
      <c r="T87" s="70"/>
      <c r="U87" s="70"/>
      <c r="V87" s="8"/>
      <c r="W87" s="8"/>
    </row>
    <row r="88" spans="3:23">
      <c r="C88" s="70"/>
      <c r="D88" s="70"/>
      <c r="E88" s="70"/>
      <c r="F88" s="70"/>
      <c r="G88" s="70"/>
      <c r="H88" s="70"/>
      <c r="I88" s="70"/>
      <c r="J88" s="70"/>
      <c r="K88" s="70"/>
      <c r="L88" s="70"/>
      <c r="M88" s="70"/>
      <c r="N88" s="70"/>
      <c r="O88" s="70"/>
      <c r="P88" s="70"/>
      <c r="Q88" s="70"/>
      <c r="R88" s="70"/>
      <c r="S88" s="70"/>
      <c r="T88" s="70"/>
      <c r="U88" s="70"/>
      <c r="V88" s="8"/>
      <c r="W88" s="8"/>
    </row>
    <row r="89" spans="3:23">
      <c r="C89" s="70"/>
      <c r="D89" s="70"/>
      <c r="E89" s="70"/>
      <c r="F89" s="70"/>
      <c r="G89" s="70"/>
      <c r="H89" s="70"/>
      <c r="I89" s="70"/>
      <c r="J89" s="70"/>
      <c r="K89" s="70"/>
      <c r="L89" s="70"/>
      <c r="M89" s="70"/>
      <c r="N89" s="70"/>
      <c r="O89" s="70"/>
      <c r="P89" s="70"/>
      <c r="Q89" s="70"/>
      <c r="R89" s="70"/>
      <c r="S89" s="70"/>
      <c r="T89" s="70"/>
      <c r="U89" s="70"/>
      <c r="V89" s="8"/>
      <c r="W89" s="8"/>
    </row>
    <row r="90" spans="3:23">
      <c r="C90" s="70"/>
      <c r="D90" s="70"/>
      <c r="E90" s="70"/>
      <c r="F90" s="70"/>
      <c r="G90" s="70"/>
      <c r="H90" s="70"/>
      <c r="I90" s="70"/>
      <c r="J90" s="70"/>
      <c r="K90" s="70"/>
      <c r="L90" s="70"/>
      <c r="M90" s="70"/>
      <c r="N90" s="70"/>
      <c r="O90" s="70"/>
      <c r="P90" s="70"/>
      <c r="Q90" s="70"/>
      <c r="R90" s="70"/>
      <c r="S90" s="70"/>
      <c r="T90" s="70"/>
      <c r="U90" s="70"/>
      <c r="V90" s="8"/>
      <c r="W90" s="8"/>
    </row>
    <row r="91" spans="3:23">
      <c r="C91" s="70"/>
      <c r="D91" s="70"/>
      <c r="E91" s="70"/>
      <c r="F91" s="70"/>
      <c r="G91" s="70"/>
      <c r="H91" s="70"/>
      <c r="I91" s="70"/>
      <c r="J91" s="70"/>
      <c r="K91" s="70"/>
      <c r="L91" s="70"/>
      <c r="M91" s="70"/>
      <c r="N91" s="70"/>
      <c r="O91" s="70"/>
      <c r="P91" s="70"/>
      <c r="Q91" s="70"/>
      <c r="R91" s="70"/>
      <c r="S91" s="70"/>
      <c r="T91" s="70"/>
      <c r="U91" s="70"/>
      <c r="V91" s="8"/>
      <c r="W91" s="8"/>
    </row>
    <row r="92" spans="3:23">
      <c r="C92" s="70"/>
      <c r="D92" s="70"/>
      <c r="E92" s="70"/>
      <c r="F92" s="70"/>
      <c r="G92" s="70"/>
      <c r="H92" s="70"/>
      <c r="I92" s="70"/>
      <c r="J92" s="70"/>
      <c r="K92" s="70"/>
      <c r="L92" s="70"/>
      <c r="M92" s="70"/>
      <c r="N92" s="70"/>
      <c r="O92" s="70"/>
      <c r="P92" s="70"/>
      <c r="Q92" s="70"/>
      <c r="R92" s="70"/>
      <c r="S92" s="70"/>
      <c r="T92" s="70"/>
      <c r="U92" s="70"/>
      <c r="V92" s="8"/>
      <c r="W92" s="8"/>
    </row>
    <row r="93" spans="3:23">
      <c r="C93" s="70"/>
      <c r="D93" s="70"/>
      <c r="E93" s="70"/>
      <c r="F93" s="70"/>
      <c r="G93" s="70"/>
      <c r="H93" s="70"/>
      <c r="I93" s="70"/>
      <c r="J93" s="70"/>
      <c r="K93" s="70"/>
      <c r="L93" s="70"/>
      <c r="M93" s="70"/>
      <c r="N93" s="70"/>
      <c r="O93" s="70"/>
      <c r="P93" s="70"/>
      <c r="Q93" s="70"/>
      <c r="R93" s="70"/>
      <c r="S93" s="70"/>
      <c r="T93" s="70"/>
      <c r="U93" s="70"/>
      <c r="V93" s="8"/>
      <c r="W93" s="8"/>
    </row>
    <row r="94" spans="3:23">
      <c r="C94" s="70"/>
      <c r="D94" s="70"/>
      <c r="E94" s="70"/>
      <c r="F94" s="70"/>
      <c r="G94" s="70"/>
      <c r="H94" s="70"/>
      <c r="I94" s="70"/>
      <c r="J94" s="70"/>
      <c r="K94" s="70"/>
      <c r="L94" s="70"/>
      <c r="M94" s="70"/>
      <c r="N94" s="70"/>
      <c r="O94" s="70"/>
      <c r="P94" s="70"/>
      <c r="Q94" s="70"/>
      <c r="R94" s="70"/>
      <c r="S94" s="70"/>
      <c r="T94" s="70"/>
      <c r="U94" s="70"/>
      <c r="V94" s="8"/>
      <c r="W94" s="8"/>
    </row>
    <row r="95" spans="3:23">
      <c r="C95" s="70"/>
      <c r="D95" s="70"/>
      <c r="E95" s="70"/>
      <c r="F95" s="70"/>
      <c r="G95" s="70"/>
      <c r="H95" s="70"/>
      <c r="I95" s="70"/>
      <c r="J95" s="70"/>
      <c r="K95" s="70"/>
      <c r="L95" s="70"/>
      <c r="M95" s="70"/>
      <c r="N95" s="70"/>
      <c r="O95" s="70"/>
      <c r="P95" s="70"/>
      <c r="Q95" s="70"/>
      <c r="R95" s="70"/>
      <c r="S95" s="70"/>
      <c r="T95" s="70"/>
      <c r="U95" s="70"/>
      <c r="V95" s="8"/>
      <c r="W95" s="8"/>
    </row>
    <row r="96" spans="3:23">
      <c r="C96" s="70"/>
      <c r="D96" s="70"/>
      <c r="E96" s="70"/>
      <c r="F96" s="70"/>
      <c r="G96" s="70"/>
      <c r="H96" s="70"/>
      <c r="I96" s="70"/>
      <c r="J96" s="70"/>
      <c r="K96" s="70"/>
      <c r="L96" s="70"/>
      <c r="M96" s="70"/>
      <c r="N96" s="70"/>
      <c r="O96" s="70"/>
      <c r="P96" s="70"/>
      <c r="Q96" s="70"/>
      <c r="R96" s="70"/>
      <c r="S96" s="70"/>
      <c r="T96" s="70"/>
      <c r="U96" s="70"/>
      <c r="V96" s="8"/>
      <c r="W96" s="8"/>
    </row>
    <row r="97" spans="3:23">
      <c r="C97" s="70"/>
      <c r="D97" s="70"/>
      <c r="E97" s="70"/>
      <c r="F97" s="70"/>
      <c r="G97" s="70"/>
      <c r="H97" s="70"/>
      <c r="I97" s="70"/>
      <c r="J97" s="70"/>
      <c r="K97" s="70"/>
      <c r="L97" s="70"/>
      <c r="M97" s="70"/>
      <c r="N97" s="70"/>
      <c r="O97" s="70"/>
      <c r="P97" s="70"/>
      <c r="Q97" s="70"/>
      <c r="R97" s="70"/>
      <c r="S97" s="70"/>
      <c r="T97" s="70"/>
      <c r="U97" s="70"/>
      <c r="V97" s="8"/>
      <c r="W97" s="8"/>
    </row>
    <row r="98" spans="3:23">
      <c r="C98" s="70"/>
      <c r="D98" s="70"/>
      <c r="E98" s="70"/>
      <c r="F98" s="70"/>
      <c r="G98" s="70"/>
      <c r="H98" s="70"/>
      <c r="I98" s="70"/>
      <c r="J98" s="70"/>
      <c r="K98" s="70"/>
      <c r="L98" s="70"/>
      <c r="M98" s="70"/>
      <c r="N98" s="70"/>
      <c r="O98" s="70"/>
      <c r="P98" s="70"/>
      <c r="Q98" s="70"/>
      <c r="R98" s="70"/>
      <c r="S98" s="70"/>
      <c r="T98" s="70"/>
      <c r="U98" s="70"/>
      <c r="V98" s="8"/>
      <c r="W98" s="8"/>
    </row>
    <row r="99" spans="3:23">
      <c r="C99" s="70"/>
      <c r="D99" s="70"/>
      <c r="E99" s="70"/>
      <c r="F99" s="70"/>
      <c r="G99" s="70"/>
      <c r="H99" s="70"/>
      <c r="I99" s="70"/>
      <c r="J99" s="70"/>
      <c r="K99" s="70"/>
      <c r="L99" s="70"/>
      <c r="M99" s="70"/>
      <c r="N99" s="70"/>
      <c r="O99" s="70"/>
      <c r="P99" s="70"/>
      <c r="Q99" s="70"/>
      <c r="R99" s="70"/>
      <c r="S99" s="70"/>
      <c r="T99" s="70"/>
      <c r="U99" s="70"/>
      <c r="V99" s="8"/>
      <c r="W99" s="8"/>
    </row>
    <row r="100" spans="3:23">
      <c r="C100" s="70"/>
      <c r="D100" s="70"/>
      <c r="E100" s="70"/>
      <c r="F100" s="70"/>
      <c r="G100" s="70"/>
      <c r="H100" s="70"/>
      <c r="I100" s="70"/>
      <c r="J100" s="70"/>
      <c r="K100" s="70"/>
      <c r="L100" s="70"/>
      <c r="M100" s="70"/>
      <c r="N100" s="70"/>
      <c r="O100" s="70"/>
      <c r="P100" s="70"/>
      <c r="Q100" s="70"/>
      <c r="R100" s="70"/>
      <c r="S100" s="70"/>
      <c r="T100" s="70"/>
      <c r="U100" s="70"/>
      <c r="V100" s="8"/>
      <c r="W100" s="8"/>
    </row>
    <row r="101" spans="3:23">
      <c r="C101" s="70"/>
      <c r="D101" s="70"/>
      <c r="E101" s="70"/>
      <c r="F101" s="70"/>
      <c r="G101" s="70"/>
      <c r="H101" s="70"/>
      <c r="I101" s="70"/>
      <c r="J101" s="70"/>
      <c r="K101" s="70"/>
      <c r="L101" s="70"/>
      <c r="M101" s="70"/>
      <c r="N101" s="70"/>
      <c r="O101" s="70"/>
      <c r="P101" s="70"/>
      <c r="Q101" s="70"/>
      <c r="R101" s="70"/>
      <c r="S101" s="70"/>
      <c r="T101" s="70"/>
      <c r="U101" s="70"/>
      <c r="V101" s="8"/>
      <c r="W101" s="8"/>
    </row>
    <row r="102" spans="3:23">
      <c r="C102" s="70"/>
      <c r="D102" s="70"/>
      <c r="E102" s="70"/>
      <c r="F102" s="70"/>
      <c r="G102" s="70"/>
      <c r="H102" s="70"/>
      <c r="I102" s="70"/>
      <c r="J102" s="70"/>
      <c r="K102" s="70"/>
      <c r="L102" s="70"/>
      <c r="M102" s="70"/>
      <c r="N102" s="70"/>
      <c r="O102" s="70"/>
      <c r="P102" s="70"/>
      <c r="Q102" s="70"/>
      <c r="R102" s="70"/>
      <c r="S102" s="70"/>
      <c r="T102" s="70"/>
      <c r="U102" s="70"/>
      <c r="V102" s="8"/>
      <c r="W102" s="8"/>
    </row>
    <row r="103" spans="3:23">
      <c r="C103" s="70"/>
      <c r="D103" s="70"/>
      <c r="E103" s="70"/>
      <c r="F103" s="70"/>
      <c r="G103" s="70"/>
      <c r="H103" s="70"/>
      <c r="I103" s="70"/>
      <c r="J103" s="70"/>
      <c r="K103" s="70"/>
      <c r="L103" s="70"/>
      <c r="M103" s="70"/>
      <c r="N103" s="70"/>
      <c r="O103" s="70"/>
      <c r="P103" s="70"/>
      <c r="Q103" s="70"/>
      <c r="R103" s="70"/>
      <c r="S103" s="70"/>
      <c r="T103" s="70"/>
      <c r="U103" s="70"/>
      <c r="V103" s="8"/>
      <c r="W103" s="8"/>
    </row>
    <row r="104" spans="3:23">
      <c r="C104" s="70"/>
      <c r="D104" s="70"/>
      <c r="E104" s="70"/>
      <c r="F104" s="70"/>
      <c r="G104" s="70"/>
      <c r="H104" s="70"/>
      <c r="I104" s="70"/>
      <c r="J104" s="70"/>
      <c r="K104" s="70"/>
      <c r="L104" s="70"/>
      <c r="M104" s="70"/>
      <c r="N104" s="70"/>
      <c r="O104" s="70"/>
      <c r="P104" s="70"/>
      <c r="Q104" s="70"/>
      <c r="R104" s="70"/>
      <c r="S104" s="70"/>
      <c r="T104" s="70"/>
      <c r="U104" s="70"/>
      <c r="V104" s="8"/>
      <c r="W104" s="8"/>
    </row>
    <row r="105" spans="3:23">
      <c r="C105" s="70"/>
      <c r="D105" s="70"/>
      <c r="E105" s="70"/>
      <c r="F105" s="70"/>
      <c r="G105" s="70"/>
      <c r="H105" s="70"/>
      <c r="I105" s="70"/>
      <c r="J105" s="70"/>
      <c r="K105" s="70"/>
      <c r="L105" s="70"/>
      <c r="M105" s="70"/>
      <c r="N105" s="70"/>
      <c r="O105" s="70"/>
      <c r="P105" s="70"/>
      <c r="Q105" s="70"/>
      <c r="R105" s="70"/>
      <c r="S105" s="70"/>
      <c r="T105" s="70"/>
      <c r="U105" s="70"/>
      <c r="V105" s="8"/>
      <c r="W105" s="8"/>
    </row>
    <row r="106" spans="3:23">
      <c r="C106" s="70"/>
      <c r="D106" s="70"/>
      <c r="E106" s="70"/>
      <c r="F106" s="70"/>
      <c r="G106" s="70"/>
      <c r="H106" s="70"/>
      <c r="I106" s="70"/>
      <c r="J106" s="70"/>
      <c r="K106" s="70"/>
      <c r="L106" s="70"/>
      <c r="M106" s="70"/>
      <c r="N106" s="70"/>
      <c r="O106" s="70"/>
      <c r="P106" s="70"/>
      <c r="Q106" s="70"/>
      <c r="R106" s="70"/>
      <c r="S106" s="70"/>
      <c r="T106" s="70"/>
      <c r="U106" s="70"/>
      <c r="V106" s="8"/>
      <c r="W106" s="8"/>
    </row>
    <row r="107" spans="3:23">
      <c r="C107" s="70"/>
      <c r="D107" s="70"/>
      <c r="E107" s="70"/>
      <c r="F107" s="70"/>
      <c r="G107" s="70"/>
      <c r="H107" s="70"/>
      <c r="I107" s="70"/>
      <c r="J107" s="70"/>
      <c r="K107" s="70"/>
      <c r="L107" s="70"/>
      <c r="M107" s="70"/>
      <c r="N107" s="70"/>
      <c r="O107" s="70"/>
      <c r="P107" s="70"/>
      <c r="Q107" s="70"/>
      <c r="R107" s="70"/>
      <c r="S107" s="70"/>
      <c r="T107" s="70"/>
      <c r="U107" s="70"/>
      <c r="V107" s="8"/>
      <c r="W107" s="8"/>
    </row>
    <row r="108" spans="3:23">
      <c r="C108" s="70"/>
      <c r="D108" s="70"/>
      <c r="E108" s="70"/>
      <c r="F108" s="70"/>
      <c r="G108" s="70"/>
      <c r="H108" s="70"/>
      <c r="I108" s="70"/>
      <c r="J108" s="70"/>
      <c r="K108" s="70"/>
      <c r="L108" s="70"/>
      <c r="M108" s="70"/>
      <c r="N108" s="70"/>
      <c r="O108" s="70"/>
      <c r="P108" s="70"/>
      <c r="Q108" s="70"/>
      <c r="R108" s="70"/>
      <c r="S108" s="70"/>
      <c r="T108" s="70"/>
      <c r="U108" s="70"/>
      <c r="V108" s="8"/>
      <c r="W108" s="8"/>
    </row>
    <row r="109" spans="3:23">
      <c r="C109" s="70"/>
      <c r="D109" s="70"/>
      <c r="E109" s="70"/>
      <c r="F109" s="70"/>
      <c r="G109" s="70"/>
      <c r="H109" s="70"/>
      <c r="I109" s="70"/>
      <c r="J109" s="70"/>
      <c r="K109" s="70"/>
      <c r="L109" s="70"/>
      <c r="M109" s="70"/>
      <c r="N109" s="70"/>
      <c r="O109" s="70"/>
      <c r="P109" s="70"/>
      <c r="Q109" s="70"/>
      <c r="R109" s="70"/>
      <c r="S109" s="70"/>
      <c r="T109" s="70"/>
      <c r="U109" s="70"/>
      <c r="V109" s="8"/>
      <c r="W109" s="8"/>
    </row>
    <row r="110" spans="3:23">
      <c r="C110" s="70"/>
      <c r="D110" s="70"/>
      <c r="E110" s="70"/>
      <c r="F110" s="70"/>
      <c r="G110" s="70"/>
      <c r="H110" s="70"/>
      <c r="I110" s="70"/>
      <c r="J110" s="70"/>
      <c r="K110" s="70"/>
      <c r="L110" s="70"/>
      <c r="M110" s="70"/>
      <c r="N110" s="70"/>
      <c r="O110" s="70"/>
      <c r="P110" s="70"/>
      <c r="Q110" s="70"/>
      <c r="R110" s="70"/>
      <c r="S110" s="70"/>
      <c r="T110" s="70"/>
      <c r="U110" s="70"/>
      <c r="V110" s="8"/>
      <c r="W110" s="8"/>
    </row>
    <row r="111" spans="3:23">
      <c r="C111" s="70"/>
      <c r="D111" s="70"/>
      <c r="E111" s="70"/>
      <c r="F111" s="70"/>
      <c r="G111" s="70"/>
      <c r="H111" s="70"/>
      <c r="I111" s="70"/>
      <c r="J111" s="70"/>
      <c r="K111" s="70"/>
      <c r="L111" s="70"/>
      <c r="M111" s="70"/>
      <c r="N111" s="70"/>
      <c r="O111" s="70"/>
      <c r="P111" s="70"/>
      <c r="Q111" s="70"/>
      <c r="R111" s="70"/>
      <c r="S111" s="70"/>
      <c r="T111" s="70"/>
      <c r="U111" s="70"/>
      <c r="V111" s="8"/>
      <c r="W111" s="8"/>
    </row>
    <row r="112" spans="3:23">
      <c r="C112" s="70"/>
      <c r="D112" s="70"/>
      <c r="E112" s="70"/>
      <c r="F112" s="70"/>
      <c r="G112" s="70"/>
      <c r="H112" s="70"/>
      <c r="I112" s="70"/>
      <c r="J112" s="70"/>
      <c r="K112" s="70"/>
      <c r="L112" s="70"/>
      <c r="M112" s="70"/>
      <c r="N112" s="70"/>
      <c r="O112" s="70"/>
      <c r="P112" s="70"/>
      <c r="Q112" s="70"/>
      <c r="R112" s="70"/>
      <c r="S112" s="70"/>
      <c r="T112" s="70"/>
      <c r="U112" s="70"/>
      <c r="V112" s="8"/>
      <c r="W112" s="8"/>
    </row>
    <row r="113" spans="3:23">
      <c r="C113" s="70"/>
      <c r="D113" s="70"/>
      <c r="E113" s="70"/>
      <c r="F113" s="70"/>
      <c r="G113" s="70"/>
      <c r="H113" s="70"/>
      <c r="I113" s="70"/>
      <c r="J113" s="70"/>
      <c r="K113" s="70"/>
      <c r="L113" s="70"/>
      <c r="M113" s="70"/>
      <c r="N113" s="70"/>
      <c r="O113" s="70"/>
      <c r="P113" s="70"/>
      <c r="Q113" s="70"/>
      <c r="R113" s="70"/>
      <c r="S113" s="70"/>
      <c r="T113" s="70"/>
      <c r="U113" s="70"/>
      <c r="V113" s="8"/>
      <c r="W113" s="8"/>
    </row>
    <row r="114" spans="3:23">
      <c r="C114" s="70"/>
      <c r="D114" s="70"/>
      <c r="E114" s="70"/>
      <c r="F114" s="70"/>
      <c r="G114" s="70"/>
      <c r="H114" s="70"/>
      <c r="I114" s="70"/>
      <c r="J114" s="70"/>
      <c r="K114" s="70"/>
      <c r="L114" s="70"/>
      <c r="M114" s="70"/>
      <c r="N114" s="70"/>
      <c r="O114" s="70"/>
      <c r="P114" s="70"/>
      <c r="Q114" s="70"/>
      <c r="R114" s="70"/>
      <c r="S114" s="70"/>
      <c r="T114" s="70"/>
      <c r="U114" s="70"/>
      <c r="V114" s="8"/>
      <c r="W114" s="8"/>
    </row>
    <row r="115" spans="3:23">
      <c r="C115" s="70"/>
      <c r="D115" s="70"/>
      <c r="E115" s="70"/>
      <c r="F115" s="70"/>
      <c r="G115" s="70"/>
      <c r="H115" s="70"/>
      <c r="I115" s="70"/>
      <c r="J115" s="70"/>
      <c r="K115" s="70"/>
      <c r="L115" s="70"/>
      <c r="M115" s="70"/>
      <c r="N115" s="70"/>
      <c r="O115" s="70"/>
      <c r="P115" s="70"/>
      <c r="Q115" s="70"/>
      <c r="R115" s="70"/>
      <c r="S115" s="70"/>
      <c r="T115" s="70"/>
      <c r="U115" s="70"/>
      <c r="V115" s="8"/>
      <c r="W115" s="8"/>
    </row>
    <row r="116" spans="3:23">
      <c r="C116" s="70"/>
      <c r="D116" s="70"/>
      <c r="E116" s="70"/>
      <c r="F116" s="70"/>
      <c r="G116" s="70"/>
      <c r="H116" s="70"/>
      <c r="I116" s="70"/>
      <c r="J116" s="70"/>
      <c r="K116" s="70"/>
      <c r="L116" s="70"/>
      <c r="M116" s="70"/>
      <c r="N116" s="70"/>
      <c r="O116" s="70"/>
      <c r="P116" s="70"/>
      <c r="Q116" s="70"/>
      <c r="R116" s="70"/>
      <c r="S116" s="70"/>
      <c r="T116" s="70"/>
      <c r="U116" s="70"/>
      <c r="V116" s="8"/>
      <c r="W116" s="8"/>
    </row>
    <row r="117" spans="3:23">
      <c r="C117" s="70"/>
      <c r="D117" s="70"/>
      <c r="E117" s="70"/>
      <c r="F117" s="70"/>
      <c r="G117" s="70"/>
      <c r="H117" s="70"/>
      <c r="I117" s="70"/>
      <c r="J117" s="70"/>
      <c r="K117" s="70"/>
      <c r="L117" s="70"/>
      <c r="M117" s="70"/>
      <c r="N117" s="70"/>
      <c r="O117" s="70"/>
      <c r="P117" s="70"/>
      <c r="Q117" s="70"/>
      <c r="R117" s="70"/>
      <c r="S117" s="70"/>
      <c r="T117" s="70"/>
      <c r="U117" s="70"/>
      <c r="V117" s="8"/>
      <c r="W117" s="8"/>
    </row>
    <row r="118" spans="3:23">
      <c r="C118" s="70"/>
      <c r="D118" s="70"/>
      <c r="E118" s="70"/>
      <c r="F118" s="70"/>
      <c r="G118" s="70"/>
      <c r="H118" s="70"/>
      <c r="I118" s="70"/>
      <c r="J118" s="70"/>
      <c r="K118" s="70"/>
      <c r="L118" s="70"/>
      <c r="M118" s="70"/>
      <c r="N118" s="70"/>
      <c r="O118" s="70"/>
      <c r="P118" s="70"/>
      <c r="Q118" s="70"/>
      <c r="R118" s="70"/>
      <c r="S118" s="70"/>
      <c r="T118" s="70"/>
      <c r="U118" s="70"/>
      <c r="V118" s="8"/>
      <c r="W118" s="8"/>
    </row>
    <row r="119" spans="3:23">
      <c r="C119" s="70"/>
      <c r="D119" s="70"/>
      <c r="E119" s="70"/>
      <c r="F119" s="70"/>
      <c r="G119" s="70"/>
      <c r="H119" s="70"/>
      <c r="I119" s="70"/>
      <c r="J119" s="70"/>
      <c r="K119" s="70"/>
      <c r="L119" s="70"/>
      <c r="M119" s="70"/>
      <c r="N119" s="70"/>
      <c r="O119" s="70"/>
      <c r="P119" s="70"/>
      <c r="Q119" s="70"/>
      <c r="R119" s="70"/>
      <c r="S119" s="70"/>
      <c r="T119" s="70"/>
      <c r="U119" s="70"/>
      <c r="V119" s="8"/>
      <c r="W119" s="8"/>
    </row>
    <row r="120" spans="3:23">
      <c r="C120" s="70"/>
      <c r="D120" s="70"/>
      <c r="E120" s="70"/>
      <c r="F120" s="70"/>
      <c r="G120" s="70"/>
      <c r="H120" s="70"/>
      <c r="I120" s="70"/>
      <c r="J120" s="70"/>
      <c r="K120" s="70"/>
      <c r="L120" s="70"/>
      <c r="M120" s="70"/>
      <c r="N120" s="70"/>
      <c r="O120" s="70"/>
      <c r="P120" s="70"/>
      <c r="Q120" s="70"/>
      <c r="R120" s="70"/>
      <c r="S120" s="70"/>
      <c r="T120" s="70"/>
      <c r="U120" s="70"/>
      <c r="V120" s="8"/>
      <c r="W120" s="8"/>
    </row>
    <row r="121" spans="3:23">
      <c r="C121" s="70"/>
      <c r="D121" s="70"/>
      <c r="E121" s="70"/>
      <c r="F121" s="70"/>
      <c r="G121" s="70"/>
      <c r="H121" s="70"/>
      <c r="I121" s="70"/>
      <c r="J121" s="70"/>
      <c r="K121" s="70"/>
      <c r="L121" s="70"/>
      <c r="M121" s="70"/>
      <c r="N121" s="70"/>
      <c r="O121" s="70"/>
      <c r="P121" s="70"/>
      <c r="Q121" s="70"/>
      <c r="R121" s="70"/>
      <c r="S121" s="70"/>
      <c r="T121" s="70"/>
      <c r="U121" s="70"/>
      <c r="V121" s="8"/>
      <c r="W121" s="8"/>
    </row>
    <row r="122" spans="3:23">
      <c r="C122" s="70"/>
      <c r="D122" s="70"/>
      <c r="E122" s="70"/>
      <c r="F122" s="70"/>
      <c r="G122" s="70"/>
      <c r="H122" s="70"/>
      <c r="I122" s="70"/>
      <c r="J122" s="70"/>
      <c r="K122" s="70"/>
      <c r="L122" s="70"/>
      <c r="M122" s="70"/>
      <c r="N122" s="70"/>
      <c r="O122" s="70"/>
      <c r="P122" s="70"/>
      <c r="Q122" s="70"/>
      <c r="R122" s="70"/>
      <c r="S122" s="70"/>
      <c r="T122" s="70"/>
      <c r="U122" s="70"/>
      <c r="V122" s="8"/>
      <c r="W122" s="8"/>
    </row>
    <row r="123" spans="3:23">
      <c r="C123" s="70"/>
      <c r="D123" s="70"/>
      <c r="E123" s="70"/>
      <c r="F123" s="70"/>
      <c r="G123" s="70"/>
      <c r="H123" s="70"/>
      <c r="I123" s="70"/>
      <c r="J123" s="70"/>
      <c r="K123" s="70"/>
      <c r="L123" s="70"/>
      <c r="M123" s="70"/>
      <c r="N123" s="70"/>
      <c r="O123" s="70"/>
      <c r="P123" s="70"/>
      <c r="Q123" s="70"/>
      <c r="R123" s="70"/>
      <c r="S123" s="70"/>
      <c r="T123" s="70"/>
      <c r="U123" s="70"/>
      <c r="V123" s="8"/>
      <c r="W123" s="8"/>
    </row>
    <row r="124" spans="3:23">
      <c r="C124" s="70"/>
      <c r="D124" s="70"/>
      <c r="E124" s="70"/>
      <c r="F124" s="70"/>
      <c r="G124" s="70"/>
      <c r="H124" s="70"/>
      <c r="I124" s="70"/>
      <c r="J124" s="70"/>
      <c r="K124" s="70"/>
      <c r="L124" s="70"/>
      <c r="M124" s="70"/>
      <c r="N124" s="70"/>
      <c r="O124" s="70"/>
      <c r="P124" s="70"/>
      <c r="Q124" s="70"/>
      <c r="R124" s="70"/>
      <c r="S124" s="70"/>
      <c r="T124" s="70"/>
      <c r="U124" s="70"/>
      <c r="V124" s="8"/>
      <c r="W124" s="8"/>
    </row>
    <row r="125" spans="3:23">
      <c r="C125" s="70"/>
      <c r="D125" s="70"/>
      <c r="E125" s="70"/>
      <c r="F125" s="70"/>
      <c r="G125" s="70"/>
      <c r="H125" s="70"/>
      <c r="I125" s="70"/>
      <c r="J125" s="70"/>
      <c r="K125" s="70"/>
      <c r="L125" s="70"/>
      <c r="M125" s="70"/>
      <c r="N125" s="70"/>
      <c r="O125" s="70"/>
      <c r="P125" s="70"/>
      <c r="Q125" s="70"/>
      <c r="R125" s="70"/>
      <c r="S125" s="70"/>
      <c r="T125" s="70"/>
      <c r="U125" s="70"/>
      <c r="V125" s="8"/>
      <c r="W125" s="8"/>
    </row>
    <row r="126" spans="3:23">
      <c r="C126" s="70"/>
      <c r="D126" s="70"/>
      <c r="E126" s="70"/>
      <c r="F126" s="70"/>
      <c r="G126" s="70"/>
      <c r="H126" s="70"/>
      <c r="I126" s="70"/>
      <c r="J126" s="70"/>
      <c r="K126" s="70"/>
      <c r="L126" s="70"/>
      <c r="M126" s="70"/>
      <c r="N126" s="70"/>
      <c r="O126" s="70"/>
      <c r="P126" s="70"/>
      <c r="Q126" s="70"/>
      <c r="R126" s="70"/>
      <c r="S126" s="70"/>
      <c r="T126" s="70"/>
      <c r="U126" s="70"/>
      <c r="V126" s="8"/>
      <c r="W126" s="8"/>
    </row>
    <row r="127" spans="3:23">
      <c r="C127" s="70"/>
      <c r="D127" s="70"/>
      <c r="E127" s="70"/>
      <c r="F127" s="70"/>
      <c r="G127" s="70"/>
      <c r="H127" s="70"/>
      <c r="I127" s="70"/>
      <c r="J127" s="70"/>
      <c r="K127" s="70"/>
      <c r="L127" s="70"/>
      <c r="M127" s="70"/>
      <c r="N127" s="70"/>
      <c r="O127" s="70"/>
      <c r="P127" s="70"/>
      <c r="Q127" s="70"/>
      <c r="R127" s="70"/>
      <c r="S127" s="70"/>
      <c r="T127" s="70"/>
      <c r="U127" s="70"/>
      <c r="V127" s="8"/>
      <c r="W127" s="8"/>
    </row>
    <row r="128" spans="3:23">
      <c r="C128" s="70"/>
      <c r="D128" s="70"/>
      <c r="E128" s="70"/>
      <c r="F128" s="70"/>
      <c r="G128" s="70"/>
      <c r="H128" s="70"/>
      <c r="I128" s="70"/>
      <c r="J128" s="70"/>
      <c r="K128" s="70"/>
      <c r="L128" s="70"/>
      <c r="M128" s="70"/>
      <c r="N128" s="70"/>
      <c r="O128" s="70"/>
      <c r="P128" s="70"/>
      <c r="Q128" s="70"/>
      <c r="R128" s="70"/>
      <c r="S128" s="70"/>
      <c r="T128" s="70"/>
      <c r="U128" s="70"/>
      <c r="V128" s="8"/>
      <c r="W128" s="8"/>
    </row>
    <row r="129" spans="3:23">
      <c r="C129" s="70"/>
      <c r="D129" s="70"/>
      <c r="E129" s="70"/>
      <c r="F129" s="70"/>
      <c r="G129" s="70"/>
      <c r="H129" s="70"/>
      <c r="I129" s="70"/>
      <c r="J129" s="70"/>
      <c r="K129" s="70"/>
      <c r="L129" s="70"/>
      <c r="M129" s="70"/>
      <c r="N129" s="70"/>
      <c r="O129" s="70"/>
      <c r="P129" s="70"/>
      <c r="Q129" s="70"/>
      <c r="R129" s="70"/>
      <c r="S129" s="70"/>
      <c r="T129" s="70"/>
      <c r="U129" s="70"/>
      <c r="V129" s="8"/>
      <c r="W129" s="8"/>
    </row>
    <row r="130" spans="3:23">
      <c r="C130" s="70"/>
      <c r="D130" s="70"/>
      <c r="E130" s="70"/>
      <c r="F130" s="70"/>
      <c r="G130" s="70"/>
      <c r="H130" s="70"/>
      <c r="I130" s="70"/>
      <c r="J130" s="70"/>
      <c r="K130" s="70"/>
      <c r="L130" s="70"/>
      <c r="M130" s="70"/>
      <c r="N130" s="70"/>
      <c r="O130" s="70"/>
      <c r="P130" s="70"/>
      <c r="Q130" s="70"/>
      <c r="R130" s="70"/>
      <c r="S130" s="70"/>
      <c r="T130" s="70"/>
      <c r="U130" s="70"/>
      <c r="V130" s="8"/>
      <c r="W130" s="8"/>
    </row>
    <row r="131" spans="3:23">
      <c r="C131" s="70"/>
      <c r="D131" s="70"/>
      <c r="E131" s="70"/>
      <c r="F131" s="70"/>
      <c r="G131" s="70"/>
      <c r="H131" s="70"/>
      <c r="I131" s="70"/>
      <c r="J131" s="70"/>
      <c r="K131" s="70"/>
      <c r="L131" s="70"/>
      <c r="M131" s="70"/>
      <c r="N131" s="70"/>
      <c r="O131" s="70"/>
      <c r="P131" s="70"/>
      <c r="Q131" s="70"/>
      <c r="R131" s="70"/>
      <c r="S131" s="70"/>
      <c r="T131" s="70"/>
      <c r="U131" s="70"/>
      <c r="V131" s="8"/>
      <c r="W131" s="8"/>
    </row>
    <row r="132" spans="3:23">
      <c r="C132" s="70"/>
      <c r="D132" s="70"/>
      <c r="E132" s="70"/>
      <c r="F132" s="70"/>
      <c r="G132" s="70"/>
      <c r="H132" s="70"/>
      <c r="I132" s="70"/>
      <c r="J132" s="70"/>
      <c r="K132" s="70"/>
      <c r="L132" s="70"/>
      <c r="M132" s="70"/>
      <c r="N132" s="70"/>
      <c r="O132" s="70"/>
      <c r="P132" s="70"/>
      <c r="Q132" s="70"/>
      <c r="R132" s="70"/>
      <c r="S132" s="70"/>
      <c r="T132" s="70"/>
      <c r="U132" s="70"/>
      <c r="V132" s="8"/>
      <c r="W132" s="8"/>
    </row>
    <row r="133" spans="3:23">
      <c r="C133" s="70"/>
      <c r="D133" s="70"/>
      <c r="E133" s="70"/>
      <c r="F133" s="70"/>
      <c r="G133" s="70"/>
      <c r="H133" s="70"/>
      <c r="I133" s="70"/>
      <c r="J133" s="70"/>
      <c r="K133" s="70"/>
      <c r="L133" s="70"/>
      <c r="M133" s="70"/>
      <c r="N133" s="70"/>
      <c r="O133" s="70"/>
      <c r="P133" s="70"/>
      <c r="Q133" s="70"/>
      <c r="R133" s="70"/>
      <c r="S133" s="70"/>
      <c r="T133" s="70"/>
      <c r="U133" s="70"/>
      <c r="V133" s="8"/>
      <c r="W133" s="8"/>
    </row>
    <row r="134" spans="3:23">
      <c r="C134" s="70"/>
      <c r="D134" s="70"/>
      <c r="E134" s="70"/>
      <c r="F134" s="70"/>
      <c r="G134" s="70"/>
      <c r="H134" s="70"/>
      <c r="I134" s="70"/>
      <c r="J134" s="70"/>
      <c r="K134" s="70"/>
      <c r="L134" s="70"/>
      <c r="M134" s="70"/>
      <c r="N134" s="70"/>
      <c r="O134" s="70"/>
      <c r="P134" s="70"/>
      <c r="Q134" s="70"/>
      <c r="R134" s="70"/>
      <c r="S134" s="70"/>
      <c r="T134" s="70"/>
      <c r="U134" s="70"/>
      <c r="V134" s="8"/>
      <c r="W134" s="8"/>
    </row>
    <row r="135" spans="3:23">
      <c r="C135" s="70"/>
      <c r="D135" s="70"/>
      <c r="E135" s="70"/>
      <c r="F135" s="70"/>
      <c r="G135" s="70"/>
      <c r="H135" s="70"/>
      <c r="I135" s="70"/>
      <c r="J135" s="70"/>
      <c r="K135" s="70"/>
      <c r="L135" s="70"/>
      <c r="M135" s="70"/>
      <c r="N135" s="70"/>
      <c r="O135" s="70"/>
      <c r="P135" s="70"/>
      <c r="Q135" s="70"/>
      <c r="R135" s="70"/>
      <c r="S135" s="70"/>
      <c r="T135" s="70"/>
      <c r="U135" s="70"/>
      <c r="V135" s="8"/>
      <c r="W135" s="8"/>
    </row>
    <row r="136" spans="3:23">
      <c r="C136" s="70"/>
      <c r="D136" s="70"/>
      <c r="E136" s="70"/>
      <c r="F136" s="70"/>
      <c r="G136" s="70"/>
      <c r="H136" s="70"/>
      <c r="I136" s="70"/>
      <c r="J136" s="70"/>
      <c r="K136" s="70"/>
      <c r="L136" s="70"/>
      <c r="M136" s="70"/>
      <c r="N136" s="70"/>
      <c r="O136" s="70"/>
      <c r="P136" s="70"/>
      <c r="Q136" s="70"/>
      <c r="R136" s="70"/>
      <c r="S136" s="70"/>
      <c r="T136" s="70"/>
      <c r="U136" s="70"/>
      <c r="V136" s="8"/>
      <c r="W136" s="8"/>
    </row>
    <row r="137" spans="3:23">
      <c r="C137" s="70"/>
      <c r="D137" s="70"/>
      <c r="E137" s="70"/>
      <c r="F137" s="70"/>
      <c r="G137" s="70"/>
      <c r="H137" s="70"/>
      <c r="I137" s="70"/>
      <c r="J137" s="70"/>
      <c r="K137" s="70"/>
      <c r="L137" s="70"/>
      <c r="M137" s="70"/>
      <c r="N137" s="70"/>
      <c r="O137" s="70"/>
      <c r="P137" s="70"/>
      <c r="Q137" s="70"/>
      <c r="R137" s="70"/>
      <c r="S137" s="70"/>
      <c r="T137" s="70"/>
      <c r="U137" s="70"/>
      <c r="V137" s="8"/>
      <c r="W137" s="8"/>
    </row>
    <row r="138" spans="3:23">
      <c r="C138" s="70"/>
      <c r="D138" s="70"/>
      <c r="E138" s="70"/>
      <c r="F138" s="70"/>
      <c r="G138" s="70"/>
      <c r="H138" s="70"/>
      <c r="I138" s="70"/>
      <c r="J138" s="70"/>
      <c r="K138" s="70"/>
      <c r="L138" s="70"/>
      <c r="M138" s="70"/>
      <c r="N138" s="70"/>
      <c r="O138" s="70"/>
      <c r="P138" s="70"/>
      <c r="Q138" s="70"/>
      <c r="R138" s="70"/>
      <c r="S138" s="70"/>
      <c r="T138" s="70"/>
      <c r="U138" s="70"/>
      <c r="V138" s="8"/>
      <c r="W138" s="8"/>
    </row>
    <row r="139" spans="3:23">
      <c r="C139" s="70"/>
      <c r="D139" s="70"/>
      <c r="E139" s="70"/>
      <c r="F139" s="70"/>
      <c r="G139" s="70"/>
      <c r="H139" s="70"/>
      <c r="I139" s="70"/>
      <c r="J139" s="70"/>
      <c r="K139" s="70"/>
      <c r="L139" s="70"/>
      <c r="M139" s="70"/>
      <c r="N139" s="70"/>
      <c r="O139" s="70"/>
      <c r="P139" s="70"/>
      <c r="Q139" s="70"/>
      <c r="R139" s="70"/>
      <c r="S139" s="70"/>
      <c r="T139" s="70"/>
      <c r="U139" s="70"/>
      <c r="V139" s="8"/>
      <c r="W139" s="8"/>
    </row>
    <row r="140" spans="3:23">
      <c r="C140" s="70"/>
      <c r="D140" s="70"/>
      <c r="E140" s="70"/>
      <c r="F140" s="70"/>
      <c r="G140" s="70"/>
      <c r="H140" s="70"/>
      <c r="I140" s="70"/>
      <c r="J140" s="70"/>
      <c r="K140" s="70"/>
      <c r="L140" s="70"/>
      <c r="M140" s="70"/>
      <c r="N140" s="70"/>
      <c r="O140" s="70"/>
      <c r="P140" s="70"/>
      <c r="Q140" s="70"/>
      <c r="R140" s="70"/>
      <c r="S140" s="70"/>
      <c r="T140" s="70"/>
      <c r="U140" s="70"/>
      <c r="V140" s="8"/>
      <c r="W140" s="8"/>
    </row>
    <row r="141" spans="3:23">
      <c r="C141" s="70"/>
      <c r="D141" s="70"/>
      <c r="E141" s="70"/>
      <c r="F141" s="70"/>
      <c r="G141" s="70"/>
      <c r="H141" s="70"/>
      <c r="I141" s="70"/>
      <c r="J141" s="70"/>
      <c r="K141" s="70"/>
      <c r="L141" s="70"/>
      <c r="M141" s="70"/>
      <c r="N141" s="70"/>
      <c r="O141" s="70"/>
      <c r="P141" s="70"/>
      <c r="Q141" s="70"/>
      <c r="R141" s="70"/>
      <c r="S141" s="70"/>
      <c r="T141" s="70"/>
      <c r="U141" s="70"/>
      <c r="V141" s="8"/>
      <c r="W141" s="8"/>
    </row>
    <row r="142" spans="3:23">
      <c r="C142" s="70"/>
      <c r="D142" s="70"/>
      <c r="E142" s="70"/>
      <c r="F142" s="70"/>
      <c r="G142" s="70"/>
      <c r="H142" s="70"/>
      <c r="I142" s="70"/>
      <c r="J142" s="70"/>
      <c r="K142" s="70"/>
      <c r="L142" s="70"/>
      <c r="M142" s="70"/>
      <c r="N142" s="70"/>
      <c r="O142" s="70"/>
      <c r="P142" s="70"/>
      <c r="Q142" s="70"/>
      <c r="R142" s="70"/>
      <c r="S142" s="70"/>
      <c r="T142" s="70"/>
      <c r="U142" s="70"/>
      <c r="V142" s="8"/>
      <c r="W142" s="8"/>
    </row>
    <row r="143" spans="3:23">
      <c r="C143" s="70"/>
      <c r="D143" s="70"/>
      <c r="E143" s="70"/>
      <c r="F143" s="70"/>
      <c r="G143" s="70"/>
      <c r="H143" s="70"/>
      <c r="I143" s="70"/>
      <c r="J143" s="70"/>
      <c r="K143" s="70"/>
      <c r="L143" s="70"/>
      <c r="M143" s="70"/>
      <c r="N143" s="70"/>
      <c r="O143" s="70"/>
      <c r="P143" s="70"/>
      <c r="Q143" s="70"/>
      <c r="R143" s="70"/>
      <c r="S143" s="70"/>
      <c r="T143" s="70"/>
      <c r="U143" s="70"/>
      <c r="V143" s="8"/>
      <c r="W143" s="8"/>
    </row>
    <row r="144" spans="3:23">
      <c r="C144" s="70"/>
      <c r="D144" s="70"/>
      <c r="E144" s="70"/>
      <c r="F144" s="70"/>
      <c r="G144" s="70"/>
      <c r="H144" s="70"/>
      <c r="I144" s="70"/>
      <c r="J144" s="70"/>
      <c r="K144" s="70"/>
      <c r="L144" s="70"/>
      <c r="M144" s="70"/>
      <c r="N144" s="70"/>
      <c r="O144" s="70"/>
      <c r="P144" s="70"/>
      <c r="Q144" s="70"/>
      <c r="R144" s="70"/>
      <c r="S144" s="70"/>
      <c r="T144" s="70"/>
      <c r="U144" s="70"/>
      <c r="V144" s="8"/>
      <c r="W144" s="8"/>
    </row>
    <row r="145" spans="3:23">
      <c r="C145" s="70"/>
      <c r="D145" s="70"/>
      <c r="E145" s="70"/>
      <c r="F145" s="70"/>
      <c r="G145" s="70"/>
      <c r="H145" s="70"/>
      <c r="I145" s="70"/>
      <c r="J145" s="70"/>
      <c r="K145" s="70"/>
      <c r="L145" s="70"/>
      <c r="M145" s="70"/>
      <c r="N145" s="70"/>
      <c r="O145" s="70"/>
      <c r="P145" s="70"/>
      <c r="Q145" s="70"/>
      <c r="R145" s="70"/>
      <c r="S145" s="70"/>
      <c r="T145" s="70"/>
      <c r="U145" s="70"/>
      <c r="V145" s="8"/>
      <c r="W145" s="8"/>
    </row>
    <row r="146" spans="3:23">
      <c r="C146" s="70"/>
      <c r="D146" s="70"/>
      <c r="E146" s="70"/>
      <c r="F146" s="70"/>
      <c r="G146" s="70"/>
      <c r="H146" s="70"/>
      <c r="I146" s="70"/>
      <c r="J146" s="70"/>
      <c r="K146" s="70"/>
      <c r="L146" s="70"/>
      <c r="M146" s="70"/>
      <c r="N146" s="70"/>
      <c r="O146" s="70"/>
      <c r="P146" s="70"/>
      <c r="Q146" s="70"/>
      <c r="R146" s="70"/>
      <c r="S146" s="70"/>
      <c r="T146" s="70"/>
      <c r="U146" s="70"/>
      <c r="V146" s="8"/>
      <c r="W146" s="8"/>
    </row>
    <row r="147" spans="3:23">
      <c r="C147" s="70"/>
      <c r="D147" s="70"/>
      <c r="E147" s="70"/>
      <c r="F147" s="70"/>
      <c r="G147" s="70"/>
      <c r="H147" s="70"/>
      <c r="I147" s="70"/>
      <c r="J147" s="70"/>
      <c r="K147" s="70"/>
      <c r="L147" s="70"/>
      <c r="M147" s="70"/>
      <c r="N147" s="70"/>
      <c r="O147" s="70"/>
      <c r="P147" s="70"/>
      <c r="Q147" s="70"/>
      <c r="R147" s="70"/>
      <c r="S147" s="70"/>
      <c r="T147" s="70"/>
      <c r="U147" s="70"/>
      <c r="V147" s="8"/>
      <c r="W147" s="8"/>
    </row>
    <row r="148" spans="3:23">
      <c r="C148" s="70"/>
      <c r="D148" s="70"/>
      <c r="E148" s="70"/>
      <c r="F148" s="70"/>
      <c r="G148" s="70"/>
      <c r="H148" s="70"/>
      <c r="I148" s="70"/>
      <c r="J148" s="70"/>
      <c r="K148" s="70"/>
      <c r="L148" s="70"/>
      <c r="M148" s="70"/>
      <c r="N148" s="70"/>
      <c r="O148" s="70"/>
      <c r="P148" s="70"/>
      <c r="Q148" s="70"/>
      <c r="R148" s="70"/>
      <c r="S148" s="70"/>
      <c r="T148" s="70"/>
      <c r="U148" s="70"/>
      <c r="V148" s="8"/>
      <c r="W148" s="8"/>
    </row>
    <row r="149" spans="3:23">
      <c r="C149" s="70"/>
      <c r="D149" s="70"/>
      <c r="E149" s="70"/>
      <c r="F149" s="70"/>
      <c r="G149" s="70"/>
      <c r="H149" s="70"/>
      <c r="I149" s="70"/>
      <c r="J149" s="70"/>
      <c r="K149" s="70"/>
      <c r="L149" s="70"/>
      <c r="M149" s="70"/>
      <c r="N149" s="70"/>
      <c r="O149" s="70"/>
      <c r="P149" s="70"/>
      <c r="Q149" s="70"/>
      <c r="R149" s="70"/>
      <c r="S149" s="70"/>
      <c r="T149" s="70"/>
      <c r="U149" s="70"/>
      <c r="V149" s="8"/>
      <c r="W149" s="8"/>
    </row>
    <row r="150" spans="3:23">
      <c r="C150" s="70"/>
      <c r="D150" s="70"/>
      <c r="E150" s="70"/>
      <c r="F150" s="70"/>
      <c r="G150" s="70"/>
      <c r="H150" s="70"/>
      <c r="I150" s="70"/>
      <c r="J150" s="70"/>
      <c r="K150" s="70"/>
      <c r="L150" s="70"/>
      <c r="M150" s="70"/>
      <c r="N150" s="70"/>
      <c r="O150" s="70"/>
      <c r="P150" s="70"/>
      <c r="Q150" s="70"/>
      <c r="R150" s="70"/>
      <c r="S150" s="70"/>
      <c r="T150" s="70"/>
      <c r="U150" s="70"/>
      <c r="V150" s="8"/>
      <c r="W150" s="8"/>
    </row>
    <row r="151" spans="3:23">
      <c r="C151" s="70"/>
      <c r="D151" s="70"/>
      <c r="E151" s="70"/>
      <c r="F151" s="70"/>
      <c r="G151" s="70"/>
      <c r="H151" s="70"/>
      <c r="I151" s="70"/>
      <c r="J151" s="70"/>
      <c r="K151" s="70"/>
      <c r="L151" s="70"/>
      <c r="M151" s="70"/>
      <c r="N151" s="70"/>
      <c r="O151" s="70"/>
      <c r="P151" s="70"/>
      <c r="Q151" s="70"/>
      <c r="R151" s="70"/>
      <c r="S151" s="70"/>
      <c r="T151" s="70"/>
      <c r="U151" s="70"/>
      <c r="V151" s="8"/>
      <c r="W151" s="8"/>
    </row>
    <row r="152" spans="3:23">
      <c r="C152" s="70"/>
      <c r="D152" s="70"/>
      <c r="E152" s="70"/>
      <c r="F152" s="70"/>
      <c r="G152" s="70"/>
      <c r="H152" s="70"/>
      <c r="I152" s="70"/>
      <c r="J152" s="70"/>
      <c r="K152" s="70"/>
      <c r="L152" s="70"/>
      <c r="M152" s="70"/>
      <c r="N152" s="70"/>
      <c r="O152" s="70"/>
      <c r="P152" s="70"/>
      <c r="Q152" s="70"/>
      <c r="R152" s="70"/>
      <c r="S152" s="70"/>
      <c r="T152" s="70"/>
      <c r="U152" s="70"/>
      <c r="V152" s="8"/>
      <c r="W152" s="8"/>
    </row>
    <row r="153" spans="3:23">
      <c r="C153" s="70"/>
      <c r="D153" s="70"/>
      <c r="E153" s="70"/>
      <c r="F153" s="70"/>
      <c r="G153" s="70"/>
      <c r="H153" s="70"/>
      <c r="I153" s="70"/>
      <c r="J153" s="70"/>
      <c r="K153" s="70"/>
      <c r="L153" s="70"/>
      <c r="M153" s="70"/>
      <c r="N153" s="70"/>
      <c r="O153" s="70"/>
      <c r="P153" s="70"/>
      <c r="Q153" s="70"/>
      <c r="R153" s="70"/>
      <c r="S153" s="70"/>
      <c r="T153" s="70"/>
      <c r="U153" s="70"/>
      <c r="V153" s="8"/>
      <c r="W153" s="8"/>
    </row>
    <row r="154" spans="3:23">
      <c r="C154" s="70"/>
      <c r="D154" s="70"/>
      <c r="E154" s="70"/>
      <c r="F154" s="70"/>
      <c r="G154" s="70"/>
      <c r="H154" s="70"/>
      <c r="I154" s="70"/>
      <c r="J154" s="70"/>
      <c r="K154" s="70"/>
      <c r="L154" s="70"/>
      <c r="M154" s="70"/>
      <c r="N154" s="70"/>
      <c r="O154" s="70"/>
      <c r="P154" s="70"/>
      <c r="Q154" s="70"/>
      <c r="R154" s="70"/>
      <c r="S154" s="70"/>
      <c r="T154" s="70"/>
      <c r="U154" s="70"/>
      <c r="V154" s="8"/>
      <c r="W154" s="8"/>
    </row>
    <row r="155" spans="3:23">
      <c r="C155" s="70"/>
      <c r="D155" s="70"/>
      <c r="E155" s="70"/>
      <c r="F155" s="70"/>
      <c r="G155" s="70"/>
      <c r="H155" s="70"/>
      <c r="I155" s="70"/>
      <c r="J155" s="70"/>
      <c r="K155" s="70"/>
      <c r="L155" s="70"/>
      <c r="M155" s="70"/>
      <c r="N155" s="70"/>
      <c r="O155" s="70"/>
      <c r="P155" s="70"/>
      <c r="Q155" s="70"/>
      <c r="R155" s="70"/>
      <c r="S155" s="70"/>
      <c r="T155" s="70"/>
      <c r="U155" s="70"/>
      <c r="V155" s="8"/>
      <c r="W155" s="8"/>
    </row>
    <row r="156" spans="3:23">
      <c r="C156" s="70"/>
      <c r="D156" s="70"/>
      <c r="E156" s="70"/>
      <c r="F156" s="70"/>
      <c r="G156" s="70"/>
      <c r="H156" s="70"/>
      <c r="I156" s="70"/>
      <c r="J156" s="70"/>
      <c r="K156" s="70"/>
      <c r="L156" s="70"/>
      <c r="M156" s="70"/>
      <c r="N156" s="70"/>
      <c r="O156" s="70"/>
      <c r="P156" s="70"/>
      <c r="Q156" s="70"/>
      <c r="R156" s="70"/>
      <c r="S156" s="70"/>
      <c r="T156" s="70"/>
      <c r="U156" s="70"/>
      <c r="V156" s="8"/>
      <c r="W156" s="8"/>
    </row>
    <row r="157" spans="3:23">
      <c r="C157" s="70"/>
      <c r="D157" s="70"/>
      <c r="E157" s="70"/>
      <c r="F157" s="70"/>
      <c r="G157" s="70"/>
      <c r="H157" s="70"/>
      <c r="I157" s="70"/>
      <c r="J157" s="70"/>
      <c r="K157" s="70"/>
      <c r="L157" s="70"/>
      <c r="M157" s="70"/>
      <c r="N157" s="70"/>
      <c r="O157" s="70"/>
      <c r="P157" s="70"/>
      <c r="Q157" s="70"/>
      <c r="R157" s="70"/>
      <c r="S157" s="70"/>
      <c r="T157" s="70"/>
      <c r="U157" s="70"/>
      <c r="V157" s="8"/>
      <c r="W157" s="8"/>
    </row>
    <row r="158" spans="3:23">
      <c r="C158" s="70"/>
      <c r="D158" s="70"/>
      <c r="E158" s="70"/>
      <c r="F158" s="70"/>
      <c r="G158" s="70"/>
      <c r="H158" s="70"/>
      <c r="I158" s="70"/>
      <c r="J158" s="70"/>
      <c r="K158" s="70"/>
      <c r="L158" s="70"/>
      <c r="M158" s="70"/>
      <c r="N158" s="70"/>
      <c r="O158" s="70"/>
      <c r="P158" s="70"/>
      <c r="Q158" s="70"/>
      <c r="R158" s="70"/>
      <c r="S158" s="70"/>
      <c r="T158" s="70"/>
      <c r="U158" s="70"/>
      <c r="V158" s="8"/>
      <c r="W158" s="8"/>
    </row>
    <row r="159" spans="3:23">
      <c r="C159" s="70"/>
      <c r="D159" s="70"/>
      <c r="E159" s="70"/>
      <c r="F159" s="70"/>
      <c r="G159" s="70"/>
      <c r="H159" s="70"/>
      <c r="I159" s="70"/>
      <c r="J159" s="70"/>
      <c r="K159" s="70"/>
      <c r="L159" s="70"/>
      <c r="M159" s="70"/>
      <c r="N159" s="70"/>
      <c r="O159" s="70"/>
      <c r="P159" s="70"/>
      <c r="Q159" s="70"/>
      <c r="R159" s="70"/>
      <c r="S159" s="70"/>
      <c r="T159" s="70"/>
      <c r="U159" s="70"/>
      <c r="V159" s="8"/>
      <c r="W159" s="8"/>
    </row>
    <row r="160" spans="3:23">
      <c r="C160" s="70"/>
      <c r="D160" s="70"/>
      <c r="E160" s="70"/>
      <c r="F160" s="70"/>
      <c r="G160" s="70"/>
      <c r="H160" s="70"/>
      <c r="I160" s="70"/>
      <c r="J160" s="70"/>
      <c r="K160" s="70"/>
      <c r="L160" s="70"/>
      <c r="M160" s="70"/>
      <c r="N160" s="70"/>
      <c r="O160" s="70"/>
      <c r="P160" s="70"/>
      <c r="Q160" s="70"/>
      <c r="R160" s="70"/>
      <c r="S160" s="70"/>
      <c r="T160" s="70"/>
      <c r="U160" s="70"/>
      <c r="V160" s="8"/>
      <c r="W160" s="8"/>
    </row>
    <row r="161" spans="3:23">
      <c r="C161" s="70"/>
      <c r="D161" s="70"/>
      <c r="E161" s="70"/>
      <c r="F161" s="70"/>
      <c r="G161" s="70"/>
      <c r="H161" s="70"/>
      <c r="I161" s="70"/>
      <c r="J161" s="70"/>
      <c r="K161" s="70"/>
      <c r="L161" s="70"/>
      <c r="M161" s="70"/>
      <c r="N161" s="70"/>
      <c r="O161" s="70"/>
      <c r="P161" s="70"/>
      <c r="Q161" s="70"/>
      <c r="R161" s="70"/>
      <c r="S161" s="70"/>
      <c r="T161" s="70"/>
      <c r="U161" s="70"/>
      <c r="V161" s="8"/>
      <c r="W161" s="8"/>
    </row>
    <row r="162" spans="3:23">
      <c r="C162" s="70"/>
      <c r="D162" s="70"/>
      <c r="E162" s="70"/>
      <c r="F162" s="70"/>
      <c r="G162" s="70"/>
      <c r="H162" s="70"/>
      <c r="I162" s="70"/>
      <c r="J162" s="70"/>
      <c r="K162" s="70"/>
      <c r="L162" s="70"/>
      <c r="M162" s="70"/>
      <c r="N162" s="70"/>
      <c r="O162" s="70"/>
      <c r="P162" s="70"/>
      <c r="Q162" s="70"/>
      <c r="R162" s="70"/>
      <c r="S162" s="70"/>
      <c r="T162" s="70"/>
      <c r="U162" s="70"/>
      <c r="V162" s="8"/>
      <c r="W162" s="8"/>
    </row>
    <row r="163" spans="3:23">
      <c r="C163" s="70"/>
      <c r="D163" s="70"/>
      <c r="E163" s="70"/>
      <c r="F163" s="70"/>
      <c r="G163" s="70"/>
      <c r="H163" s="70"/>
      <c r="I163" s="70"/>
      <c r="J163" s="70"/>
      <c r="K163" s="70"/>
      <c r="L163" s="70"/>
      <c r="M163" s="70"/>
      <c r="N163" s="70"/>
      <c r="O163" s="70"/>
      <c r="P163" s="70"/>
      <c r="Q163" s="70"/>
      <c r="R163" s="70"/>
      <c r="S163" s="70"/>
      <c r="T163" s="70"/>
      <c r="U163" s="70"/>
      <c r="V163" s="8"/>
      <c r="W163" s="8"/>
    </row>
    <row r="164" spans="3:23">
      <c r="C164" s="70"/>
      <c r="D164" s="70"/>
      <c r="E164" s="70"/>
      <c r="F164" s="70"/>
      <c r="G164" s="70"/>
      <c r="H164" s="70"/>
      <c r="I164" s="70"/>
      <c r="J164" s="70"/>
      <c r="K164" s="70"/>
      <c r="L164" s="70"/>
      <c r="M164" s="70"/>
      <c r="N164" s="70"/>
      <c r="O164" s="70"/>
      <c r="P164" s="70"/>
      <c r="Q164" s="70"/>
      <c r="R164" s="70"/>
      <c r="S164" s="70"/>
      <c r="T164" s="70"/>
      <c r="U164" s="70"/>
      <c r="V164" s="8"/>
      <c r="W164" s="8"/>
    </row>
    <row r="165" spans="3:23">
      <c r="C165" s="70"/>
      <c r="D165" s="70"/>
      <c r="E165" s="70"/>
      <c r="F165" s="70"/>
      <c r="G165" s="70"/>
      <c r="H165" s="70"/>
      <c r="I165" s="70"/>
      <c r="J165" s="70"/>
      <c r="K165" s="70"/>
      <c r="L165" s="70"/>
      <c r="M165" s="70"/>
      <c r="N165" s="70"/>
      <c r="O165" s="70"/>
      <c r="P165" s="70"/>
      <c r="Q165" s="70"/>
      <c r="R165" s="70"/>
      <c r="S165" s="70"/>
      <c r="T165" s="70"/>
      <c r="U165" s="70"/>
      <c r="V165" s="8"/>
      <c r="W165" s="8"/>
    </row>
    <row r="166" spans="3:23">
      <c r="C166" s="70"/>
      <c r="D166" s="70"/>
      <c r="E166" s="70"/>
      <c r="F166" s="70"/>
      <c r="G166" s="70"/>
      <c r="H166" s="70"/>
      <c r="I166" s="70"/>
      <c r="J166" s="70"/>
      <c r="K166" s="70"/>
      <c r="L166" s="70"/>
      <c r="M166" s="70"/>
      <c r="N166" s="70"/>
      <c r="O166" s="70"/>
      <c r="P166" s="70"/>
      <c r="Q166" s="70"/>
      <c r="R166" s="70"/>
      <c r="S166" s="70"/>
      <c r="T166" s="70"/>
      <c r="U166" s="70"/>
      <c r="V166" s="8"/>
      <c r="W166" s="8"/>
    </row>
    <row r="167" spans="3:23">
      <c r="C167" s="70"/>
      <c r="D167" s="70"/>
      <c r="E167" s="70"/>
      <c r="F167" s="70"/>
      <c r="G167" s="70"/>
      <c r="H167" s="70"/>
      <c r="I167" s="70"/>
      <c r="J167" s="70"/>
      <c r="K167" s="70"/>
      <c r="L167" s="70"/>
      <c r="M167" s="70"/>
      <c r="N167" s="70"/>
      <c r="O167" s="70"/>
      <c r="P167" s="70"/>
      <c r="Q167" s="70"/>
      <c r="R167" s="70"/>
      <c r="S167" s="70"/>
      <c r="T167" s="70"/>
      <c r="U167" s="70"/>
      <c r="V167" s="8"/>
      <c r="W167" s="8"/>
    </row>
    <row r="168" spans="3:23">
      <c r="C168" s="70"/>
      <c r="D168" s="70"/>
      <c r="E168" s="70"/>
      <c r="F168" s="70"/>
      <c r="G168" s="70"/>
      <c r="H168" s="70"/>
      <c r="I168" s="70"/>
      <c r="J168" s="70"/>
      <c r="K168" s="70"/>
      <c r="L168" s="70"/>
      <c r="M168" s="70"/>
      <c r="N168" s="70"/>
      <c r="O168" s="70"/>
      <c r="P168" s="70"/>
      <c r="Q168" s="70"/>
      <c r="R168" s="70"/>
      <c r="S168" s="70"/>
      <c r="T168" s="70"/>
      <c r="U168" s="70"/>
      <c r="V168" s="8"/>
      <c r="W168" s="8"/>
    </row>
    <row r="169" spans="3:23">
      <c r="C169" s="70"/>
      <c r="D169" s="70"/>
      <c r="E169" s="70"/>
      <c r="F169" s="70"/>
      <c r="G169" s="70"/>
      <c r="H169" s="70"/>
      <c r="I169" s="70"/>
      <c r="J169" s="70"/>
      <c r="K169" s="70"/>
      <c r="L169" s="70"/>
      <c r="M169" s="70"/>
      <c r="N169" s="70"/>
      <c r="O169" s="70"/>
      <c r="P169" s="70"/>
      <c r="Q169" s="70"/>
      <c r="R169" s="70"/>
      <c r="S169" s="70"/>
      <c r="T169" s="70"/>
      <c r="U169" s="70"/>
      <c r="V169" s="8"/>
      <c r="W169" s="8"/>
    </row>
    <row r="170" spans="3:23">
      <c r="C170" s="70"/>
      <c r="D170" s="70"/>
      <c r="E170" s="70"/>
      <c r="F170" s="70"/>
      <c r="G170" s="70"/>
      <c r="H170" s="70"/>
      <c r="I170" s="70"/>
      <c r="J170" s="70"/>
      <c r="K170" s="70"/>
      <c r="L170" s="70"/>
      <c r="M170" s="70"/>
      <c r="N170" s="70"/>
      <c r="O170" s="70"/>
      <c r="P170" s="70"/>
      <c r="Q170" s="70"/>
      <c r="R170" s="70"/>
      <c r="S170" s="70"/>
      <c r="T170" s="70"/>
      <c r="U170" s="70"/>
      <c r="V170" s="8"/>
      <c r="W170" s="8"/>
    </row>
    <row r="171" spans="3:23">
      <c r="C171" s="15"/>
      <c r="D171" s="15"/>
      <c r="E171" s="15"/>
      <c r="F171" s="15"/>
      <c r="G171" s="15"/>
      <c r="H171" s="15"/>
      <c r="I171" s="15"/>
      <c r="J171" s="80"/>
      <c r="K171" s="80"/>
      <c r="L171" s="15"/>
      <c r="M171" s="80"/>
      <c r="N171" s="15"/>
      <c r="O171" s="80"/>
      <c r="P171" s="15"/>
      <c r="Q171" s="15"/>
      <c r="R171" s="15"/>
      <c r="S171" s="15"/>
      <c r="T171" s="15"/>
      <c r="U171" s="15"/>
    </row>
    <row r="172" spans="3:23">
      <c r="C172" s="15"/>
      <c r="D172" s="15"/>
      <c r="E172" s="15"/>
      <c r="F172" s="15"/>
      <c r="G172" s="15"/>
      <c r="H172" s="15"/>
      <c r="I172" s="15"/>
      <c r="J172" s="80"/>
      <c r="K172" s="80"/>
      <c r="L172" s="15"/>
      <c r="M172" s="80"/>
      <c r="N172" s="15"/>
      <c r="O172" s="80"/>
      <c r="P172" s="15"/>
      <c r="Q172" s="15"/>
      <c r="R172" s="15"/>
      <c r="S172" s="15"/>
      <c r="T172" s="15"/>
      <c r="U172" s="15"/>
    </row>
    <row r="173" spans="3:23">
      <c r="C173" s="15"/>
      <c r="D173" s="15"/>
      <c r="E173" s="15"/>
      <c r="F173" s="15"/>
      <c r="G173" s="15"/>
      <c r="H173" s="15"/>
      <c r="I173" s="15"/>
      <c r="J173" s="80"/>
      <c r="K173" s="80"/>
      <c r="L173" s="15"/>
      <c r="M173" s="80"/>
      <c r="N173" s="15"/>
      <c r="O173" s="80"/>
      <c r="P173" s="15"/>
      <c r="Q173" s="15"/>
      <c r="R173" s="15"/>
      <c r="S173" s="15"/>
      <c r="T173" s="15"/>
      <c r="U173" s="15"/>
    </row>
    <row r="174" spans="3:23">
      <c r="C174" s="15"/>
      <c r="D174" s="15"/>
      <c r="E174" s="15"/>
      <c r="F174" s="15"/>
      <c r="G174" s="15"/>
      <c r="H174" s="15"/>
      <c r="I174" s="15"/>
      <c r="J174" s="80"/>
      <c r="K174" s="80"/>
      <c r="L174" s="15"/>
      <c r="M174" s="80"/>
      <c r="N174" s="15"/>
      <c r="O174" s="80"/>
      <c r="P174" s="15"/>
      <c r="Q174" s="15"/>
      <c r="R174" s="15"/>
      <c r="S174" s="15"/>
      <c r="T174" s="15"/>
      <c r="U174" s="15"/>
    </row>
    <row r="175" spans="3:23">
      <c r="C175" s="15"/>
      <c r="D175" s="15"/>
      <c r="E175" s="15"/>
      <c r="F175" s="15"/>
      <c r="G175" s="15"/>
      <c r="H175" s="15"/>
      <c r="I175" s="15"/>
      <c r="J175" s="80"/>
      <c r="K175" s="80"/>
      <c r="L175" s="15"/>
      <c r="M175" s="80"/>
      <c r="N175" s="15"/>
      <c r="O175" s="80"/>
      <c r="P175" s="15"/>
      <c r="Q175" s="15"/>
      <c r="R175" s="15"/>
      <c r="S175" s="15"/>
      <c r="T175" s="15"/>
      <c r="U175" s="15"/>
    </row>
    <row r="176" spans="3:23">
      <c r="C176" s="15"/>
      <c r="D176" s="15"/>
      <c r="E176" s="15"/>
      <c r="F176" s="15"/>
      <c r="G176" s="15"/>
      <c r="H176" s="15"/>
      <c r="I176" s="15"/>
      <c r="J176" s="80"/>
      <c r="K176" s="80"/>
      <c r="L176" s="15"/>
      <c r="M176" s="80"/>
      <c r="N176" s="15"/>
      <c r="O176" s="80"/>
      <c r="P176" s="15"/>
      <c r="Q176" s="15"/>
      <c r="R176" s="15"/>
      <c r="S176" s="15"/>
      <c r="T176" s="15"/>
      <c r="U176" s="15"/>
    </row>
    <row r="177" spans="3:21">
      <c r="C177" s="15"/>
      <c r="D177" s="15"/>
      <c r="E177" s="15"/>
      <c r="F177" s="15"/>
      <c r="G177" s="15"/>
      <c r="H177" s="15"/>
      <c r="I177" s="15"/>
      <c r="J177" s="80"/>
      <c r="K177" s="80"/>
      <c r="L177" s="15"/>
      <c r="M177" s="80"/>
      <c r="N177" s="15"/>
      <c r="O177" s="80"/>
      <c r="P177" s="15"/>
      <c r="Q177" s="15"/>
      <c r="R177" s="15"/>
      <c r="S177" s="15"/>
      <c r="T177" s="15"/>
      <c r="U177" s="15"/>
    </row>
    <row r="178" spans="3:21">
      <c r="C178" s="15"/>
      <c r="D178" s="15"/>
      <c r="E178" s="15"/>
      <c r="F178" s="15"/>
      <c r="G178" s="15"/>
      <c r="H178" s="15"/>
      <c r="I178" s="15"/>
      <c r="J178" s="80"/>
      <c r="K178" s="80"/>
      <c r="L178" s="15"/>
      <c r="M178" s="80"/>
      <c r="N178" s="15"/>
      <c r="O178" s="80"/>
      <c r="P178" s="15"/>
      <c r="Q178" s="15"/>
      <c r="R178" s="15"/>
      <c r="S178" s="15"/>
      <c r="T178" s="15"/>
      <c r="U178" s="15"/>
    </row>
    <row r="179" spans="3:21">
      <c r="C179" s="15"/>
      <c r="D179" s="15"/>
      <c r="E179" s="15"/>
      <c r="F179" s="15"/>
      <c r="G179" s="15"/>
      <c r="H179" s="15"/>
      <c r="I179" s="15"/>
      <c r="J179" s="80"/>
      <c r="K179" s="80"/>
      <c r="L179" s="15"/>
      <c r="M179" s="80"/>
      <c r="N179" s="15"/>
      <c r="O179" s="80"/>
      <c r="P179" s="15"/>
      <c r="Q179" s="15"/>
      <c r="R179" s="15"/>
      <c r="S179" s="15"/>
      <c r="T179" s="15"/>
      <c r="U179" s="15"/>
    </row>
  </sheetData>
  <mergeCells count="19">
    <mergeCell ref="D17:D18"/>
    <mergeCell ref="I17:I18"/>
    <mergeCell ref="C15:E15"/>
    <mergeCell ref="B6:J6"/>
    <mergeCell ref="C8:E8"/>
    <mergeCell ref="H8:J8"/>
    <mergeCell ref="B4:J4"/>
    <mergeCell ref="B5:J5"/>
    <mergeCell ref="H15:J15"/>
    <mergeCell ref="D10:D11"/>
    <mergeCell ref="I10:I11"/>
    <mergeCell ref="D31:D32"/>
    <mergeCell ref="I31:I32"/>
    <mergeCell ref="C22:E22"/>
    <mergeCell ref="H22:J22"/>
    <mergeCell ref="D24:D25"/>
    <mergeCell ref="I24:I25"/>
    <mergeCell ref="C29:E29"/>
    <mergeCell ref="H29:J29"/>
  </mergeCells>
  <phoneticPr fontId="9" type="noConversion"/>
  <hyperlinks>
    <hyperlink ref="D10:D11" location="'1. Project Details'!A1" display="Go to Project Details" xr:uid="{00000000-0004-0000-0000-000000000000}"/>
    <hyperlink ref="I17:I18" location="'4. Risk'!A1" display="Go to the Risk Log" xr:uid="{00000000-0004-0000-0000-000001000000}"/>
    <hyperlink ref="I10:I11" location="'2. Planning'!A1" display="Go to Project Task Planning" xr:uid="{00000000-0004-0000-0000-000002000000}"/>
    <hyperlink ref="D17:D18" location="'3. Task Monitoring'!A1" display="Go to Project Monitoring" xr:uid="{00000000-0004-0000-0000-000003000000}"/>
    <hyperlink ref="D24:D25" location="'5. Assumptions'!A1" display="Go to Assumptions" xr:uid="{00000000-0004-0000-0000-000004000000}"/>
    <hyperlink ref="I31:I32" location="'8. Meeting Notes'!A1" display="Go to the Risk Log" xr:uid="{00000000-0004-0000-0000-000005000000}"/>
    <hyperlink ref="I24:I25" location="'6. Issue Log'!A1" display="Go to Project Task Planning" xr:uid="{00000000-0004-0000-0000-000006000000}"/>
    <hyperlink ref="D31:D32" location="'7. Dependencies'!A1" display="Go to Project Monitoring" xr:uid="{00000000-0004-0000-0000-000007000000}"/>
  </hyperlinks>
  <pageMargins left="0.25" right="0.25" top="0.59" bottom="0.63" header="0.5" footer="0.5"/>
  <pageSetup scale="69"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1E512-A5BD-449E-BACA-597700AE05CF}">
  <dimension ref="B1:N13"/>
  <sheetViews>
    <sheetView showGridLines="0" zoomScale="70" zoomScaleNormal="70" workbookViewId="0">
      <selection activeCell="C2" sqref="C2:D13"/>
    </sheetView>
  </sheetViews>
  <sheetFormatPr defaultRowHeight="13.2"/>
  <cols>
    <col min="3" max="3" width="77.109375" customWidth="1"/>
    <col min="4" max="5" width="14.109375" customWidth="1"/>
    <col min="6" max="6" width="47.109375" customWidth="1"/>
  </cols>
  <sheetData>
    <row r="1" spans="2:14" ht="23.1" customHeight="1">
      <c r="B1" s="164" t="s">
        <v>18</v>
      </c>
      <c r="C1" s="164" t="s">
        <v>19</v>
      </c>
      <c r="D1" s="164" t="s">
        <v>20</v>
      </c>
      <c r="E1" s="164" t="s">
        <v>21</v>
      </c>
      <c r="F1" s="164" t="s">
        <v>22</v>
      </c>
    </row>
    <row r="2" spans="2:14" ht="17.399999999999999">
      <c r="B2" s="241">
        <v>1</v>
      </c>
      <c r="C2" s="242" t="s">
        <v>23</v>
      </c>
      <c r="D2" s="242"/>
      <c r="E2" s="242"/>
      <c r="F2" s="172"/>
      <c r="H2" s="166" t="s">
        <v>24</v>
      </c>
      <c r="I2" s="167"/>
      <c r="J2" s="167"/>
      <c r="K2" s="167"/>
      <c r="L2" s="167"/>
      <c r="M2" s="167"/>
      <c r="N2" s="167"/>
    </row>
    <row r="3" spans="2:14" ht="17.399999999999999">
      <c r="B3" s="165">
        <v>2</v>
      </c>
      <c r="C3" s="156" t="s">
        <v>25</v>
      </c>
      <c r="D3" s="156"/>
      <c r="E3" s="156"/>
      <c r="F3" s="172"/>
    </row>
    <row r="4" spans="2:14" ht="34.799999999999997">
      <c r="B4" s="165">
        <v>3</v>
      </c>
      <c r="C4" s="156" t="s">
        <v>26</v>
      </c>
      <c r="D4" s="156"/>
      <c r="E4" s="156"/>
      <c r="F4" s="172"/>
    </row>
    <row r="5" spans="2:14" ht="69.599999999999994">
      <c r="B5" s="165">
        <v>4</v>
      </c>
      <c r="C5" s="156" t="s">
        <v>27</v>
      </c>
      <c r="D5" s="156"/>
      <c r="E5" s="156"/>
      <c r="F5" s="173"/>
    </row>
    <row r="6" spans="2:14" ht="52.2">
      <c r="B6" s="165">
        <v>5</v>
      </c>
      <c r="C6" s="156" t="s">
        <v>28</v>
      </c>
      <c r="D6" s="156"/>
      <c r="E6" s="156"/>
      <c r="F6" s="172"/>
    </row>
    <row r="7" spans="2:14" ht="17.399999999999999">
      <c r="B7" s="165">
        <v>6</v>
      </c>
      <c r="C7" s="156" t="s">
        <v>29</v>
      </c>
      <c r="D7" s="156"/>
      <c r="E7" s="156"/>
      <c r="F7" s="172"/>
    </row>
    <row r="8" spans="2:14" ht="34.799999999999997">
      <c r="B8" s="165">
        <v>7</v>
      </c>
      <c r="C8" s="156" t="s">
        <v>30</v>
      </c>
      <c r="D8" s="156"/>
      <c r="E8" s="156"/>
      <c r="F8" s="172"/>
    </row>
    <row r="9" spans="2:14" ht="34.799999999999997">
      <c r="B9" s="165">
        <v>8</v>
      </c>
      <c r="C9" s="156" t="s">
        <v>31</v>
      </c>
      <c r="D9" s="156"/>
      <c r="E9" s="156"/>
      <c r="F9" s="172"/>
    </row>
    <row r="10" spans="2:14" ht="17.399999999999999">
      <c r="B10" s="165">
        <v>9</v>
      </c>
      <c r="C10" s="156" t="s">
        <v>32</v>
      </c>
      <c r="D10" s="156"/>
      <c r="E10" s="156"/>
      <c r="F10" s="172"/>
    </row>
    <row r="11" spans="2:14" ht="52.2">
      <c r="B11" s="165">
        <v>10</v>
      </c>
      <c r="C11" s="156" t="s">
        <v>33</v>
      </c>
      <c r="D11" s="156"/>
      <c r="E11" s="156"/>
      <c r="F11" s="172"/>
    </row>
    <row r="12" spans="2:14" ht="17.399999999999999">
      <c r="B12" s="165">
        <v>11</v>
      </c>
      <c r="C12" s="156" t="s">
        <v>34</v>
      </c>
      <c r="D12" s="156"/>
      <c r="E12" s="156"/>
      <c r="F12" s="172"/>
    </row>
    <row r="13" spans="2:14" ht="34.799999999999997">
      <c r="B13" s="165">
        <v>12</v>
      </c>
      <c r="C13" s="156" t="s">
        <v>35</v>
      </c>
      <c r="D13" s="156"/>
      <c r="E13" s="156"/>
      <c r="F13" s="1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AF41-620B-4ACD-BB58-557FB6D5C212}">
  <dimension ref="A1:E15"/>
  <sheetViews>
    <sheetView showGridLines="0" zoomScale="85" zoomScaleNormal="85" workbookViewId="0">
      <selection activeCell="B2" sqref="B2:C5"/>
    </sheetView>
  </sheetViews>
  <sheetFormatPr defaultColWidth="8.6640625" defaultRowHeight="10.199999999999999"/>
  <cols>
    <col min="1" max="1" width="3.44140625" style="161" bestFit="1" customWidth="1"/>
    <col min="2" max="2" width="22.44140625" style="158" customWidth="1"/>
    <col min="3" max="3" width="92.88671875" style="159" customWidth="1"/>
    <col min="4" max="4" width="13.44140625" style="158" customWidth="1"/>
    <col min="5" max="5" width="35.109375" style="158" customWidth="1"/>
    <col min="6" max="16384" width="8.6640625" style="158"/>
  </cols>
  <sheetData>
    <row r="1" spans="1:5" ht="26.4">
      <c r="A1" s="164" t="s">
        <v>36</v>
      </c>
      <c r="B1" s="164" t="s">
        <v>37</v>
      </c>
      <c r="C1" s="164" t="s">
        <v>38</v>
      </c>
      <c r="D1" s="164" t="s">
        <v>39</v>
      </c>
      <c r="E1" s="164" t="s">
        <v>22</v>
      </c>
    </row>
    <row r="2" spans="1:5" ht="46.8">
      <c r="A2" s="243">
        <v>1</v>
      </c>
      <c r="B2" s="244" t="s">
        <v>40</v>
      </c>
      <c r="C2" s="245" t="s">
        <v>41</v>
      </c>
      <c r="D2" s="245"/>
      <c r="E2" s="245"/>
    </row>
    <row r="3" spans="1:5" ht="218.4">
      <c r="A3" s="160">
        <v>2</v>
      </c>
      <c r="B3" s="163" t="s">
        <v>42</v>
      </c>
      <c r="C3" s="157" t="s">
        <v>43</v>
      </c>
      <c r="D3" s="157"/>
      <c r="E3" s="157"/>
    </row>
    <row r="4" spans="1:5" ht="31.2">
      <c r="A4" s="160">
        <v>3</v>
      </c>
      <c r="B4" s="163" t="s">
        <v>44</v>
      </c>
      <c r="C4" s="157" t="s">
        <v>45</v>
      </c>
      <c r="D4" s="157"/>
      <c r="E4" s="157"/>
    </row>
    <row r="5" spans="1:5" ht="78">
      <c r="A5" s="160">
        <v>4</v>
      </c>
      <c r="B5" s="163" t="s">
        <v>46</v>
      </c>
      <c r="C5" s="157" t="s">
        <v>47</v>
      </c>
      <c r="D5" s="157"/>
      <c r="E5" s="157"/>
    </row>
    <row r="6" spans="1:5" ht="62.4">
      <c r="A6" s="160">
        <v>5</v>
      </c>
      <c r="B6" s="163" t="s">
        <v>48</v>
      </c>
      <c r="C6" s="157" t="s">
        <v>49</v>
      </c>
      <c r="D6" s="157"/>
      <c r="E6" s="157"/>
    </row>
    <row r="7" spans="1:5" ht="46.8">
      <c r="A7" s="160">
        <v>6</v>
      </c>
      <c r="B7" s="163" t="s">
        <v>50</v>
      </c>
      <c r="C7" s="157" t="s">
        <v>51</v>
      </c>
      <c r="D7" s="157"/>
      <c r="E7" s="157"/>
    </row>
    <row r="8" spans="1:5" ht="46.8">
      <c r="A8" s="160">
        <v>7</v>
      </c>
      <c r="B8" s="163" t="s">
        <v>52</v>
      </c>
      <c r="C8" s="157" t="s">
        <v>53</v>
      </c>
      <c r="D8" s="157"/>
      <c r="E8" s="157"/>
    </row>
    <row r="9" spans="1:5" ht="78">
      <c r="A9" s="160">
        <v>8</v>
      </c>
      <c r="B9" s="163" t="s">
        <v>54</v>
      </c>
      <c r="C9" s="157" t="s">
        <v>55</v>
      </c>
      <c r="D9" s="157"/>
      <c r="E9" s="157"/>
    </row>
    <row r="10" spans="1:5" ht="46.8">
      <c r="A10" s="160">
        <v>9</v>
      </c>
      <c r="B10" s="163" t="s">
        <v>56</v>
      </c>
      <c r="C10" s="157" t="s">
        <v>57</v>
      </c>
      <c r="D10" s="157"/>
      <c r="E10" s="157"/>
    </row>
    <row r="11" spans="1:5" ht="31.2">
      <c r="A11" s="160">
        <v>10</v>
      </c>
      <c r="B11" s="163" t="s">
        <v>58</v>
      </c>
      <c r="C11" s="157" t="s">
        <v>59</v>
      </c>
      <c r="D11" s="157"/>
      <c r="E11" s="157"/>
    </row>
    <row r="12" spans="1:5" ht="31.2">
      <c r="A12" s="160">
        <v>11</v>
      </c>
      <c r="B12" s="163" t="s">
        <v>60</v>
      </c>
      <c r="C12" s="157" t="s">
        <v>61</v>
      </c>
      <c r="D12" s="157"/>
      <c r="E12" s="157"/>
    </row>
    <row r="13" spans="1:5" ht="31.2">
      <c r="A13" s="160">
        <v>12</v>
      </c>
      <c r="B13" s="163" t="s">
        <v>62</v>
      </c>
      <c r="C13" s="157" t="s">
        <v>63</v>
      </c>
      <c r="D13" s="157"/>
      <c r="E13" s="157"/>
    </row>
    <row r="14" spans="1:5" ht="31.2">
      <c r="A14" s="160">
        <v>13</v>
      </c>
      <c r="B14" s="163" t="s">
        <v>64</v>
      </c>
      <c r="C14" s="157" t="s">
        <v>65</v>
      </c>
      <c r="D14" s="157"/>
      <c r="E14" s="157"/>
    </row>
    <row r="15" spans="1:5" ht="31.2">
      <c r="A15" s="160">
        <v>14</v>
      </c>
      <c r="B15" s="163" t="s">
        <v>66</v>
      </c>
      <c r="C15" s="157" t="s">
        <v>67</v>
      </c>
      <c r="D15" s="157"/>
      <c r="E15" s="15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50"/>
  <sheetViews>
    <sheetView showGridLines="0" workbookViewId="0">
      <selection activeCell="B6" sqref="B6"/>
    </sheetView>
  </sheetViews>
  <sheetFormatPr defaultRowHeight="13.2"/>
  <cols>
    <col min="1" max="1" width="4.109375" customWidth="1"/>
    <col min="2" max="2" width="15" customWidth="1"/>
    <col min="3" max="3" width="13.44140625" bestFit="1" customWidth="1"/>
    <col min="4" max="4" width="25.109375" customWidth="1"/>
    <col min="5" max="5" width="17" bestFit="1" customWidth="1"/>
    <col min="6" max="6" width="20.109375" customWidth="1"/>
    <col min="7" max="7" width="12.5546875" customWidth="1"/>
    <col min="8" max="8" width="25.44140625" customWidth="1"/>
    <col min="9" max="9" width="28.5546875" customWidth="1"/>
  </cols>
  <sheetData>
    <row r="2" spans="2:9">
      <c r="B2" s="69" t="s">
        <v>68</v>
      </c>
    </row>
    <row r="4" spans="2:9" ht="13.8" thickBot="1"/>
    <row r="5" spans="2:9" ht="13.8" thickBot="1">
      <c r="B5" s="162" t="s">
        <v>69</v>
      </c>
      <c r="C5" s="162" t="s">
        <v>70</v>
      </c>
      <c r="D5" s="162" t="s">
        <v>71</v>
      </c>
      <c r="E5" s="162" t="s">
        <v>72</v>
      </c>
      <c r="F5" s="162" t="s">
        <v>73</v>
      </c>
      <c r="G5" s="162" t="s">
        <v>74</v>
      </c>
      <c r="H5" s="162" t="s">
        <v>75</v>
      </c>
      <c r="I5" s="162" t="s">
        <v>22</v>
      </c>
    </row>
    <row r="6" spans="2:9" s="83" customFormat="1">
      <c r="B6" s="102"/>
      <c r="C6" s="103"/>
      <c r="D6" s="103"/>
      <c r="E6" s="103"/>
      <c r="F6" s="103"/>
      <c r="G6" s="103"/>
      <c r="H6" s="103"/>
      <c r="I6" s="103"/>
    </row>
    <row r="7" spans="2:9" s="83" customFormat="1">
      <c r="B7" s="103"/>
      <c r="C7" s="102"/>
      <c r="D7" s="102"/>
      <c r="E7" s="102"/>
      <c r="F7" s="102"/>
      <c r="G7" s="102"/>
      <c r="H7" s="102"/>
      <c r="I7" s="103"/>
    </row>
    <row r="8" spans="2:9" s="83" customFormat="1">
      <c r="B8" s="82"/>
      <c r="C8" s="81"/>
      <c r="D8" s="84"/>
      <c r="E8" s="84"/>
      <c r="F8" s="81"/>
      <c r="G8" s="81"/>
      <c r="H8" s="81"/>
      <c r="I8" s="82"/>
    </row>
    <row r="9" spans="2:9" s="83" customFormat="1">
      <c r="B9" s="82"/>
      <c r="C9" s="81"/>
      <c r="D9" s="84"/>
      <c r="E9" s="84"/>
      <c r="F9" s="81"/>
      <c r="G9" s="81"/>
      <c r="H9" s="81"/>
      <c r="I9" s="82"/>
    </row>
    <row r="10" spans="2:9" s="83" customFormat="1">
      <c r="B10" s="82"/>
      <c r="C10" s="81"/>
      <c r="D10" s="84"/>
      <c r="E10" s="84"/>
      <c r="F10" s="81"/>
      <c r="G10" s="81"/>
      <c r="H10" s="81"/>
      <c r="I10" s="82"/>
    </row>
    <row r="11" spans="2:9" s="83" customFormat="1">
      <c r="B11" s="82"/>
      <c r="C11" s="81"/>
      <c r="D11" s="81"/>
      <c r="E11" s="81"/>
      <c r="F11" s="81"/>
      <c r="G11" s="81"/>
      <c r="H11" s="81"/>
      <c r="I11" s="82"/>
    </row>
    <row r="12" spans="2:9" s="83" customFormat="1">
      <c r="B12" s="82"/>
      <c r="C12" s="81"/>
      <c r="D12" s="84"/>
      <c r="E12" s="84"/>
      <c r="F12" s="81"/>
      <c r="G12" s="81"/>
      <c r="H12" s="81"/>
      <c r="I12" s="82"/>
    </row>
    <row r="13" spans="2:9" s="83" customFormat="1">
      <c r="B13" s="81"/>
      <c r="C13" s="81"/>
      <c r="D13" s="81"/>
      <c r="E13" s="81"/>
      <c r="F13" s="81"/>
      <c r="G13" s="81"/>
      <c r="H13" s="81"/>
      <c r="I13" s="82"/>
    </row>
    <row r="14" spans="2:9" s="83" customFormat="1">
      <c r="B14" s="81"/>
      <c r="C14" s="81"/>
      <c r="D14" s="81"/>
      <c r="E14" s="81"/>
      <c r="F14" s="81"/>
      <c r="G14" s="81"/>
      <c r="H14" s="81"/>
      <c r="I14" s="82"/>
    </row>
    <row r="15" spans="2:9" s="83" customFormat="1">
      <c r="B15" s="81"/>
      <c r="C15" s="81"/>
      <c r="D15" s="81"/>
      <c r="E15" s="81"/>
      <c r="F15" s="81"/>
      <c r="G15" s="81"/>
      <c r="H15" s="81"/>
      <c r="I15" s="82"/>
    </row>
    <row r="16" spans="2:9" s="83" customFormat="1">
      <c r="B16" s="81"/>
      <c r="C16" s="81"/>
      <c r="D16" s="81"/>
      <c r="E16" s="81"/>
      <c r="F16" s="81"/>
      <c r="G16" s="81"/>
      <c r="H16" s="81"/>
      <c r="I16" s="82"/>
    </row>
    <row r="17" spans="2:9" s="83" customFormat="1">
      <c r="B17" s="81"/>
      <c r="C17" s="81"/>
      <c r="D17" s="81"/>
      <c r="E17" s="81"/>
      <c r="F17" s="81"/>
      <c r="G17" s="81"/>
      <c r="H17" s="81"/>
      <c r="I17" s="82"/>
    </row>
    <row r="18" spans="2:9" s="83" customFormat="1">
      <c r="B18" s="81"/>
      <c r="C18" s="81"/>
      <c r="D18" s="81"/>
      <c r="E18" s="81"/>
      <c r="G18" s="81"/>
      <c r="H18" s="81"/>
      <c r="I18" s="82"/>
    </row>
    <row r="19" spans="2:9" s="83" customFormat="1">
      <c r="B19" s="81"/>
      <c r="C19" s="81"/>
      <c r="D19" s="81"/>
      <c r="E19" s="81"/>
      <c r="F19" s="81"/>
      <c r="G19" s="81"/>
      <c r="H19" s="81"/>
      <c r="I19" s="82"/>
    </row>
    <row r="20" spans="2:9" s="83" customFormat="1">
      <c r="B20" s="81"/>
      <c r="C20" s="81"/>
      <c r="D20" s="81"/>
      <c r="E20" s="81"/>
      <c r="F20" s="81"/>
      <c r="G20" s="81"/>
      <c r="H20" s="81"/>
      <c r="I20" s="82"/>
    </row>
    <row r="21" spans="2:9" s="83" customFormat="1">
      <c r="B21" s="81"/>
      <c r="C21" s="81"/>
      <c r="D21" s="81"/>
      <c r="E21" s="81"/>
      <c r="F21" s="81"/>
      <c r="G21" s="81"/>
      <c r="H21" s="81"/>
      <c r="I21" s="82"/>
    </row>
    <row r="22" spans="2:9" s="83" customFormat="1">
      <c r="B22" s="81"/>
      <c r="C22" s="81"/>
      <c r="D22" s="81"/>
      <c r="E22" s="81"/>
      <c r="F22" s="85"/>
      <c r="G22" s="81"/>
      <c r="H22" s="81"/>
      <c r="I22" s="82"/>
    </row>
    <row r="23" spans="2:9" s="83" customFormat="1">
      <c r="B23" s="81"/>
      <c r="C23" s="81"/>
      <c r="D23" s="81"/>
      <c r="E23" s="81"/>
      <c r="F23" s="81"/>
      <c r="G23" s="81"/>
      <c r="H23" s="81"/>
      <c r="I23" s="82"/>
    </row>
    <row r="24" spans="2:9" s="83" customFormat="1">
      <c r="B24" s="81"/>
      <c r="C24" s="81"/>
      <c r="D24" s="81"/>
      <c r="E24" s="81"/>
      <c r="F24" s="81"/>
      <c r="G24" s="81"/>
      <c r="H24" s="81"/>
    </row>
    <row r="25" spans="2:9" s="83" customFormat="1">
      <c r="B25" s="81"/>
      <c r="C25" s="81"/>
      <c r="D25" s="81"/>
      <c r="E25" s="81"/>
      <c r="F25" s="81"/>
      <c r="G25" s="81"/>
      <c r="H25" s="81"/>
      <c r="I25" s="81"/>
    </row>
    <row r="26" spans="2:9" s="83" customFormat="1">
      <c r="B26" s="81"/>
      <c r="C26" s="81"/>
      <c r="D26" s="81"/>
      <c r="E26" s="81"/>
      <c r="F26" s="81"/>
      <c r="G26" s="81"/>
      <c r="H26" s="81"/>
      <c r="I26" s="81"/>
    </row>
    <row r="27" spans="2:9" s="83" customFormat="1">
      <c r="B27" s="81"/>
      <c r="C27" s="81"/>
      <c r="D27" s="81"/>
      <c r="E27" s="81"/>
      <c r="F27" s="81"/>
      <c r="G27" s="81"/>
      <c r="H27" s="81"/>
      <c r="I27" s="81"/>
    </row>
    <row r="28" spans="2:9" s="83" customFormat="1">
      <c r="B28" s="81"/>
      <c r="C28" s="81"/>
      <c r="D28" s="81"/>
      <c r="E28" s="81"/>
      <c r="F28" s="81"/>
      <c r="G28" s="81"/>
      <c r="H28" s="81"/>
      <c r="I28" s="81"/>
    </row>
    <row r="29" spans="2:9" s="83" customFormat="1">
      <c r="B29" s="81"/>
      <c r="C29" s="81"/>
      <c r="D29" s="81"/>
      <c r="E29" s="81"/>
      <c r="F29" s="81"/>
      <c r="G29" s="81"/>
      <c r="H29" s="81"/>
      <c r="I29" s="81"/>
    </row>
    <row r="30" spans="2:9" s="83" customFormat="1">
      <c r="B30" s="81"/>
      <c r="C30" s="81"/>
      <c r="D30" s="81"/>
      <c r="E30" s="81"/>
      <c r="F30" s="81"/>
      <c r="G30" s="81"/>
      <c r="H30" s="81"/>
      <c r="I30" s="81"/>
    </row>
    <row r="31" spans="2:9" s="83" customFormat="1">
      <c r="B31" s="81"/>
      <c r="C31" s="82"/>
      <c r="D31" s="82"/>
      <c r="E31" s="82"/>
      <c r="F31" s="82"/>
      <c r="G31" s="82"/>
      <c r="H31" s="82"/>
      <c r="I31" s="82"/>
    </row>
    <row r="32" spans="2:9" s="83" customFormat="1">
      <c r="B32" s="82"/>
      <c r="C32" s="81"/>
      <c r="D32" s="84"/>
      <c r="E32" s="84"/>
      <c r="F32" s="81"/>
      <c r="G32" s="81"/>
      <c r="H32" s="81"/>
      <c r="I32" s="82"/>
    </row>
    <row r="33" spans="2:9" s="83" customFormat="1">
      <c r="B33" s="82"/>
      <c r="C33" s="81"/>
      <c r="D33" s="84"/>
      <c r="E33" s="84"/>
      <c r="F33" s="82"/>
      <c r="G33" s="81"/>
      <c r="H33" s="81"/>
      <c r="I33" s="82"/>
    </row>
    <row r="34" spans="2:9" s="83" customFormat="1">
      <c r="B34" s="82"/>
      <c r="C34" s="81"/>
      <c r="D34" s="84"/>
      <c r="E34" s="84"/>
      <c r="F34" s="82"/>
      <c r="G34" s="81"/>
      <c r="H34" s="81"/>
      <c r="I34" s="82"/>
    </row>
    <row r="35" spans="2:9" s="83" customFormat="1">
      <c r="B35" s="82"/>
      <c r="C35" s="81"/>
      <c r="D35" s="81"/>
      <c r="E35" s="84"/>
      <c r="F35" s="81"/>
      <c r="G35" s="81"/>
      <c r="H35" s="81"/>
      <c r="I35" s="82"/>
    </row>
    <row r="36" spans="2:9" s="83" customFormat="1">
      <c r="B36" s="81"/>
      <c r="C36" s="81"/>
      <c r="D36" s="81"/>
      <c r="E36" s="81"/>
      <c r="F36" s="81"/>
      <c r="G36" s="81"/>
      <c r="H36" s="81"/>
      <c r="I36" s="82"/>
    </row>
    <row r="37" spans="2:9" s="83" customFormat="1">
      <c r="B37" s="81"/>
      <c r="C37" s="81"/>
      <c r="D37" s="84"/>
      <c r="E37" s="84"/>
      <c r="F37" s="81"/>
      <c r="G37" s="81"/>
      <c r="H37" s="81"/>
      <c r="I37" s="82"/>
    </row>
    <row r="38" spans="2:9" s="83" customFormat="1">
      <c r="B38" s="81"/>
      <c r="C38" s="81"/>
      <c r="D38" s="84"/>
      <c r="E38" s="84"/>
      <c r="F38" s="81"/>
      <c r="G38" s="81"/>
      <c r="H38" s="81"/>
      <c r="I38" s="82"/>
    </row>
    <row r="39" spans="2:9" s="83" customFormat="1">
      <c r="B39" s="81"/>
      <c r="C39" s="81"/>
      <c r="D39" s="84"/>
      <c r="E39" s="84"/>
      <c r="F39" s="81"/>
      <c r="G39" s="81"/>
      <c r="H39" s="81"/>
      <c r="I39" s="82"/>
    </row>
    <row r="40" spans="2:9" s="83" customFormat="1">
      <c r="B40" s="81"/>
      <c r="C40" s="81"/>
      <c r="D40" s="84"/>
      <c r="E40" s="84"/>
      <c r="F40" s="81"/>
      <c r="G40" s="81"/>
      <c r="H40" s="81"/>
      <c r="I40" s="82"/>
    </row>
    <row r="41" spans="2:9" s="83" customFormat="1">
      <c r="B41" s="81"/>
      <c r="C41" s="82"/>
      <c r="D41" s="82"/>
      <c r="E41" s="82"/>
      <c r="F41" s="82"/>
      <c r="G41" s="82"/>
      <c r="H41" s="82"/>
      <c r="I41" s="82"/>
    </row>
    <row r="42" spans="2:9" s="83" customFormat="1">
      <c r="B42" s="82"/>
      <c r="C42" s="81"/>
      <c r="D42" s="84"/>
      <c r="E42" s="84"/>
      <c r="F42" s="81"/>
      <c r="G42" s="81"/>
      <c r="H42" s="81"/>
      <c r="I42" s="82"/>
    </row>
    <row r="43" spans="2:9" s="83" customFormat="1">
      <c r="B43" s="82"/>
      <c r="C43" s="81"/>
      <c r="D43" s="84"/>
      <c r="E43" s="84"/>
      <c r="F43" s="81"/>
      <c r="G43" s="81"/>
      <c r="H43" s="81"/>
      <c r="I43" s="82"/>
    </row>
    <row r="44" spans="2:9" s="83" customFormat="1">
      <c r="B44" s="82"/>
      <c r="C44" s="81"/>
      <c r="D44" s="84"/>
      <c r="E44" s="84"/>
      <c r="F44" s="82"/>
      <c r="G44" s="81"/>
      <c r="H44" s="81"/>
      <c r="I44" s="81"/>
    </row>
    <row r="45" spans="2:9" s="83" customFormat="1">
      <c r="B45" s="81"/>
      <c r="C45" s="81"/>
      <c r="D45" s="81"/>
      <c r="E45" s="81"/>
      <c r="F45" s="81"/>
      <c r="G45" s="81"/>
      <c r="H45" s="81"/>
      <c r="I45" s="82"/>
    </row>
    <row r="46" spans="2:9" s="83" customFormat="1">
      <c r="B46" s="81"/>
      <c r="C46" s="81"/>
      <c r="D46" s="84"/>
      <c r="E46" s="81"/>
      <c r="F46" s="81"/>
      <c r="G46" s="81"/>
      <c r="H46" s="81"/>
      <c r="I46" s="82"/>
    </row>
    <row r="47" spans="2:9" s="83" customFormat="1">
      <c r="B47" s="82"/>
      <c r="C47" s="81"/>
      <c r="D47" s="84"/>
      <c r="E47" s="84"/>
      <c r="F47" s="81"/>
      <c r="G47" s="81"/>
      <c r="H47" s="81"/>
      <c r="I47" s="82"/>
    </row>
    <row r="48" spans="2:9" s="83" customFormat="1">
      <c r="B48" s="81"/>
      <c r="C48" s="81"/>
      <c r="D48" s="81"/>
      <c r="E48" s="81"/>
      <c r="F48" s="81"/>
      <c r="G48" s="81"/>
      <c r="H48" s="81"/>
      <c r="I48" s="82"/>
    </row>
    <row r="49" spans="2:9" s="83" customFormat="1">
      <c r="B49" s="81"/>
      <c r="C49" s="81"/>
      <c r="D49" s="81"/>
      <c r="E49" s="81"/>
      <c r="F49" s="81"/>
      <c r="G49" s="81"/>
      <c r="H49" s="81"/>
      <c r="I49" s="82"/>
    </row>
    <row r="50" spans="2:9" s="83" customFormat="1">
      <c r="B50" s="81"/>
      <c r="C50" s="81"/>
      <c r="D50" s="81"/>
      <c r="E50" s="81"/>
      <c r="F50" s="81"/>
      <c r="G50" s="81"/>
      <c r="H50" s="81"/>
      <c r="I50" s="8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P204"/>
  <sheetViews>
    <sheetView showGridLines="0" zoomScale="70" zoomScaleNormal="70" workbookViewId="0">
      <selection activeCell="G20" sqref="G20"/>
    </sheetView>
  </sheetViews>
  <sheetFormatPr defaultRowHeight="13.2"/>
  <cols>
    <col min="1" max="1" width="2.88671875" customWidth="1"/>
    <col min="2" max="2" width="41.109375" customWidth="1"/>
    <col min="3" max="3" width="3.88671875" customWidth="1"/>
    <col min="4" max="4" width="14.44140625" customWidth="1"/>
    <col min="5" max="5" width="29.109375" customWidth="1"/>
    <col min="6" max="6" width="4.44140625" customWidth="1"/>
    <col min="7" max="7" width="45.109375" customWidth="1"/>
    <col min="8" max="8" width="10.109375" style="4" bestFit="1" customWidth="1"/>
  </cols>
  <sheetData>
    <row r="1" spans="2:16" ht="15" customHeight="1"/>
    <row r="2" spans="2:16" ht="34.5" customHeight="1">
      <c r="B2" s="118" t="s">
        <v>2</v>
      </c>
      <c r="C2" s="2"/>
      <c r="D2" s="3"/>
      <c r="E2" s="3"/>
      <c r="F2" s="22" t="s">
        <v>76</v>
      </c>
    </row>
    <row r="3" spans="2:16" ht="16.5" customHeight="1">
      <c r="B3" s="1"/>
      <c r="C3" s="1"/>
      <c r="F3" s="18"/>
    </row>
    <row r="4" spans="2:16" ht="16.5" customHeight="1">
      <c r="B4" s="379"/>
      <c r="C4" s="379"/>
      <c r="D4" s="379"/>
      <c r="E4" s="379"/>
      <c r="F4" s="379"/>
    </row>
    <row r="5" spans="2:16" s="5" customFormat="1" ht="15" customHeight="1" thickBot="1">
      <c r="B5" s="70"/>
      <c r="C5" s="70"/>
      <c r="D5" s="70"/>
      <c r="E5" s="70"/>
      <c r="F5" s="70"/>
      <c r="G5" s="70"/>
      <c r="H5" s="70"/>
      <c r="I5" s="70"/>
      <c r="J5" s="70"/>
      <c r="K5" s="70"/>
      <c r="L5" s="70"/>
      <c r="M5" s="70"/>
      <c r="N5" s="70"/>
      <c r="O5" s="6"/>
      <c r="P5" s="6"/>
    </row>
    <row r="6" spans="2:16" s="5" customFormat="1" ht="29.25" customHeight="1" thickBot="1">
      <c r="B6" s="387" t="s">
        <v>70</v>
      </c>
      <c r="C6" s="387"/>
      <c r="D6" s="384"/>
      <c r="E6" s="383"/>
      <c r="F6" s="70"/>
      <c r="G6" s="70"/>
      <c r="H6" s="70"/>
      <c r="I6" s="70"/>
      <c r="J6" s="70"/>
      <c r="K6" s="70"/>
      <c r="L6" s="70"/>
      <c r="M6" s="70"/>
      <c r="N6" s="70"/>
      <c r="O6" s="6"/>
      <c r="P6" s="6"/>
    </row>
    <row r="7" spans="2:16" s="5" customFormat="1" ht="15" customHeight="1" thickBot="1">
      <c r="B7" s="115"/>
      <c r="C7" s="115"/>
      <c r="D7" s="113"/>
      <c r="E7" s="113"/>
      <c r="F7" s="70"/>
      <c r="G7" s="70"/>
      <c r="H7" s="70"/>
      <c r="I7" s="70"/>
      <c r="J7" s="70"/>
      <c r="K7" s="70"/>
      <c r="L7" s="70"/>
      <c r="M7" s="70"/>
      <c r="N7" s="70"/>
      <c r="O7" s="6"/>
      <c r="P7" s="6"/>
    </row>
    <row r="8" spans="2:16" s="5" customFormat="1" ht="29.25" customHeight="1" thickBot="1">
      <c r="B8" s="387" t="s">
        <v>77</v>
      </c>
      <c r="C8" s="387"/>
      <c r="D8" s="388"/>
      <c r="E8" s="389"/>
      <c r="F8" s="70"/>
      <c r="G8" s="70"/>
      <c r="H8" s="70"/>
      <c r="I8" s="70"/>
      <c r="J8" s="70"/>
      <c r="K8" s="70"/>
      <c r="L8" s="70"/>
      <c r="M8" s="70"/>
      <c r="N8" s="70"/>
      <c r="O8" s="6"/>
      <c r="P8" s="6"/>
    </row>
    <row r="9" spans="2:16" s="5" customFormat="1" ht="15" customHeight="1" thickBot="1">
      <c r="B9" s="116"/>
      <c r="C9" s="116"/>
      <c r="D9" s="117"/>
      <c r="E9" s="117"/>
      <c r="F9" s="70"/>
      <c r="G9" s="70"/>
      <c r="H9" s="70"/>
      <c r="I9" s="70"/>
      <c r="J9" s="70"/>
      <c r="K9" s="70"/>
      <c r="L9" s="70"/>
      <c r="M9" s="70"/>
      <c r="N9" s="70"/>
      <c r="O9" s="6"/>
      <c r="P9" s="6"/>
    </row>
    <row r="10" spans="2:16" s="5" customFormat="1" ht="29.25" customHeight="1" thickBot="1">
      <c r="B10" s="385" t="s">
        <v>78</v>
      </c>
      <c r="C10" s="386"/>
      <c r="D10" s="388"/>
      <c r="E10" s="389"/>
      <c r="F10" s="70"/>
      <c r="G10" s="70"/>
      <c r="H10" s="70"/>
      <c r="I10" s="70"/>
      <c r="J10" s="70"/>
      <c r="K10" s="70"/>
      <c r="L10" s="70"/>
      <c r="M10" s="70"/>
      <c r="N10" s="70"/>
      <c r="O10" s="6"/>
      <c r="P10" s="6"/>
    </row>
    <row r="11" spans="2:16" s="5" customFormat="1" ht="15" customHeight="1" thickBot="1">
      <c r="B11" s="116"/>
      <c r="C11" s="116"/>
      <c r="D11" s="117"/>
      <c r="E11" s="117"/>
      <c r="F11" s="70"/>
      <c r="G11" s="70"/>
      <c r="H11" s="70"/>
      <c r="I11" s="70"/>
      <c r="J11" s="70"/>
      <c r="K11" s="70"/>
      <c r="L11" s="70"/>
      <c r="M11" s="70"/>
      <c r="N11" s="70"/>
      <c r="O11" s="6"/>
      <c r="P11" s="6"/>
    </row>
    <row r="12" spans="2:16" s="5" customFormat="1" ht="29.25" customHeight="1" thickBot="1">
      <c r="B12" s="385" t="s">
        <v>79</v>
      </c>
      <c r="C12" s="386"/>
      <c r="D12" s="382"/>
      <c r="E12" s="383"/>
      <c r="F12" s="70"/>
      <c r="G12" s="70"/>
      <c r="H12" s="70"/>
      <c r="I12" s="70"/>
      <c r="J12" s="70"/>
      <c r="K12" s="70"/>
      <c r="L12" s="70"/>
      <c r="M12" s="70"/>
      <c r="N12" s="70"/>
      <c r="O12" s="6"/>
      <c r="P12" s="6"/>
    </row>
    <row r="13" spans="2:16" s="7" customFormat="1" ht="15" customHeight="1" thickBot="1">
      <c r="B13" s="70"/>
      <c r="C13" s="70"/>
      <c r="D13" s="70"/>
      <c r="E13" s="70"/>
      <c r="F13" s="70"/>
      <c r="G13" s="70"/>
      <c r="H13" s="70"/>
      <c r="I13" s="70"/>
      <c r="J13" s="70"/>
      <c r="K13" s="70"/>
      <c r="L13" s="70"/>
      <c r="M13" s="70"/>
      <c r="N13" s="70"/>
      <c r="O13" s="8"/>
      <c r="P13" s="8"/>
    </row>
    <row r="14" spans="2:16" s="7" customFormat="1" ht="36" customHeight="1" thickBot="1">
      <c r="B14" s="110" t="s">
        <v>80</v>
      </c>
      <c r="C14" s="6"/>
      <c r="D14" s="380" t="s">
        <v>81</v>
      </c>
      <c r="E14" s="381"/>
      <c r="F14" s="70"/>
      <c r="G14" s="110" t="s">
        <v>82</v>
      </c>
      <c r="H14" s="370" t="s">
        <v>83</v>
      </c>
      <c r="I14" s="371"/>
      <c r="J14" s="371"/>
      <c r="K14" s="371"/>
      <c r="L14" s="371"/>
      <c r="M14" s="372"/>
    </row>
    <row r="15" spans="2:16" s="7" customFormat="1" ht="20.25" customHeight="1" thickBot="1">
      <c r="B15" s="111" t="s">
        <v>84</v>
      </c>
      <c r="C15" s="6"/>
      <c r="D15" s="111" t="s">
        <v>85</v>
      </c>
      <c r="E15" s="111" t="s">
        <v>86</v>
      </c>
      <c r="F15" s="70"/>
      <c r="G15" s="111"/>
      <c r="H15" s="373" t="s">
        <v>87</v>
      </c>
      <c r="I15" s="374"/>
      <c r="J15" s="375"/>
      <c r="K15" s="174" t="s">
        <v>88</v>
      </c>
      <c r="L15" s="174" t="s">
        <v>89</v>
      </c>
      <c r="M15" s="174" t="s">
        <v>90</v>
      </c>
    </row>
    <row r="16" spans="2:16" s="7" customFormat="1">
      <c r="B16" s="112"/>
      <c r="C16" s="70"/>
      <c r="D16" s="129"/>
      <c r="E16" s="130"/>
      <c r="F16" s="70"/>
      <c r="G16" s="114" t="s">
        <v>91</v>
      </c>
      <c r="H16" s="376"/>
      <c r="I16" s="377"/>
      <c r="J16" s="378"/>
      <c r="K16" s="176"/>
      <c r="L16" s="176"/>
      <c r="M16" s="176"/>
    </row>
    <row r="17" spans="2:16" s="7" customFormat="1">
      <c r="B17" s="112"/>
      <c r="C17" s="70"/>
      <c r="D17" s="129"/>
      <c r="E17" s="130"/>
      <c r="F17" s="70"/>
      <c r="G17" s="131" t="s">
        <v>92</v>
      </c>
      <c r="H17" s="175"/>
      <c r="I17" s="246"/>
      <c r="J17" s="212"/>
      <c r="K17" s="177"/>
      <c r="L17" s="177"/>
      <c r="M17" s="177"/>
    </row>
    <row r="18" spans="2:16" s="7" customFormat="1">
      <c r="B18" s="112"/>
      <c r="C18" s="70"/>
      <c r="D18" s="129"/>
      <c r="E18" s="130"/>
      <c r="F18" s="70"/>
      <c r="G18" s="131" t="s">
        <v>93</v>
      </c>
      <c r="H18" s="175"/>
      <c r="I18" s="246"/>
      <c r="J18" s="212"/>
      <c r="K18" s="176"/>
      <c r="L18" s="176"/>
      <c r="M18" s="176"/>
    </row>
    <row r="19" spans="2:16" s="7" customFormat="1">
      <c r="B19" s="112"/>
      <c r="C19" s="70"/>
      <c r="D19" s="129"/>
      <c r="E19" s="130"/>
      <c r="F19" s="70"/>
      <c r="G19" s="130" t="s">
        <v>94</v>
      </c>
      <c r="H19" s="178"/>
      <c r="I19" s="246"/>
      <c r="J19" s="212"/>
      <c r="K19" s="176"/>
      <c r="L19" s="176"/>
      <c r="M19" s="176"/>
    </row>
    <row r="20" spans="2:16" s="7" customFormat="1" ht="12.9" customHeight="1">
      <c r="B20" s="131"/>
      <c r="C20" s="70"/>
      <c r="D20" s="129"/>
      <c r="E20" s="130"/>
      <c r="F20" s="70"/>
      <c r="G20" s="130" t="s">
        <v>95</v>
      </c>
      <c r="H20" s="178"/>
      <c r="I20" s="246"/>
      <c r="J20" s="212"/>
      <c r="K20" s="176"/>
      <c r="L20" s="176"/>
      <c r="M20" s="176"/>
    </row>
    <row r="21" spans="2:16" s="7" customFormat="1">
      <c r="B21" s="131"/>
      <c r="C21" s="70"/>
      <c r="D21" s="132"/>
      <c r="E21" s="133"/>
      <c r="F21" s="70"/>
      <c r="G21" s="133"/>
      <c r="H21" s="178"/>
      <c r="I21" s="246"/>
      <c r="J21" s="212"/>
      <c r="K21" s="176"/>
      <c r="L21" s="176"/>
      <c r="M21" s="176"/>
    </row>
    <row r="22" spans="2:16" s="7" customFormat="1">
      <c r="B22" s="131"/>
      <c r="C22" s="70"/>
      <c r="D22" s="132"/>
      <c r="E22" s="133"/>
      <c r="F22" s="70"/>
      <c r="G22" s="133"/>
      <c r="H22" s="178"/>
      <c r="I22" s="246"/>
      <c r="J22" s="212"/>
      <c r="K22" s="179"/>
      <c r="L22" s="179"/>
      <c r="M22" s="179"/>
    </row>
    <row r="23" spans="2:16" s="7" customFormat="1">
      <c r="B23" s="131"/>
      <c r="C23" s="70"/>
      <c r="D23" s="132"/>
      <c r="E23" s="133"/>
      <c r="F23" s="70"/>
      <c r="G23" s="133"/>
      <c r="H23" s="178"/>
      <c r="I23" s="246"/>
      <c r="J23" s="212"/>
      <c r="K23" s="179"/>
      <c r="L23" s="179"/>
      <c r="M23" s="179"/>
    </row>
    <row r="24" spans="2:16" s="7" customFormat="1">
      <c r="B24" s="131"/>
      <c r="C24" s="70"/>
      <c r="D24" s="132"/>
      <c r="E24" s="133"/>
      <c r="F24" s="70"/>
      <c r="G24" s="133"/>
      <c r="H24" s="178"/>
      <c r="I24" s="246"/>
      <c r="J24" s="212"/>
      <c r="K24" s="179"/>
      <c r="L24" s="179"/>
      <c r="M24" s="179"/>
    </row>
    <row r="25" spans="2:16" s="7" customFormat="1">
      <c r="B25" s="70"/>
      <c r="C25" s="70"/>
      <c r="D25" s="70"/>
      <c r="E25" s="70"/>
      <c r="F25" s="70"/>
      <c r="G25" s="70"/>
      <c r="H25" s="70"/>
      <c r="I25" s="70"/>
      <c r="J25" s="70"/>
      <c r="K25" s="70"/>
      <c r="L25" s="70"/>
      <c r="M25" s="70"/>
      <c r="N25" s="70"/>
      <c r="O25" s="8"/>
      <c r="P25" s="8"/>
    </row>
    <row r="26" spans="2:16">
      <c r="B26" s="70"/>
      <c r="C26" s="70"/>
      <c r="D26" s="70"/>
      <c r="E26" s="70"/>
      <c r="F26" s="70"/>
      <c r="G26" s="70"/>
      <c r="H26" s="70"/>
      <c r="I26" s="70"/>
      <c r="J26" s="70"/>
      <c r="K26" s="70"/>
      <c r="L26" s="70"/>
      <c r="M26" s="70"/>
      <c r="N26" s="70"/>
      <c r="O26" s="8"/>
      <c r="P26" s="8"/>
    </row>
    <row r="27" spans="2:16">
      <c r="B27" s="70"/>
      <c r="C27" s="70"/>
      <c r="D27" s="70"/>
      <c r="E27" s="70"/>
      <c r="F27" s="70"/>
      <c r="G27" s="70"/>
      <c r="H27" s="70"/>
      <c r="I27" s="70"/>
      <c r="J27" s="70"/>
      <c r="K27" s="70"/>
      <c r="L27" s="70"/>
      <c r="M27" s="70"/>
      <c r="N27" s="70"/>
      <c r="O27" s="8"/>
      <c r="P27" s="8"/>
    </row>
    <row r="28" spans="2:16">
      <c r="B28" s="70"/>
      <c r="C28" s="70"/>
      <c r="D28" s="70"/>
      <c r="E28" s="70"/>
      <c r="F28" s="70"/>
      <c r="G28" s="70"/>
      <c r="H28" s="70"/>
      <c r="I28" s="70"/>
      <c r="J28" s="70"/>
      <c r="K28" s="70"/>
      <c r="L28" s="70"/>
      <c r="M28" s="70"/>
      <c r="N28" s="70"/>
      <c r="O28" s="8"/>
      <c r="P28" s="8"/>
    </row>
    <row r="29" spans="2:16">
      <c r="B29" s="70"/>
      <c r="C29" s="70"/>
      <c r="D29" s="70"/>
      <c r="E29" s="70"/>
      <c r="F29" s="70"/>
      <c r="G29" s="70"/>
      <c r="H29" s="70"/>
      <c r="I29" s="70"/>
      <c r="J29" s="70"/>
      <c r="K29" s="70"/>
      <c r="L29" s="70"/>
      <c r="M29" s="70"/>
      <c r="N29" s="70"/>
      <c r="O29" s="8"/>
      <c r="P29" s="8"/>
    </row>
    <row r="30" spans="2:16">
      <c r="B30" s="70"/>
      <c r="C30" s="70"/>
      <c r="D30" s="70"/>
      <c r="E30" s="70"/>
      <c r="F30" s="70"/>
      <c r="G30" s="70"/>
      <c r="H30" s="70"/>
      <c r="I30" s="70"/>
      <c r="J30" s="70"/>
      <c r="K30" s="70"/>
      <c r="L30" s="70"/>
      <c r="M30" s="70"/>
      <c r="N30" s="70"/>
      <c r="O30" s="8"/>
      <c r="P30" s="8"/>
    </row>
    <row r="31" spans="2:16">
      <c r="B31" s="70"/>
      <c r="C31" s="70"/>
      <c r="D31" s="70"/>
      <c r="E31" s="70"/>
      <c r="F31" s="70"/>
      <c r="G31" s="70"/>
      <c r="H31" s="70"/>
      <c r="I31" s="70"/>
      <c r="J31" s="70"/>
      <c r="K31" s="70"/>
      <c r="L31" s="70"/>
      <c r="M31" s="70"/>
      <c r="N31" s="70"/>
      <c r="O31" s="8"/>
      <c r="P31" s="8"/>
    </row>
    <row r="32" spans="2:16">
      <c r="B32" s="70"/>
      <c r="C32" s="70"/>
      <c r="D32" s="70"/>
      <c r="E32" s="70"/>
      <c r="F32" s="70"/>
      <c r="G32" s="70"/>
      <c r="H32" s="70"/>
      <c r="I32" s="70"/>
      <c r="J32" s="70"/>
      <c r="K32" s="70"/>
      <c r="L32" s="70"/>
      <c r="M32" s="70"/>
      <c r="N32" s="70"/>
      <c r="O32" s="8"/>
      <c r="P32" s="8"/>
    </row>
    <row r="33" spans="2:16">
      <c r="B33" s="70"/>
      <c r="C33" s="70"/>
      <c r="D33" s="70"/>
      <c r="E33" s="70"/>
      <c r="F33" s="70"/>
      <c r="G33" s="70"/>
      <c r="H33" s="70"/>
      <c r="I33" s="70"/>
      <c r="J33" s="70"/>
      <c r="K33" s="70"/>
      <c r="L33" s="70"/>
      <c r="M33" s="70"/>
      <c r="N33" s="70"/>
      <c r="O33" s="8"/>
      <c r="P33" s="8"/>
    </row>
    <row r="34" spans="2:16">
      <c r="B34" s="70"/>
      <c r="C34" s="70"/>
      <c r="D34" s="70"/>
      <c r="E34" s="70"/>
      <c r="F34" s="70"/>
      <c r="G34" s="70"/>
      <c r="H34" s="70"/>
      <c r="I34" s="70"/>
      <c r="J34" s="70"/>
      <c r="K34" s="70"/>
      <c r="L34" s="70"/>
      <c r="M34" s="70"/>
      <c r="N34" s="70"/>
      <c r="O34" s="8"/>
      <c r="P34" s="8"/>
    </row>
    <row r="35" spans="2:16">
      <c r="B35" s="70"/>
      <c r="C35" s="70"/>
      <c r="D35" s="70"/>
      <c r="E35" s="70"/>
      <c r="F35" s="70"/>
      <c r="G35" s="70"/>
      <c r="H35" s="70"/>
      <c r="I35" s="70"/>
      <c r="J35" s="70"/>
      <c r="K35" s="70"/>
      <c r="L35" s="70"/>
      <c r="M35" s="70"/>
      <c r="N35" s="70"/>
      <c r="O35" s="8"/>
      <c r="P35" s="8"/>
    </row>
    <row r="36" spans="2:16">
      <c r="B36" s="70"/>
      <c r="C36" s="70"/>
      <c r="D36" s="70"/>
      <c r="E36" s="70"/>
      <c r="F36" s="70"/>
      <c r="G36" s="70"/>
      <c r="H36" s="70"/>
      <c r="I36" s="70"/>
      <c r="J36" s="70"/>
      <c r="K36" s="70"/>
      <c r="L36" s="70"/>
      <c r="M36" s="70"/>
      <c r="N36" s="70"/>
      <c r="O36" s="8"/>
      <c r="P36" s="8"/>
    </row>
    <row r="37" spans="2:16">
      <c r="B37" s="70"/>
      <c r="C37" s="70"/>
      <c r="D37" s="70"/>
      <c r="E37" s="70"/>
      <c r="F37" s="70"/>
      <c r="G37" s="70"/>
      <c r="H37" s="70"/>
      <c r="I37" s="70"/>
      <c r="J37" s="70"/>
      <c r="K37" s="70"/>
      <c r="L37" s="70"/>
      <c r="M37" s="70"/>
      <c r="N37" s="70"/>
      <c r="O37" s="8"/>
      <c r="P37" s="8"/>
    </row>
    <row r="38" spans="2:16">
      <c r="B38" s="70"/>
      <c r="C38" s="70"/>
      <c r="D38" s="70"/>
      <c r="E38" s="70"/>
      <c r="F38" s="70"/>
      <c r="G38" s="70"/>
      <c r="H38" s="70"/>
      <c r="I38" s="70"/>
      <c r="J38" s="70"/>
      <c r="K38" s="70"/>
      <c r="L38" s="70"/>
      <c r="M38" s="70"/>
      <c r="N38" s="70"/>
      <c r="O38" s="8"/>
      <c r="P38" s="8"/>
    </row>
    <row r="39" spans="2:16">
      <c r="B39" s="70"/>
      <c r="C39" s="70"/>
      <c r="D39" s="70"/>
      <c r="E39" s="70"/>
      <c r="F39" s="70"/>
      <c r="G39" s="70"/>
      <c r="H39" s="70"/>
      <c r="I39" s="70"/>
      <c r="J39" s="70"/>
      <c r="K39" s="70"/>
      <c r="L39" s="70"/>
      <c r="M39" s="70"/>
      <c r="N39" s="70"/>
      <c r="O39" s="8"/>
      <c r="P39" s="8"/>
    </row>
    <row r="40" spans="2:16">
      <c r="B40" s="70"/>
      <c r="C40" s="70"/>
      <c r="D40" s="70"/>
      <c r="E40" s="70"/>
      <c r="F40" s="70"/>
      <c r="G40" s="70"/>
      <c r="H40" s="70"/>
      <c r="I40" s="70"/>
      <c r="J40" s="70"/>
      <c r="K40" s="70"/>
      <c r="L40" s="70"/>
      <c r="M40" s="70"/>
      <c r="N40" s="70"/>
      <c r="O40" s="8"/>
      <c r="P40" s="8"/>
    </row>
    <row r="41" spans="2:16">
      <c r="B41" s="70"/>
      <c r="C41" s="70"/>
      <c r="D41" s="70"/>
      <c r="E41" s="70"/>
      <c r="F41" s="70"/>
      <c r="G41" s="70"/>
      <c r="H41" s="70"/>
      <c r="I41" s="70"/>
      <c r="J41" s="70"/>
      <c r="K41" s="70"/>
      <c r="L41" s="70"/>
      <c r="M41" s="70"/>
      <c r="N41" s="70"/>
      <c r="O41" s="8"/>
      <c r="P41" s="8"/>
    </row>
    <row r="42" spans="2:16">
      <c r="B42" s="70"/>
      <c r="C42" s="70"/>
      <c r="D42" s="70"/>
      <c r="E42" s="70"/>
      <c r="F42" s="70"/>
      <c r="G42" s="70"/>
      <c r="H42" s="70"/>
      <c r="I42" s="70"/>
      <c r="J42" s="70"/>
      <c r="K42" s="70"/>
      <c r="L42" s="70"/>
      <c r="M42" s="70"/>
      <c r="N42" s="70"/>
      <c r="O42" s="8"/>
      <c r="P42" s="8"/>
    </row>
    <row r="43" spans="2:16">
      <c r="B43" s="70"/>
      <c r="C43" s="70"/>
      <c r="D43" s="70"/>
      <c r="E43" s="70"/>
      <c r="F43" s="70"/>
      <c r="G43" s="70"/>
      <c r="H43" s="70"/>
      <c r="I43" s="70"/>
      <c r="J43" s="70"/>
      <c r="K43" s="70"/>
      <c r="L43" s="70"/>
      <c r="M43" s="70"/>
      <c r="N43" s="70"/>
      <c r="O43" s="8"/>
      <c r="P43" s="8"/>
    </row>
    <row r="44" spans="2:16">
      <c r="B44" s="70"/>
      <c r="C44" s="70"/>
      <c r="D44" s="70"/>
      <c r="E44" s="70"/>
      <c r="F44" s="70"/>
      <c r="G44" s="70"/>
      <c r="H44" s="70"/>
      <c r="I44" s="70"/>
      <c r="J44" s="70"/>
      <c r="K44" s="70"/>
      <c r="L44" s="70"/>
      <c r="M44" s="70"/>
      <c r="N44" s="70"/>
      <c r="O44" s="8"/>
      <c r="P44" s="8"/>
    </row>
    <row r="45" spans="2:16">
      <c r="B45" s="70"/>
      <c r="C45" s="70"/>
      <c r="D45" s="70"/>
      <c r="E45" s="70"/>
      <c r="F45" s="70"/>
      <c r="G45" s="70"/>
      <c r="H45" s="70"/>
      <c r="I45" s="70"/>
      <c r="J45" s="70"/>
      <c r="K45" s="70"/>
      <c r="L45" s="70"/>
      <c r="M45" s="70"/>
      <c r="N45" s="70"/>
      <c r="O45" s="8"/>
      <c r="P45" s="8"/>
    </row>
    <row r="46" spans="2:16">
      <c r="B46" s="70"/>
      <c r="C46" s="70"/>
      <c r="D46" s="70"/>
      <c r="E46" s="70"/>
      <c r="F46" s="70"/>
      <c r="G46" s="70"/>
      <c r="H46" s="70"/>
      <c r="I46" s="70"/>
      <c r="J46" s="70"/>
      <c r="K46" s="70"/>
      <c r="L46" s="70"/>
      <c r="M46" s="70"/>
      <c r="N46" s="70"/>
      <c r="O46" s="8"/>
      <c r="P46" s="8"/>
    </row>
    <row r="47" spans="2:16">
      <c r="B47" s="70"/>
      <c r="C47" s="70"/>
      <c r="D47" s="70"/>
      <c r="E47" s="70"/>
      <c r="F47" s="70"/>
      <c r="G47" s="70"/>
      <c r="H47" s="70"/>
      <c r="I47" s="70"/>
      <c r="J47" s="70"/>
      <c r="K47" s="70"/>
      <c r="L47" s="70"/>
      <c r="M47" s="70"/>
      <c r="N47" s="70"/>
      <c r="O47" s="8"/>
      <c r="P47" s="8"/>
    </row>
    <row r="48" spans="2:16">
      <c r="B48" s="70"/>
      <c r="C48" s="70"/>
      <c r="D48" s="70"/>
      <c r="E48" s="70"/>
      <c r="F48" s="70"/>
      <c r="G48" s="70"/>
      <c r="H48" s="70"/>
      <c r="I48" s="70"/>
      <c r="J48" s="70"/>
      <c r="K48" s="70"/>
      <c r="L48" s="70"/>
      <c r="M48" s="70"/>
      <c r="N48" s="70"/>
      <c r="O48" s="8"/>
      <c r="P48" s="8"/>
    </row>
    <row r="49" spans="2:16">
      <c r="B49" s="70"/>
      <c r="C49" s="70"/>
      <c r="D49" s="70"/>
      <c r="E49" s="70"/>
      <c r="F49" s="70"/>
      <c r="G49" s="70"/>
      <c r="H49" s="70"/>
      <c r="I49" s="70"/>
      <c r="J49" s="70"/>
      <c r="K49" s="70"/>
      <c r="L49" s="70"/>
      <c r="M49" s="70"/>
      <c r="N49" s="70"/>
      <c r="O49" s="8"/>
      <c r="P49" s="8"/>
    </row>
    <row r="50" spans="2:16">
      <c r="B50" s="70"/>
      <c r="C50" s="70"/>
      <c r="D50" s="70"/>
      <c r="E50" s="70"/>
      <c r="F50" s="70"/>
      <c r="G50" s="70"/>
      <c r="H50" s="70"/>
      <c r="I50" s="70"/>
      <c r="J50" s="70"/>
      <c r="K50" s="70"/>
      <c r="L50" s="70"/>
      <c r="M50" s="70"/>
      <c r="N50" s="70"/>
      <c r="O50" s="8"/>
      <c r="P50" s="8"/>
    </row>
    <row r="51" spans="2:16">
      <c r="B51" s="70"/>
      <c r="C51" s="70"/>
      <c r="D51" s="70"/>
      <c r="E51" s="70"/>
      <c r="F51" s="70"/>
      <c r="G51" s="70"/>
      <c r="H51" s="70"/>
      <c r="I51" s="70"/>
      <c r="J51" s="70"/>
      <c r="K51" s="70"/>
      <c r="L51" s="70"/>
      <c r="M51" s="70"/>
      <c r="N51" s="70"/>
      <c r="O51" s="8"/>
      <c r="P51" s="8"/>
    </row>
    <row r="52" spans="2:16">
      <c r="B52" s="70"/>
      <c r="C52" s="70"/>
      <c r="D52" s="70"/>
      <c r="E52" s="70"/>
      <c r="F52" s="70"/>
      <c r="G52" s="70"/>
      <c r="H52" s="70"/>
      <c r="I52" s="70"/>
      <c r="J52" s="70"/>
      <c r="K52" s="70"/>
      <c r="L52" s="70"/>
      <c r="M52" s="70"/>
      <c r="N52" s="70"/>
      <c r="O52" s="8"/>
      <c r="P52" s="8"/>
    </row>
    <row r="53" spans="2:16">
      <c r="B53" s="70"/>
      <c r="C53" s="70"/>
      <c r="D53" s="70"/>
      <c r="E53" s="70"/>
      <c r="F53" s="70"/>
      <c r="G53" s="70"/>
      <c r="H53" s="70"/>
      <c r="I53" s="70"/>
      <c r="J53" s="70"/>
      <c r="K53" s="70"/>
      <c r="L53" s="70"/>
      <c r="M53" s="70"/>
      <c r="N53" s="70"/>
      <c r="O53" s="8"/>
      <c r="P53" s="8"/>
    </row>
    <row r="54" spans="2:16">
      <c r="B54" s="70"/>
      <c r="C54" s="70"/>
      <c r="D54" s="70"/>
      <c r="E54" s="70"/>
      <c r="F54" s="70"/>
      <c r="G54" s="70"/>
      <c r="H54" s="70"/>
      <c r="I54" s="70"/>
      <c r="J54" s="70"/>
      <c r="K54" s="70"/>
      <c r="L54" s="70"/>
      <c r="M54" s="70"/>
      <c r="N54" s="70"/>
      <c r="O54" s="8"/>
      <c r="P54" s="8"/>
    </row>
    <row r="55" spans="2:16">
      <c r="B55" s="70"/>
      <c r="C55" s="70"/>
      <c r="D55" s="70"/>
      <c r="E55" s="70"/>
      <c r="F55" s="70"/>
      <c r="G55" s="70"/>
      <c r="H55" s="70"/>
      <c r="I55" s="70"/>
      <c r="J55" s="70"/>
      <c r="K55" s="70"/>
      <c r="L55" s="70"/>
      <c r="M55" s="70"/>
      <c r="N55" s="70"/>
      <c r="O55" s="8"/>
      <c r="P55" s="8"/>
    </row>
    <row r="56" spans="2:16">
      <c r="B56" s="70"/>
      <c r="C56" s="70"/>
      <c r="D56" s="70"/>
      <c r="E56" s="70"/>
      <c r="F56" s="70"/>
      <c r="G56" s="70"/>
      <c r="H56" s="70"/>
      <c r="I56" s="70"/>
      <c r="J56" s="70"/>
      <c r="K56" s="70"/>
      <c r="L56" s="70"/>
      <c r="M56" s="70"/>
      <c r="N56" s="70"/>
      <c r="O56" s="8"/>
      <c r="P56" s="8"/>
    </row>
    <row r="57" spans="2:16">
      <c r="B57" s="70"/>
      <c r="C57" s="70"/>
      <c r="D57" s="70"/>
      <c r="E57" s="70"/>
      <c r="F57" s="70"/>
      <c r="G57" s="70"/>
      <c r="H57" s="70"/>
      <c r="I57" s="70"/>
      <c r="J57" s="70"/>
      <c r="K57" s="70"/>
      <c r="L57" s="70"/>
      <c r="M57" s="70"/>
      <c r="N57" s="70"/>
      <c r="O57" s="8"/>
      <c r="P57" s="8"/>
    </row>
    <row r="58" spans="2:16">
      <c r="B58" s="70"/>
      <c r="C58" s="70"/>
      <c r="D58" s="70"/>
      <c r="E58" s="70"/>
      <c r="F58" s="70"/>
      <c r="G58" s="70"/>
      <c r="H58" s="70"/>
      <c r="I58" s="70"/>
      <c r="J58" s="70"/>
      <c r="K58" s="70"/>
      <c r="L58" s="70"/>
      <c r="M58" s="70"/>
      <c r="N58" s="70"/>
      <c r="O58" s="8"/>
      <c r="P58" s="8"/>
    </row>
    <row r="59" spans="2:16">
      <c r="B59" s="70"/>
      <c r="C59" s="70"/>
      <c r="D59" s="70"/>
      <c r="E59" s="70"/>
      <c r="F59" s="70"/>
      <c r="G59" s="70"/>
      <c r="H59" s="70"/>
      <c r="I59" s="70"/>
      <c r="J59" s="70"/>
      <c r="K59" s="70"/>
      <c r="L59" s="70"/>
      <c r="M59" s="70"/>
      <c r="N59" s="70"/>
      <c r="O59" s="8"/>
      <c r="P59" s="8"/>
    </row>
    <row r="60" spans="2:16">
      <c r="B60" s="70"/>
      <c r="C60" s="70"/>
      <c r="D60" s="70"/>
      <c r="E60" s="70"/>
      <c r="F60" s="70"/>
      <c r="G60" s="70"/>
      <c r="H60" s="70"/>
      <c r="I60" s="70"/>
      <c r="J60" s="70"/>
      <c r="K60" s="70"/>
      <c r="L60" s="70"/>
      <c r="M60" s="70"/>
      <c r="N60" s="70"/>
      <c r="O60" s="8"/>
      <c r="P60" s="8"/>
    </row>
    <row r="61" spans="2:16">
      <c r="B61" s="70"/>
      <c r="C61" s="70"/>
      <c r="D61" s="70"/>
      <c r="E61" s="70"/>
      <c r="F61" s="70"/>
      <c r="G61" s="70"/>
      <c r="H61" s="70"/>
      <c r="I61" s="70"/>
      <c r="J61" s="70"/>
      <c r="K61" s="70"/>
      <c r="L61" s="70"/>
      <c r="M61" s="70"/>
      <c r="N61" s="70"/>
      <c r="O61" s="8"/>
      <c r="P61" s="8"/>
    </row>
    <row r="62" spans="2:16">
      <c r="B62" s="70"/>
      <c r="C62" s="70"/>
      <c r="D62" s="70"/>
      <c r="E62" s="70"/>
      <c r="F62" s="70"/>
      <c r="G62" s="70"/>
      <c r="H62" s="70"/>
      <c r="I62" s="70"/>
      <c r="J62" s="70"/>
      <c r="K62" s="70"/>
      <c r="L62" s="70"/>
      <c r="M62" s="70"/>
      <c r="N62" s="70"/>
      <c r="O62" s="8"/>
      <c r="P62" s="8"/>
    </row>
    <row r="63" spans="2:16">
      <c r="B63" s="70"/>
      <c r="C63" s="70"/>
      <c r="D63" s="70"/>
      <c r="E63" s="70"/>
      <c r="F63" s="70"/>
      <c r="G63" s="70"/>
      <c r="H63" s="70"/>
      <c r="I63" s="70"/>
      <c r="J63" s="70"/>
      <c r="K63" s="70"/>
      <c r="L63" s="70"/>
      <c r="M63" s="70"/>
      <c r="N63" s="70"/>
      <c r="O63" s="8"/>
      <c r="P63" s="8"/>
    </row>
    <row r="64" spans="2:16">
      <c r="B64" s="70"/>
      <c r="C64" s="70"/>
      <c r="D64" s="70"/>
      <c r="E64" s="70"/>
      <c r="F64" s="70"/>
      <c r="G64" s="70"/>
      <c r="H64" s="70"/>
      <c r="I64" s="70"/>
      <c r="J64" s="70"/>
      <c r="K64" s="70"/>
      <c r="L64" s="70"/>
      <c r="M64" s="70"/>
      <c r="N64" s="70"/>
      <c r="O64" s="8"/>
      <c r="P64" s="8"/>
    </row>
    <row r="65" spans="2:16">
      <c r="B65" s="70"/>
      <c r="C65" s="70"/>
      <c r="D65" s="70"/>
      <c r="E65" s="70"/>
      <c r="F65" s="70"/>
      <c r="G65" s="70"/>
      <c r="H65" s="70"/>
      <c r="I65" s="70"/>
      <c r="J65" s="70"/>
      <c r="K65" s="70"/>
      <c r="L65" s="70"/>
      <c r="M65" s="70"/>
      <c r="N65" s="70"/>
      <c r="O65" s="8"/>
      <c r="P65" s="8"/>
    </row>
    <row r="66" spans="2:16">
      <c r="B66" s="70"/>
      <c r="C66" s="70"/>
      <c r="D66" s="70"/>
      <c r="E66" s="70"/>
      <c r="F66" s="70"/>
      <c r="G66" s="70"/>
      <c r="H66" s="70"/>
      <c r="I66" s="70"/>
      <c r="J66" s="70"/>
      <c r="K66" s="70"/>
      <c r="L66" s="70"/>
      <c r="M66" s="70"/>
      <c r="N66" s="70"/>
      <c r="O66" s="8"/>
      <c r="P66" s="8"/>
    </row>
    <row r="67" spans="2:16">
      <c r="B67" s="70"/>
      <c r="C67" s="70"/>
      <c r="D67" s="70"/>
      <c r="E67" s="70"/>
      <c r="F67" s="70"/>
      <c r="G67" s="70"/>
      <c r="H67" s="70"/>
      <c r="I67" s="70"/>
      <c r="J67" s="70"/>
      <c r="K67" s="70"/>
      <c r="L67" s="70"/>
      <c r="M67" s="70"/>
      <c r="N67" s="70"/>
      <c r="O67" s="8"/>
      <c r="P67" s="8"/>
    </row>
    <row r="68" spans="2:16">
      <c r="B68" s="70"/>
      <c r="C68" s="70"/>
      <c r="D68" s="70"/>
      <c r="E68" s="70"/>
      <c r="F68" s="70"/>
      <c r="G68" s="70"/>
      <c r="H68" s="70"/>
      <c r="I68" s="70"/>
      <c r="J68" s="70"/>
      <c r="K68" s="70"/>
      <c r="L68" s="70"/>
      <c r="M68" s="70"/>
      <c r="N68" s="70"/>
      <c r="O68" s="8"/>
      <c r="P68" s="8"/>
    </row>
    <row r="69" spans="2:16">
      <c r="B69" s="70"/>
      <c r="C69" s="70"/>
      <c r="D69" s="70"/>
      <c r="E69" s="70"/>
      <c r="F69" s="70"/>
      <c r="G69" s="70"/>
      <c r="H69" s="70"/>
      <c r="I69" s="70"/>
      <c r="J69" s="70"/>
      <c r="K69" s="70"/>
      <c r="L69" s="70"/>
      <c r="M69" s="70"/>
      <c r="N69" s="70"/>
      <c r="O69" s="8"/>
      <c r="P69" s="8"/>
    </row>
    <row r="70" spans="2:16">
      <c r="B70" s="70"/>
      <c r="C70" s="70"/>
      <c r="D70" s="70"/>
      <c r="E70" s="70"/>
      <c r="F70" s="70"/>
      <c r="G70" s="70"/>
      <c r="H70" s="70"/>
      <c r="I70" s="70"/>
      <c r="J70" s="70"/>
      <c r="K70" s="70"/>
      <c r="L70" s="70"/>
      <c r="M70" s="70"/>
      <c r="N70" s="70"/>
      <c r="O70" s="8"/>
      <c r="P70" s="8"/>
    </row>
    <row r="71" spans="2:16">
      <c r="B71" s="70"/>
      <c r="C71" s="70"/>
      <c r="D71" s="70"/>
      <c r="E71" s="70"/>
      <c r="F71" s="70"/>
      <c r="G71" s="70"/>
      <c r="H71" s="70"/>
      <c r="I71" s="70"/>
      <c r="J71" s="70"/>
      <c r="K71" s="70"/>
      <c r="L71" s="70"/>
      <c r="M71" s="70"/>
      <c r="N71" s="70"/>
      <c r="O71" s="8"/>
      <c r="P71" s="8"/>
    </row>
    <row r="72" spans="2:16">
      <c r="B72" s="70"/>
      <c r="C72" s="70"/>
      <c r="D72" s="70"/>
      <c r="E72" s="70"/>
      <c r="F72" s="70"/>
      <c r="G72" s="70"/>
      <c r="H72" s="70"/>
      <c r="I72" s="70"/>
      <c r="J72" s="70"/>
      <c r="K72" s="70"/>
      <c r="L72" s="70"/>
      <c r="M72" s="70"/>
      <c r="N72" s="70"/>
      <c r="O72" s="8"/>
      <c r="P72" s="8"/>
    </row>
    <row r="73" spans="2:16">
      <c r="B73" s="70"/>
      <c r="C73" s="70"/>
      <c r="D73" s="70"/>
      <c r="E73" s="70"/>
      <c r="F73" s="70"/>
      <c r="G73" s="70"/>
      <c r="H73" s="70"/>
      <c r="I73" s="70"/>
      <c r="J73" s="70"/>
      <c r="K73" s="70"/>
      <c r="L73" s="70"/>
      <c r="M73" s="70"/>
      <c r="N73" s="70"/>
      <c r="O73" s="8"/>
      <c r="P73" s="8"/>
    </row>
    <row r="74" spans="2:16">
      <c r="B74" s="70"/>
      <c r="C74" s="70"/>
      <c r="D74" s="70"/>
      <c r="E74" s="70"/>
      <c r="F74" s="70"/>
      <c r="G74" s="70"/>
      <c r="H74" s="70"/>
      <c r="I74" s="70"/>
      <c r="J74" s="70"/>
      <c r="K74" s="70"/>
      <c r="L74" s="70"/>
      <c r="M74" s="70"/>
      <c r="N74" s="70"/>
      <c r="O74" s="8"/>
      <c r="P74" s="8"/>
    </row>
    <row r="75" spans="2:16">
      <c r="B75" s="70"/>
      <c r="C75" s="70"/>
      <c r="D75" s="70"/>
      <c r="E75" s="70"/>
      <c r="F75" s="70"/>
      <c r="G75" s="70"/>
      <c r="H75" s="70"/>
      <c r="I75" s="70"/>
      <c r="J75" s="70"/>
      <c r="K75" s="70"/>
      <c r="L75" s="70"/>
      <c r="M75" s="70"/>
      <c r="N75" s="70"/>
      <c r="O75" s="8"/>
      <c r="P75" s="8"/>
    </row>
    <row r="76" spans="2:16">
      <c r="B76" s="70"/>
      <c r="C76" s="70"/>
      <c r="D76" s="70"/>
      <c r="E76" s="70"/>
      <c r="F76" s="70"/>
      <c r="G76" s="70"/>
      <c r="H76" s="70"/>
      <c r="I76" s="70"/>
      <c r="J76" s="70"/>
      <c r="K76" s="70"/>
      <c r="L76" s="70"/>
      <c r="M76" s="70"/>
      <c r="N76" s="70"/>
      <c r="O76" s="8"/>
      <c r="P76" s="8"/>
    </row>
    <row r="77" spans="2:16">
      <c r="B77" s="70"/>
      <c r="C77" s="70"/>
      <c r="D77" s="70"/>
      <c r="E77" s="70"/>
      <c r="F77" s="70"/>
      <c r="G77" s="70"/>
      <c r="H77" s="70"/>
      <c r="I77" s="70"/>
      <c r="J77" s="70"/>
      <c r="K77" s="70"/>
      <c r="L77" s="70"/>
      <c r="M77" s="70"/>
      <c r="N77" s="70"/>
      <c r="O77" s="8"/>
      <c r="P77" s="8"/>
    </row>
    <row r="78" spans="2:16">
      <c r="B78" s="70"/>
      <c r="C78" s="70"/>
      <c r="D78" s="70"/>
      <c r="E78" s="70"/>
      <c r="F78" s="70"/>
      <c r="G78" s="70"/>
      <c r="H78" s="70"/>
      <c r="I78" s="70"/>
      <c r="J78" s="70"/>
      <c r="K78" s="70"/>
      <c r="L78" s="70"/>
      <c r="M78" s="70"/>
      <c r="N78" s="70"/>
      <c r="O78" s="8"/>
      <c r="P78" s="8"/>
    </row>
    <row r="79" spans="2:16">
      <c r="B79" s="70"/>
      <c r="C79" s="70"/>
      <c r="D79" s="70"/>
      <c r="E79" s="70"/>
      <c r="F79" s="70"/>
      <c r="G79" s="70"/>
      <c r="H79" s="70"/>
      <c r="I79" s="70"/>
      <c r="J79" s="70"/>
      <c r="K79" s="70"/>
      <c r="L79" s="70"/>
      <c r="M79" s="70"/>
      <c r="N79" s="70"/>
      <c r="O79" s="8"/>
      <c r="P79" s="8"/>
    </row>
    <row r="80" spans="2:16">
      <c r="B80" s="70"/>
      <c r="C80" s="70"/>
      <c r="D80" s="70"/>
      <c r="E80" s="70"/>
      <c r="F80" s="70"/>
      <c r="G80" s="70"/>
      <c r="H80" s="70"/>
      <c r="I80" s="70"/>
      <c r="J80" s="70"/>
      <c r="K80" s="70"/>
      <c r="L80" s="70"/>
      <c r="M80" s="70"/>
      <c r="N80" s="70"/>
      <c r="O80" s="8"/>
      <c r="P80" s="8"/>
    </row>
    <row r="81" spans="2:16">
      <c r="B81" s="70"/>
      <c r="C81" s="70"/>
      <c r="D81" s="70"/>
      <c r="E81" s="70"/>
      <c r="F81" s="70"/>
      <c r="G81" s="70"/>
      <c r="H81" s="70"/>
      <c r="I81" s="70"/>
      <c r="J81" s="70"/>
      <c r="K81" s="70"/>
      <c r="L81" s="70"/>
      <c r="M81" s="70"/>
      <c r="N81" s="70"/>
      <c r="O81" s="8"/>
      <c r="P81" s="8"/>
    </row>
    <row r="82" spans="2:16">
      <c r="B82" s="70"/>
      <c r="C82" s="70"/>
      <c r="D82" s="70"/>
      <c r="E82" s="70"/>
      <c r="F82" s="70"/>
      <c r="G82" s="70"/>
      <c r="H82" s="70"/>
      <c r="I82" s="70"/>
      <c r="J82" s="70"/>
      <c r="K82" s="70"/>
      <c r="L82" s="70"/>
      <c r="M82" s="70"/>
      <c r="N82" s="70"/>
      <c r="O82" s="8"/>
      <c r="P82" s="8"/>
    </row>
    <row r="83" spans="2:16">
      <c r="B83" s="70"/>
      <c r="C83" s="70"/>
      <c r="D83" s="70"/>
      <c r="E83" s="70"/>
      <c r="F83" s="70"/>
      <c r="G83" s="70"/>
      <c r="H83" s="70"/>
      <c r="I83" s="70"/>
      <c r="J83" s="70"/>
      <c r="K83" s="70"/>
      <c r="L83" s="70"/>
      <c r="M83" s="70"/>
      <c r="N83" s="70"/>
      <c r="O83" s="8"/>
      <c r="P83" s="8"/>
    </row>
    <row r="84" spans="2:16">
      <c r="B84" s="70"/>
      <c r="C84" s="70"/>
      <c r="D84" s="70"/>
      <c r="E84" s="70"/>
      <c r="F84" s="70"/>
      <c r="G84" s="70"/>
      <c r="H84" s="70"/>
      <c r="I84" s="70"/>
      <c r="J84" s="70"/>
      <c r="K84" s="70"/>
      <c r="L84" s="70"/>
      <c r="M84" s="70"/>
      <c r="N84" s="70"/>
      <c r="O84" s="8"/>
      <c r="P84" s="8"/>
    </row>
    <row r="85" spans="2:16">
      <c r="B85" s="70"/>
      <c r="C85" s="70"/>
      <c r="D85" s="70"/>
      <c r="E85" s="70"/>
      <c r="F85" s="70"/>
      <c r="G85" s="70"/>
      <c r="H85" s="70"/>
      <c r="I85" s="70"/>
      <c r="J85" s="70"/>
      <c r="K85" s="70"/>
      <c r="L85" s="70"/>
      <c r="M85" s="70"/>
      <c r="N85" s="70"/>
      <c r="O85" s="8"/>
      <c r="P85" s="8"/>
    </row>
    <row r="86" spans="2:16">
      <c r="B86" s="70"/>
      <c r="C86" s="70"/>
      <c r="D86" s="70"/>
      <c r="E86" s="70"/>
      <c r="F86" s="70"/>
      <c r="G86" s="70"/>
      <c r="H86" s="70"/>
      <c r="I86" s="70"/>
      <c r="J86" s="70"/>
      <c r="K86" s="70"/>
      <c r="L86" s="70"/>
      <c r="M86" s="70"/>
      <c r="N86" s="70"/>
      <c r="O86" s="8"/>
      <c r="P86" s="8"/>
    </row>
    <row r="87" spans="2:16">
      <c r="B87" s="70"/>
      <c r="C87" s="70"/>
      <c r="D87" s="70"/>
      <c r="E87" s="70"/>
      <c r="F87" s="70"/>
      <c r="G87" s="70"/>
      <c r="H87" s="70"/>
      <c r="I87" s="70"/>
      <c r="J87" s="70"/>
      <c r="K87" s="70"/>
      <c r="L87" s="70"/>
      <c r="M87" s="70"/>
      <c r="N87" s="70"/>
      <c r="O87" s="8"/>
      <c r="P87" s="8"/>
    </row>
    <row r="88" spans="2:16">
      <c r="B88" s="70"/>
      <c r="C88" s="70"/>
      <c r="D88" s="70"/>
      <c r="E88" s="70"/>
      <c r="F88" s="70"/>
      <c r="G88" s="70"/>
      <c r="H88" s="70"/>
      <c r="I88" s="70"/>
      <c r="J88" s="70"/>
      <c r="K88" s="70"/>
      <c r="L88" s="70"/>
      <c r="M88" s="70"/>
      <c r="N88" s="70"/>
      <c r="O88" s="8"/>
      <c r="P88" s="8"/>
    </row>
    <row r="89" spans="2:16">
      <c r="B89" s="70"/>
      <c r="C89" s="70"/>
      <c r="D89" s="70"/>
      <c r="E89" s="70"/>
      <c r="F89" s="70"/>
      <c r="G89" s="70"/>
      <c r="H89" s="70"/>
      <c r="I89" s="70"/>
      <c r="J89" s="70"/>
      <c r="K89" s="70"/>
      <c r="L89" s="70"/>
      <c r="M89" s="70"/>
      <c r="N89" s="70"/>
      <c r="O89" s="8"/>
      <c r="P89" s="8"/>
    </row>
    <row r="90" spans="2:16">
      <c r="B90" s="70"/>
      <c r="C90" s="70"/>
      <c r="D90" s="70"/>
      <c r="E90" s="70"/>
      <c r="F90" s="70"/>
      <c r="G90" s="70"/>
      <c r="H90" s="70"/>
      <c r="I90" s="70"/>
      <c r="J90" s="70"/>
      <c r="K90" s="70"/>
      <c r="L90" s="70"/>
      <c r="M90" s="70"/>
      <c r="N90" s="70"/>
      <c r="O90" s="8"/>
      <c r="P90" s="8"/>
    </row>
    <row r="91" spans="2:16">
      <c r="B91" s="70"/>
      <c r="C91" s="70"/>
      <c r="D91" s="70"/>
      <c r="E91" s="70"/>
      <c r="F91" s="70"/>
      <c r="G91" s="70"/>
      <c r="H91" s="70"/>
      <c r="I91" s="70"/>
      <c r="J91" s="70"/>
      <c r="K91" s="70"/>
      <c r="L91" s="70"/>
      <c r="M91" s="70"/>
      <c r="N91" s="70"/>
      <c r="O91" s="8"/>
      <c r="P91" s="8"/>
    </row>
    <row r="92" spans="2:16">
      <c r="B92" s="70"/>
      <c r="C92" s="70"/>
      <c r="D92" s="70"/>
      <c r="E92" s="70"/>
      <c r="F92" s="70"/>
      <c r="G92" s="70"/>
      <c r="H92" s="70"/>
      <c r="I92" s="70"/>
      <c r="J92" s="70"/>
      <c r="K92" s="70"/>
      <c r="L92" s="70"/>
      <c r="M92" s="70"/>
      <c r="N92" s="70"/>
      <c r="O92" s="8"/>
      <c r="P92" s="8"/>
    </row>
    <row r="93" spans="2:16">
      <c r="B93" s="70"/>
      <c r="C93" s="70"/>
      <c r="D93" s="70"/>
      <c r="E93" s="70"/>
      <c r="F93" s="70"/>
      <c r="G93" s="70"/>
      <c r="H93" s="70"/>
      <c r="I93" s="70"/>
      <c r="J93" s="70"/>
      <c r="K93" s="70"/>
      <c r="L93" s="70"/>
      <c r="M93" s="70"/>
      <c r="N93" s="70"/>
      <c r="O93" s="8"/>
      <c r="P93" s="8"/>
    </row>
    <row r="94" spans="2:16">
      <c r="B94" s="70"/>
      <c r="C94" s="70"/>
      <c r="D94" s="70"/>
      <c r="E94" s="70"/>
      <c r="F94" s="70"/>
      <c r="G94" s="70"/>
      <c r="H94" s="70"/>
      <c r="I94" s="70"/>
      <c r="J94" s="70"/>
      <c r="K94" s="70"/>
      <c r="L94" s="70"/>
      <c r="M94" s="70"/>
      <c r="N94" s="70"/>
      <c r="O94" s="8"/>
      <c r="P94" s="8"/>
    </row>
    <row r="95" spans="2:16">
      <c r="B95" s="70"/>
      <c r="C95" s="70"/>
      <c r="D95" s="70"/>
      <c r="E95" s="70"/>
      <c r="F95" s="70"/>
      <c r="G95" s="70"/>
      <c r="H95" s="70"/>
      <c r="I95" s="70"/>
      <c r="J95" s="70"/>
      <c r="K95" s="70"/>
      <c r="L95" s="70"/>
      <c r="M95" s="70"/>
      <c r="N95" s="70"/>
      <c r="O95" s="8"/>
      <c r="P95" s="8"/>
    </row>
    <row r="96" spans="2:16">
      <c r="B96" s="70"/>
      <c r="C96" s="70"/>
      <c r="D96" s="70"/>
      <c r="E96" s="70"/>
      <c r="F96" s="70"/>
      <c r="G96" s="70"/>
      <c r="H96" s="70"/>
      <c r="I96" s="70"/>
      <c r="J96" s="70"/>
      <c r="K96" s="70"/>
      <c r="L96" s="70"/>
      <c r="M96" s="70"/>
      <c r="N96" s="70"/>
      <c r="O96" s="8"/>
      <c r="P96" s="8"/>
    </row>
    <row r="97" spans="2:16">
      <c r="B97" s="70"/>
      <c r="C97" s="70"/>
      <c r="D97" s="70"/>
      <c r="E97" s="70"/>
      <c r="F97" s="70"/>
      <c r="G97" s="70"/>
      <c r="H97" s="70"/>
      <c r="I97" s="70"/>
      <c r="J97" s="70"/>
      <c r="K97" s="70"/>
      <c r="L97" s="70"/>
      <c r="M97" s="70"/>
      <c r="N97" s="70"/>
      <c r="O97" s="8"/>
      <c r="P97" s="8"/>
    </row>
    <row r="98" spans="2:16">
      <c r="B98" s="70"/>
      <c r="C98" s="70"/>
      <c r="D98" s="70"/>
      <c r="E98" s="70"/>
      <c r="F98" s="70"/>
      <c r="G98" s="70"/>
      <c r="H98" s="70"/>
      <c r="I98" s="70"/>
      <c r="J98" s="70"/>
      <c r="K98" s="70"/>
      <c r="L98" s="70"/>
      <c r="M98" s="70"/>
      <c r="N98" s="70"/>
      <c r="O98" s="8"/>
      <c r="P98" s="8"/>
    </row>
    <row r="99" spans="2:16">
      <c r="B99" s="70"/>
      <c r="C99" s="70"/>
      <c r="D99" s="70"/>
      <c r="E99" s="70"/>
      <c r="F99" s="70"/>
      <c r="G99" s="70"/>
      <c r="H99" s="70"/>
      <c r="I99" s="70"/>
      <c r="J99" s="70"/>
      <c r="K99" s="70"/>
      <c r="L99" s="70"/>
      <c r="M99" s="70"/>
      <c r="N99" s="70"/>
      <c r="O99" s="8"/>
      <c r="P99" s="8"/>
    </row>
    <row r="100" spans="2:16">
      <c r="B100" s="70"/>
      <c r="C100" s="70"/>
      <c r="D100" s="70"/>
      <c r="E100" s="70"/>
      <c r="F100" s="70"/>
      <c r="G100" s="70"/>
      <c r="H100" s="70"/>
      <c r="I100" s="70"/>
      <c r="J100" s="70"/>
      <c r="K100" s="70"/>
      <c r="L100" s="70"/>
      <c r="M100" s="70"/>
      <c r="N100" s="70"/>
      <c r="O100" s="8"/>
      <c r="P100" s="8"/>
    </row>
    <row r="101" spans="2:16">
      <c r="B101" s="70"/>
      <c r="C101" s="70"/>
      <c r="D101" s="70"/>
      <c r="E101" s="70"/>
      <c r="F101" s="70"/>
      <c r="G101" s="70"/>
      <c r="H101" s="70"/>
      <c r="I101" s="70"/>
      <c r="J101" s="70"/>
      <c r="K101" s="70"/>
      <c r="L101" s="70"/>
      <c r="M101" s="70"/>
      <c r="N101" s="70"/>
      <c r="O101" s="8"/>
      <c r="P101" s="8"/>
    </row>
    <row r="102" spans="2:16">
      <c r="B102" s="70"/>
      <c r="C102" s="70"/>
      <c r="D102" s="70"/>
      <c r="E102" s="70"/>
      <c r="F102" s="70"/>
      <c r="G102" s="70"/>
      <c r="H102" s="70"/>
      <c r="I102" s="70"/>
      <c r="J102" s="70"/>
      <c r="K102" s="70"/>
      <c r="L102" s="70"/>
      <c r="M102" s="70"/>
      <c r="N102" s="70"/>
      <c r="O102" s="8"/>
      <c r="P102" s="8"/>
    </row>
    <row r="103" spans="2:16">
      <c r="B103" s="70"/>
      <c r="C103" s="70"/>
      <c r="D103" s="70"/>
      <c r="E103" s="70"/>
      <c r="F103" s="70"/>
      <c r="G103" s="70"/>
      <c r="H103" s="70"/>
      <c r="I103" s="70"/>
      <c r="J103" s="70"/>
      <c r="K103" s="70"/>
      <c r="L103" s="70"/>
      <c r="M103" s="70"/>
      <c r="N103" s="70"/>
      <c r="O103" s="8"/>
      <c r="P103" s="8"/>
    </row>
    <row r="104" spans="2:16">
      <c r="B104" s="70"/>
      <c r="C104" s="70"/>
      <c r="D104" s="70"/>
      <c r="E104" s="70"/>
      <c r="F104" s="70"/>
      <c r="G104" s="70"/>
      <c r="H104" s="70"/>
      <c r="I104" s="70"/>
      <c r="J104" s="70"/>
      <c r="K104" s="70"/>
      <c r="L104" s="70"/>
      <c r="M104" s="70"/>
      <c r="N104" s="70"/>
      <c r="O104" s="8"/>
      <c r="P104" s="8"/>
    </row>
    <row r="105" spans="2:16">
      <c r="B105" s="70"/>
      <c r="C105" s="70"/>
      <c r="D105" s="70"/>
      <c r="E105" s="70"/>
      <c r="F105" s="70"/>
      <c r="G105" s="70"/>
      <c r="H105" s="70"/>
      <c r="I105" s="70"/>
      <c r="J105" s="70"/>
      <c r="K105" s="70"/>
      <c r="L105" s="70"/>
      <c r="M105" s="70"/>
      <c r="N105" s="70"/>
      <c r="O105" s="8"/>
      <c r="P105" s="8"/>
    </row>
    <row r="106" spans="2:16">
      <c r="B106" s="70"/>
      <c r="C106" s="70"/>
      <c r="D106" s="70"/>
      <c r="E106" s="70"/>
      <c r="F106" s="70"/>
      <c r="G106" s="70"/>
      <c r="H106" s="70"/>
      <c r="I106" s="70"/>
      <c r="J106" s="70"/>
      <c r="K106" s="70"/>
      <c r="L106" s="70"/>
      <c r="M106" s="70"/>
      <c r="N106" s="70"/>
      <c r="O106" s="8"/>
      <c r="P106" s="8"/>
    </row>
    <row r="107" spans="2:16">
      <c r="B107" s="70"/>
      <c r="C107" s="70"/>
      <c r="D107" s="70"/>
      <c r="E107" s="70"/>
      <c r="F107" s="70"/>
      <c r="G107" s="70"/>
      <c r="H107" s="70"/>
      <c r="I107" s="70"/>
      <c r="J107" s="70"/>
      <c r="K107" s="70"/>
      <c r="L107" s="70"/>
      <c r="M107" s="70"/>
      <c r="N107" s="70"/>
      <c r="O107" s="8"/>
      <c r="P107" s="8"/>
    </row>
    <row r="108" spans="2:16">
      <c r="B108" s="70"/>
      <c r="C108" s="70"/>
      <c r="D108" s="70"/>
      <c r="E108" s="70"/>
      <c r="F108" s="70"/>
      <c r="G108" s="70"/>
      <c r="H108" s="70"/>
      <c r="I108" s="70"/>
      <c r="J108" s="70"/>
      <c r="K108" s="70"/>
      <c r="L108" s="70"/>
      <c r="M108" s="70"/>
      <c r="N108" s="70"/>
      <c r="O108" s="8"/>
      <c r="P108" s="8"/>
    </row>
    <row r="109" spans="2:16">
      <c r="B109" s="70"/>
      <c r="C109" s="70"/>
      <c r="D109" s="70"/>
      <c r="E109" s="70"/>
      <c r="F109" s="70"/>
      <c r="G109" s="70"/>
      <c r="H109" s="70"/>
      <c r="I109" s="70"/>
      <c r="J109" s="70"/>
      <c r="K109" s="70"/>
      <c r="L109" s="70"/>
      <c r="M109" s="70"/>
      <c r="N109" s="70"/>
      <c r="O109" s="8"/>
      <c r="P109" s="8"/>
    </row>
    <row r="110" spans="2:16">
      <c r="B110" s="70"/>
      <c r="C110" s="70"/>
      <c r="D110" s="70"/>
      <c r="E110" s="70"/>
      <c r="F110" s="70"/>
      <c r="G110" s="70"/>
      <c r="H110" s="70"/>
      <c r="I110" s="70"/>
      <c r="J110" s="70"/>
      <c r="K110" s="70"/>
      <c r="L110" s="70"/>
      <c r="M110" s="70"/>
      <c r="N110" s="70"/>
      <c r="O110" s="8"/>
      <c r="P110" s="8"/>
    </row>
    <row r="111" spans="2:16">
      <c r="B111" s="70"/>
      <c r="C111" s="70"/>
      <c r="D111" s="70"/>
      <c r="E111" s="70"/>
      <c r="F111" s="70"/>
      <c r="G111" s="70"/>
      <c r="H111" s="70"/>
      <c r="I111" s="70"/>
      <c r="J111" s="70"/>
      <c r="K111" s="70"/>
      <c r="L111" s="70"/>
      <c r="M111" s="70"/>
      <c r="N111" s="70"/>
      <c r="O111" s="8"/>
      <c r="P111" s="8"/>
    </row>
    <row r="112" spans="2:16">
      <c r="B112" s="70"/>
      <c r="C112" s="70"/>
      <c r="D112" s="70"/>
      <c r="E112" s="70"/>
      <c r="F112" s="70"/>
      <c r="G112" s="70"/>
      <c r="H112" s="70"/>
      <c r="I112" s="70"/>
      <c r="J112" s="70"/>
      <c r="K112" s="70"/>
      <c r="L112" s="70"/>
      <c r="M112" s="70"/>
      <c r="N112" s="70"/>
      <c r="O112" s="8"/>
      <c r="P112" s="8"/>
    </row>
    <row r="113" spans="2:16">
      <c r="B113" s="70"/>
      <c r="C113" s="70"/>
      <c r="D113" s="70"/>
      <c r="E113" s="70"/>
      <c r="F113" s="70"/>
      <c r="G113" s="70"/>
      <c r="H113" s="70"/>
      <c r="I113" s="70"/>
      <c r="J113" s="70"/>
      <c r="K113" s="70"/>
      <c r="L113" s="70"/>
      <c r="M113" s="70"/>
      <c r="N113" s="70"/>
      <c r="O113" s="8"/>
      <c r="P113" s="8"/>
    </row>
    <row r="114" spans="2:16">
      <c r="B114" s="70"/>
      <c r="C114" s="70"/>
      <c r="D114" s="70"/>
      <c r="E114" s="70"/>
      <c r="F114" s="70"/>
      <c r="G114" s="70"/>
      <c r="H114" s="70"/>
      <c r="I114" s="70"/>
      <c r="J114" s="70"/>
      <c r="K114" s="70"/>
      <c r="L114" s="70"/>
      <c r="M114" s="70"/>
      <c r="N114" s="70"/>
      <c r="O114" s="8"/>
      <c r="P114" s="8"/>
    </row>
    <row r="115" spans="2:16">
      <c r="B115" s="70"/>
      <c r="C115" s="70"/>
      <c r="D115" s="70"/>
      <c r="E115" s="70"/>
      <c r="F115" s="70"/>
      <c r="G115" s="70"/>
      <c r="H115" s="70"/>
      <c r="I115" s="70"/>
      <c r="J115" s="70"/>
      <c r="K115" s="70"/>
      <c r="L115" s="70"/>
      <c r="M115" s="70"/>
      <c r="N115" s="70"/>
      <c r="O115" s="8"/>
      <c r="P115" s="8"/>
    </row>
    <row r="116" spans="2:16">
      <c r="B116" s="70"/>
      <c r="C116" s="70"/>
      <c r="D116" s="70"/>
      <c r="E116" s="70"/>
      <c r="F116" s="70"/>
      <c r="G116" s="70"/>
      <c r="H116" s="70"/>
      <c r="I116" s="70"/>
      <c r="J116" s="70"/>
      <c r="K116" s="70"/>
      <c r="L116" s="70"/>
      <c r="M116" s="70"/>
      <c r="N116" s="70"/>
      <c r="O116" s="8"/>
      <c r="P116" s="8"/>
    </row>
    <row r="117" spans="2:16">
      <c r="B117" s="70"/>
      <c r="C117" s="70"/>
      <c r="D117" s="70"/>
      <c r="E117" s="70"/>
      <c r="F117" s="70"/>
      <c r="G117" s="70"/>
      <c r="H117" s="70"/>
      <c r="I117" s="70"/>
      <c r="J117" s="70"/>
      <c r="K117" s="70"/>
      <c r="L117" s="70"/>
      <c r="M117" s="70"/>
      <c r="N117" s="70"/>
      <c r="O117" s="8"/>
      <c r="P117" s="8"/>
    </row>
    <row r="118" spans="2:16">
      <c r="B118" s="70"/>
      <c r="C118" s="70"/>
      <c r="D118" s="70"/>
      <c r="E118" s="70"/>
      <c r="F118" s="70"/>
      <c r="G118" s="70"/>
      <c r="H118" s="70"/>
      <c r="I118" s="70"/>
      <c r="J118" s="70"/>
      <c r="K118" s="70"/>
      <c r="L118" s="70"/>
      <c r="M118" s="70"/>
      <c r="N118" s="70"/>
      <c r="O118" s="8"/>
      <c r="P118" s="8"/>
    </row>
    <row r="119" spans="2:16">
      <c r="B119" s="70"/>
      <c r="C119" s="70"/>
      <c r="D119" s="70"/>
      <c r="E119" s="70"/>
      <c r="F119" s="70"/>
      <c r="G119" s="70"/>
      <c r="H119" s="70"/>
      <c r="I119" s="70"/>
      <c r="J119" s="70"/>
      <c r="K119" s="70"/>
      <c r="L119" s="70"/>
      <c r="M119" s="70"/>
      <c r="N119" s="70"/>
      <c r="O119" s="8"/>
      <c r="P119" s="8"/>
    </row>
    <row r="120" spans="2:16">
      <c r="B120" s="70"/>
      <c r="C120" s="70"/>
      <c r="D120" s="70"/>
      <c r="E120" s="70"/>
      <c r="F120" s="70"/>
      <c r="G120" s="70"/>
      <c r="H120" s="70"/>
      <c r="I120" s="70"/>
      <c r="J120" s="70"/>
      <c r="K120" s="70"/>
      <c r="L120" s="70"/>
      <c r="M120" s="70"/>
      <c r="N120" s="70"/>
      <c r="O120" s="8"/>
      <c r="P120" s="8"/>
    </row>
    <row r="121" spans="2:16">
      <c r="B121" s="70"/>
      <c r="C121" s="70"/>
      <c r="D121" s="70"/>
      <c r="E121" s="70"/>
      <c r="F121" s="70"/>
      <c r="G121" s="70"/>
      <c r="H121" s="70"/>
      <c r="I121" s="70"/>
      <c r="J121" s="70"/>
      <c r="K121" s="70"/>
      <c r="L121" s="70"/>
      <c r="M121" s="70"/>
      <c r="N121" s="70"/>
      <c r="O121" s="8"/>
      <c r="P121" s="8"/>
    </row>
    <row r="122" spans="2:16">
      <c r="B122" s="70"/>
      <c r="C122" s="70"/>
      <c r="D122" s="70"/>
      <c r="E122" s="70"/>
      <c r="F122" s="70"/>
      <c r="G122" s="70"/>
      <c r="H122" s="70"/>
      <c r="I122" s="70"/>
      <c r="J122" s="70"/>
      <c r="K122" s="70"/>
      <c r="L122" s="70"/>
      <c r="M122" s="70"/>
      <c r="N122" s="70"/>
      <c r="O122" s="8"/>
      <c r="P122" s="8"/>
    </row>
    <row r="123" spans="2:16">
      <c r="B123" s="70"/>
      <c r="C123" s="70"/>
      <c r="D123" s="70"/>
      <c r="E123" s="70"/>
      <c r="F123" s="70"/>
      <c r="G123" s="70"/>
      <c r="H123" s="70"/>
      <c r="I123" s="70"/>
      <c r="J123" s="70"/>
      <c r="K123" s="70"/>
      <c r="L123" s="70"/>
      <c r="M123" s="70"/>
      <c r="N123" s="70"/>
      <c r="O123" s="8"/>
      <c r="P123" s="8"/>
    </row>
    <row r="124" spans="2:16">
      <c r="B124" s="70"/>
      <c r="C124" s="70"/>
      <c r="D124" s="70"/>
      <c r="E124" s="70"/>
      <c r="F124" s="70"/>
      <c r="G124" s="70"/>
      <c r="H124" s="70"/>
      <c r="I124" s="70"/>
      <c r="J124" s="70"/>
      <c r="K124" s="70"/>
      <c r="L124" s="70"/>
      <c r="M124" s="70"/>
      <c r="N124" s="70"/>
      <c r="O124" s="8"/>
      <c r="P124" s="8"/>
    </row>
    <row r="125" spans="2:16">
      <c r="B125" s="70"/>
      <c r="C125" s="70"/>
      <c r="D125" s="70"/>
      <c r="E125" s="70"/>
      <c r="F125" s="70"/>
      <c r="G125" s="70"/>
      <c r="H125" s="70"/>
      <c r="I125" s="70"/>
      <c r="J125" s="70"/>
      <c r="K125" s="70"/>
      <c r="L125" s="70"/>
      <c r="M125" s="70"/>
      <c r="N125" s="70"/>
      <c r="O125" s="8"/>
      <c r="P125" s="8"/>
    </row>
    <row r="126" spans="2:16">
      <c r="B126" s="70"/>
      <c r="C126" s="70"/>
      <c r="D126" s="70"/>
      <c r="E126" s="70"/>
      <c r="F126" s="70"/>
      <c r="G126" s="70"/>
      <c r="H126" s="70"/>
      <c r="I126" s="70"/>
      <c r="J126" s="70"/>
      <c r="K126" s="70"/>
      <c r="L126" s="70"/>
      <c r="M126" s="70"/>
      <c r="N126" s="70"/>
      <c r="O126" s="8"/>
      <c r="P126" s="8"/>
    </row>
    <row r="127" spans="2:16">
      <c r="B127" s="70"/>
      <c r="C127" s="70"/>
      <c r="D127" s="70"/>
      <c r="E127" s="70"/>
      <c r="F127" s="70"/>
      <c r="G127" s="70"/>
      <c r="H127" s="70"/>
      <c r="I127" s="70"/>
      <c r="J127" s="70"/>
      <c r="K127" s="70"/>
      <c r="L127" s="70"/>
      <c r="M127" s="70"/>
      <c r="N127" s="70"/>
      <c r="O127" s="8"/>
      <c r="P127" s="8"/>
    </row>
    <row r="128" spans="2:16">
      <c r="B128" s="70"/>
      <c r="C128" s="70"/>
      <c r="D128" s="70"/>
      <c r="E128" s="70"/>
      <c r="F128" s="70"/>
      <c r="G128" s="70"/>
      <c r="H128" s="70"/>
      <c r="I128" s="70"/>
      <c r="J128" s="70"/>
      <c r="K128" s="70"/>
      <c r="L128" s="70"/>
      <c r="M128" s="70"/>
      <c r="N128" s="70"/>
      <c r="O128" s="8"/>
      <c r="P128" s="8"/>
    </row>
    <row r="129" spans="2:16">
      <c r="B129" s="70"/>
      <c r="C129" s="70"/>
      <c r="D129" s="70"/>
      <c r="E129" s="70"/>
      <c r="F129" s="70"/>
      <c r="G129" s="70"/>
      <c r="H129" s="70"/>
      <c r="I129" s="70"/>
      <c r="J129" s="70"/>
      <c r="K129" s="70"/>
      <c r="L129" s="70"/>
      <c r="M129" s="70"/>
      <c r="N129" s="70"/>
      <c r="O129" s="8"/>
      <c r="P129" s="8"/>
    </row>
    <row r="130" spans="2:16">
      <c r="B130" s="70"/>
      <c r="C130" s="70"/>
      <c r="D130" s="70"/>
      <c r="E130" s="70"/>
      <c r="F130" s="70"/>
      <c r="G130" s="70"/>
      <c r="H130" s="70"/>
      <c r="I130" s="70"/>
      <c r="J130" s="70"/>
      <c r="K130" s="70"/>
      <c r="L130" s="70"/>
      <c r="M130" s="70"/>
      <c r="N130" s="70"/>
      <c r="O130" s="8"/>
      <c r="P130" s="8"/>
    </row>
    <row r="131" spans="2:16">
      <c r="B131" s="70"/>
      <c r="C131" s="70"/>
      <c r="D131" s="70"/>
      <c r="E131" s="70"/>
      <c r="F131" s="70"/>
      <c r="G131" s="70"/>
      <c r="H131" s="70"/>
      <c r="I131" s="70"/>
      <c r="J131" s="70"/>
      <c r="K131" s="70"/>
      <c r="L131" s="70"/>
      <c r="M131" s="70"/>
      <c r="N131" s="70"/>
      <c r="O131" s="8"/>
      <c r="P131" s="8"/>
    </row>
    <row r="132" spans="2:16">
      <c r="B132" s="70"/>
      <c r="C132" s="70"/>
      <c r="D132" s="70"/>
      <c r="E132" s="70"/>
      <c r="F132" s="70"/>
      <c r="G132" s="70"/>
      <c r="H132" s="70"/>
      <c r="I132" s="70"/>
      <c r="J132" s="70"/>
      <c r="K132" s="70"/>
      <c r="L132" s="70"/>
      <c r="M132" s="70"/>
      <c r="N132" s="70"/>
      <c r="O132" s="8"/>
      <c r="P132" s="8"/>
    </row>
    <row r="133" spans="2:16">
      <c r="B133" s="70"/>
      <c r="C133" s="70"/>
      <c r="D133" s="70"/>
      <c r="E133" s="70"/>
      <c r="F133" s="70"/>
      <c r="G133" s="70"/>
      <c r="H133" s="70"/>
      <c r="I133" s="70"/>
      <c r="J133" s="70"/>
      <c r="K133" s="70"/>
      <c r="L133" s="70"/>
      <c r="M133" s="70"/>
      <c r="N133" s="70"/>
      <c r="O133" s="8"/>
      <c r="P133" s="8"/>
    </row>
    <row r="134" spans="2:16">
      <c r="B134" s="70"/>
      <c r="C134" s="70"/>
      <c r="D134" s="70"/>
      <c r="E134" s="70"/>
      <c r="F134" s="70"/>
      <c r="G134" s="70"/>
      <c r="H134" s="70"/>
      <c r="I134" s="70"/>
      <c r="J134" s="70"/>
      <c r="K134" s="70"/>
      <c r="L134" s="70"/>
      <c r="M134" s="70"/>
      <c r="N134" s="70"/>
      <c r="O134" s="8"/>
      <c r="P134" s="8"/>
    </row>
    <row r="135" spans="2:16">
      <c r="B135" s="70"/>
      <c r="C135" s="70"/>
      <c r="D135" s="70"/>
      <c r="E135" s="70"/>
      <c r="F135" s="70"/>
      <c r="G135" s="70"/>
      <c r="H135" s="70"/>
      <c r="I135" s="70"/>
      <c r="J135" s="70"/>
      <c r="K135" s="70"/>
      <c r="L135" s="70"/>
      <c r="M135" s="70"/>
      <c r="N135" s="70"/>
      <c r="O135" s="8"/>
      <c r="P135" s="8"/>
    </row>
    <row r="136" spans="2:16">
      <c r="B136" s="70"/>
      <c r="C136" s="70"/>
      <c r="D136" s="70"/>
      <c r="E136" s="70"/>
      <c r="F136" s="70"/>
      <c r="G136" s="70"/>
      <c r="H136" s="70"/>
      <c r="I136" s="70"/>
      <c r="J136" s="70"/>
      <c r="K136" s="70"/>
      <c r="L136" s="70"/>
      <c r="M136" s="70"/>
      <c r="N136" s="70"/>
      <c r="O136" s="8"/>
      <c r="P136" s="8"/>
    </row>
    <row r="137" spans="2:16">
      <c r="B137" s="70"/>
      <c r="C137" s="70"/>
      <c r="D137" s="70"/>
      <c r="E137" s="70"/>
      <c r="F137" s="70"/>
      <c r="G137" s="70"/>
      <c r="H137" s="70"/>
      <c r="I137" s="70"/>
      <c r="J137" s="70"/>
      <c r="K137" s="70"/>
      <c r="L137" s="70"/>
      <c r="M137" s="70"/>
      <c r="N137" s="70"/>
      <c r="O137" s="8"/>
      <c r="P137" s="8"/>
    </row>
    <row r="138" spans="2:16">
      <c r="B138" s="70"/>
      <c r="C138" s="70"/>
      <c r="D138" s="70"/>
      <c r="E138" s="70"/>
      <c r="F138" s="70"/>
      <c r="G138" s="70"/>
      <c r="H138" s="70"/>
      <c r="I138" s="70"/>
      <c r="J138" s="70"/>
      <c r="K138" s="70"/>
      <c r="L138" s="70"/>
      <c r="M138" s="70"/>
      <c r="N138" s="70"/>
      <c r="O138" s="8"/>
      <c r="P138" s="8"/>
    </row>
    <row r="139" spans="2:16">
      <c r="B139" s="70"/>
      <c r="C139" s="70"/>
      <c r="D139" s="70"/>
      <c r="E139" s="70"/>
      <c r="F139" s="70"/>
      <c r="G139" s="70"/>
      <c r="H139" s="70"/>
      <c r="I139" s="70"/>
      <c r="J139" s="70"/>
      <c r="K139" s="70"/>
      <c r="L139" s="70"/>
      <c r="M139" s="70"/>
      <c r="N139" s="70"/>
      <c r="O139" s="8"/>
      <c r="P139" s="8"/>
    </row>
    <row r="140" spans="2:16">
      <c r="B140" s="70"/>
      <c r="C140" s="70"/>
      <c r="D140" s="70"/>
      <c r="E140" s="70"/>
      <c r="F140" s="70"/>
      <c r="G140" s="70"/>
      <c r="H140" s="70"/>
      <c r="I140" s="70"/>
      <c r="J140" s="70"/>
      <c r="K140" s="70"/>
      <c r="L140" s="70"/>
      <c r="M140" s="70"/>
      <c r="N140" s="70"/>
      <c r="O140" s="8"/>
      <c r="P140" s="8"/>
    </row>
    <row r="141" spans="2:16">
      <c r="B141" s="70"/>
      <c r="C141" s="70"/>
      <c r="D141" s="70"/>
      <c r="E141" s="70"/>
      <c r="F141" s="70"/>
      <c r="G141" s="70"/>
      <c r="H141" s="70"/>
      <c r="I141" s="70"/>
      <c r="J141" s="70"/>
      <c r="K141" s="70"/>
      <c r="L141" s="70"/>
      <c r="M141" s="70"/>
      <c r="N141" s="70"/>
      <c r="O141" s="8"/>
      <c r="P141" s="8"/>
    </row>
    <row r="142" spans="2:16">
      <c r="B142" s="70"/>
      <c r="C142" s="70"/>
      <c r="D142" s="70"/>
      <c r="E142" s="70"/>
      <c r="F142" s="70"/>
      <c r="G142" s="70"/>
      <c r="H142" s="70"/>
      <c r="I142" s="70"/>
      <c r="J142" s="70"/>
      <c r="K142" s="70"/>
      <c r="L142" s="70"/>
      <c r="M142" s="70"/>
      <c r="N142" s="70"/>
      <c r="O142" s="8"/>
      <c r="P142" s="8"/>
    </row>
    <row r="143" spans="2:16">
      <c r="B143" s="70"/>
      <c r="C143" s="70"/>
      <c r="D143" s="70"/>
      <c r="E143" s="70"/>
      <c r="F143" s="70"/>
      <c r="G143" s="70"/>
      <c r="H143" s="70"/>
      <c r="I143" s="70"/>
      <c r="J143" s="70"/>
      <c r="K143" s="70"/>
      <c r="L143" s="70"/>
      <c r="M143" s="70"/>
      <c r="N143" s="70"/>
      <c r="O143" s="8"/>
      <c r="P143" s="8"/>
    </row>
    <row r="144" spans="2:16">
      <c r="B144" s="70"/>
      <c r="C144" s="70"/>
      <c r="D144" s="70"/>
      <c r="E144" s="70"/>
      <c r="F144" s="70"/>
      <c r="G144" s="70"/>
      <c r="H144" s="70"/>
      <c r="I144" s="70"/>
      <c r="J144" s="70"/>
      <c r="K144" s="70"/>
      <c r="L144" s="70"/>
      <c r="M144" s="70"/>
      <c r="N144" s="70"/>
      <c r="O144" s="8"/>
      <c r="P144" s="8"/>
    </row>
    <row r="145" spans="2:16">
      <c r="B145" s="70"/>
      <c r="C145" s="70"/>
      <c r="D145" s="70"/>
      <c r="E145" s="70"/>
      <c r="F145" s="70"/>
      <c r="G145" s="70"/>
      <c r="H145" s="70"/>
      <c r="I145" s="70"/>
      <c r="J145" s="70"/>
      <c r="K145" s="70"/>
      <c r="L145" s="70"/>
      <c r="M145" s="70"/>
      <c r="N145" s="70"/>
      <c r="O145" s="8"/>
      <c r="P145" s="8"/>
    </row>
    <row r="146" spans="2:16">
      <c r="B146" s="70"/>
      <c r="C146" s="70"/>
      <c r="D146" s="70"/>
      <c r="E146" s="70"/>
      <c r="F146" s="70"/>
      <c r="G146" s="70"/>
      <c r="H146" s="70"/>
      <c r="I146" s="70"/>
      <c r="J146" s="70"/>
      <c r="K146" s="70"/>
      <c r="L146" s="70"/>
      <c r="M146" s="70"/>
      <c r="N146" s="70"/>
      <c r="O146" s="8"/>
      <c r="P146" s="8"/>
    </row>
    <row r="147" spans="2:16">
      <c r="B147" s="70"/>
      <c r="C147" s="70"/>
      <c r="D147" s="70"/>
      <c r="E147" s="70"/>
      <c r="F147" s="70"/>
      <c r="G147" s="70"/>
      <c r="H147" s="70"/>
      <c r="I147" s="70"/>
      <c r="J147" s="70"/>
      <c r="K147" s="70"/>
      <c r="L147" s="70"/>
      <c r="M147" s="70"/>
      <c r="N147" s="70"/>
      <c r="O147" s="8"/>
      <c r="P147" s="8"/>
    </row>
    <row r="148" spans="2:16">
      <c r="B148" s="70"/>
      <c r="C148" s="70"/>
      <c r="D148" s="70"/>
      <c r="E148" s="70"/>
      <c r="F148" s="70"/>
      <c r="G148" s="70"/>
      <c r="H148" s="70"/>
      <c r="I148" s="70"/>
      <c r="J148" s="70"/>
      <c r="K148" s="70"/>
      <c r="L148" s="70"/>
      <c r="M148" s="70"/>
      <c r="N148" s="70"/>
      <c r="O148" s="8"/>
      <c r="P148" s="8"/>
    </row>
    <row r="149" spans="2:16">
      <c r="B149" s="70"/>
      <c r="C149" s="70"/>
      <c r="D149" s="70"/>
      <c r="E149" s="70"/>
      <c r="F149" s="70"/>
      <c r="G149" s="70"/>
      <c r="H149" s="70"/>
      <c r="I149" s="70"/>
      <c r="J149" s="70"/>
      <c r="K149" s="70"/>
      <c r="L149" s="70"/>
      <c r="M149" s="70"/>
      <c r="N149" s="70"/>
      <c r="O149" s="8"/>
      <c r="P149" s="8"/>
    </row>
    <row r="150" spans="2:16">
      <c r="B150" s="70"/>
      <c r="C150" s="70"/>
      <c r="D150" s="70"/>
      <c r="E150" s="70"/>
      <c r="F150" s="70"/>
      <c r="G150" s="70"/>
      <c r="H150" s="70"/>
      <c r="I150" s="70"/>
      <c r="J150" s="70"/>
      <c r="K150" s="70"/>
      <c r="L150" s="70"/>
      <c r="M150" s="70"/>
      <c r="N150" s="70"/>
      <c r="O150" s="8"/>
      <c r="P150" s="8"/>
    </row>
    <row r="151" spans="2:16">
      <c r="B151" s="70"/>
      <c r="C151" s="70"/>
      <c r="D151" s="70"/>
      <c r="E151" s="70"/>
      <c r="F151" s="70"/>
      <c r="G151" s="70"/>
      <c r="H151" s="70"/>
      <c r="I151" s="70"/>
      <c r="J151" s="70"/>
      <c r="K151" s="70"/>
      <c r="L151" s="70"/>
      <c r="M151" s="70"/>
      <c r="N151" s="70"/>
      <c r="O151" s="8"/>
      <c r="P151" s="8"/>
    </row>
    <row r="152" spans="2:16">
      <c r="B152" s="70"/>
      <c r="C152" s="70"/>
      <c r="D152" s="70"/>
      <c r="E152" s="70"/>
      <c r="F152" s="70"/>
      <c r="G152" s="70"/>
      <c r="H152" s="70"/>
      <c r="I152" s="70"/>
      <c r="J152" s="70"/>
      <c r="K152" s="70"/>
      <c r="L152" s="70"/>
      <c r="M152" s="70"/>
      <c r="N152" s="70"/>
      <c r="O152" s="8"/>
      <c r="P152" s="8"/>
    </row>
    <row r="153" spans="2:16">
      <c r="B153" s="70"/>
      <c r="C153" s="70"/>
      <c r="D153" s="70"/>
      <c r="E153" s="70"/>
      <c r="F153" s="70"/>
      <c r="G153" s="70"/>
      <c r="H153" s="70"/>
      <c r="I153" s="70"/>
      <c r="J153" s="70"/>
      <c r="K153" s="70"/>
      <c r="L153" s="70"/>
      <c r="M153" s="70"/>
      <c r="N153" s="70"/>
      <c r="O153" s="8"/>
      <c r="P153" s="8"/>
    </row>
    <row r="154" spans="2:16">
      <c r="B154" s="70"/>
      <c r="C154" s="70"/>
      <c r="D154" s="70"/>
      <c r="E154" s="70"/>
      <c r="F154" s="70"/>
      <c r="G154" s="70"/>
      <c r="H154" s="70"/>
      <c r="I154" s="70"/>
      <c r="J154" s="70"/>
      <c r="K154" s="70"/>
      <c r="L154" s="70"/>
      <c r="M154" s="70"/>
      <c r="N154" s="70"/>
      <c r="O154" s="8"/>
      <c r="P154" s="8"/>
    </row>
    <row r="155" spans="2:16">
      <c r="B155" s="70"/>
      <c r="C155" s="70"/>
      <c r="D155" s="70"/>
      <c r="E155" s="70"/>
      <c r="F155" s="70"/>
      <c r="G155" s="70"/>
      <c r="H155" s="70"/>
      <c r="I155" s="70"/>
      <c r="J155" s="70"/>
      <c r="K155" s="70"/>
      <c r="L155" s="70"/>
      <c r="M155" s="70"/>
      <c r="N155" s="70"/>
      <c r="O155" s="8"/>
      <c r="P155" s="8"/>
    </row>
    <row r="156" spans="2:16">
      <c r="B156" s="70"/>
      <c r="C156" s="70"/>
      <c r="D156" s="70"/>
      <c r="E156" s="70"/>
      <c r="F156" s="70"/>
      <c r="G156" s="70"/>
      <c r="H156" s="70"/>
      <c r="I156" s="70"/>
      <c r="J156" s="70"/>
      <c r="K156" s="70"/>
      <c r="L156" s="70"/>
      <c r="M156" s="70"/>
      <c r="N156" s="70"/>
      <c r="O156" s="8"/>
      <c r="P156" s="8"/>
    </row>
    <row r="157" spans="2:16">
      <c r="B157" s="70"/>
      <c r="C157" s="70"/>
      <c r="D157" s="70"/>
      <c r="E157" s="70"/>
      <c r="F157" s="70"/>
      <c r="G157" s="70"/>
      <c r="H157" s="70"/>
      <c r="I157" s="70"/>
      <c r="J157" s="70"/>
      <c r="K157" s="70"/>
      <c r="L157" s="70"/>
      <c r="M157" s="70"/>
      <c r="N157" s="70"/>
      <c r="O157" s="8"/>
      <c r="P157" s="8"/>
    </row>
    <row r="158" spans="2:16">
      <c r="B158" s="70"/>
      <c r="C158" s="70"/>
      <c r="D158" s="70"/>
      <c r="E158" s="70"/>
      <c r="F158" s="70"/>
      <c r="G158" s="70"/>
      <c r="H158" s="70"/>
      <c r="I158" s="70"/>
      <c r="J158" s="70"/>
      <c r="K158" s="70"/>
      <c r="L158" s="70"/>
      <c r="M158" s="70"/>
      <c r="N158" s="70"/>
      <c r="O158" s="8"/>
      <c r="P158" s="8"/>
    </row>
    <row r="159" spans="2:16">
      <c r="B159" s="70"/>
      <c r="C159" s="70"/>
      <c r="D159" s="70"/>
      <c r="E159" s="70"/>
      <c r="F159" s="70"/>
      <c r="G159" s="70"/>
      <c r="H159" s="70"/>
      <c r="I159" s="70"/>
      <c r="J159" s="70"/>
      <c r="K159" s="70"/>
      <c r="L159" s="70"/>
      <c r="M159" s="70"/>
      <c r="N159" s="70"/>
      <c r="O159" s="8"/>
      <c r="P159" s="8"/>
    </row>
    <row r="160" spans="2:16">
      <c r="B160" s="70"/>
      <c r="C160" s="70"/>
      <c r="D160" s="70"/>
      <c r="E160" s="70"/>
      <c r="F160" s="70"/>
      <c r="G160" s="70"/>
      <c r="H160" s="70"/>
      <c r="I160" s="70"/>
      <c r="J160" s="70"/>
      <c r="K160" s="70"/>
      <c r="L160" s="70"/>
      <c r="M160" s="70"/>
      <c r="N160" s="70"/>
      <c r="O160" s="8"/>
      <c r="P160" s="8"/>
    </row>
    <row r="161" spans="2:16">
      <c r="B161" s="70"/>
      <c r="C161" s="70"/>
      <c r="D161" s="70"/>
      <c r="E161" s="70"/>
      <c r="F161" s="70"/>
      <c r="G161" s="70"/>
      <c r="H161" s="70"/>
      <c r="I161" s="70"/>
      <c r="J161" s="70"/>
      <c r="K161" s="70"/>
      <c r="L161" s="70"/>
      <c r="M161" s="70"/>
      <c r="N161" s="70"/>
      <c r="O161" s="8"/>
      <c r="P161" s="8"/>
    </row>
    <row r="162" spans="2:16">
      <c r="B162" s="70"/>
      <c r="C162" s="70"/>
      <c r="D162" s="70"/>
      <c r="E162" s="70"/>
      <c r="F162" s="70"/>
      <c r="G162" s="70"/>
      <c r="H162" s="70"/>
      <c r="I162" s="70"/>
      <c r="J162" s="70"/>
      <c r="K162" s="70"/>
      <c r="L162" s="70"/>
      <c r="M162" s="70"/>
      <c r="N162" s="70"/>
      <c r="O162" s="8"/>
      <c r="P162" s="8"/>
    </row>
    <row r="163" spans="2:16">
      <c r="B163" s="70"/>
      <c r="C163" s="70"/>
      <c r="D163" s="70"/>
      <c r="E163" s="70"/>
      <c r="F163" s="70"/>
      <c r="G163" s="70"/>
      <c r="H163" s="70"/>
      <c r="I163" s="70"/>
      <c r="J163" s="70"/>
      <c r="K163" s="70"/>
      <c r="L163" s="70"/>
      <c r="M163" s="70"/>
      <c r="N163" s="70"/>
      <c r="O163" s="8"/>
      <c r="P163" s="8"/>
    </row>
    <row r="164" spans="2:16">
      <c r="B164" s="70"/>
      <c r="C164" s="70"/>
      <c r="D164" s="70"/>
      <c r="E164" s="70"/>
      <c r="F164" s="70"/>
      <c r="G164" s="70"/>
      <c r="H164" s="70"/>
      <c r="I164" s="70"/>
      <c r="J164" s="70"/>
      <c r="K164" s="70"/>
      <c r="L164" s="70"/>
      <c r="M164" s="70"/>
      <c r="N164" s="70"/>
      <c r="O164" s="8"/>
      <c r="P164" s="8"/>
    </row>
    <row r="165" spans="2:16">
      <c r="B165" s="70"/>
      <c r="C165" s="70"/>
      <c r="D165" s="70"/>
      <c r="E165" s="70"/>
      <c r="F165" s="70"/>
      <c r="G165" s="70"/>
      <c r="H165" s="70"/>
      <c r="I165" s="70"/>
      <c r="J165" s="70"/>
      <c r="K165" s="70"/>
      <c r="L165" s="70"/>
      <c r="M165" s="70"/>
      <c r="N165" s="70"/>
      <c r="O165" s="8"/>
      <c r="P165" s="8"/>
    </row>
    <row r="166" spans="2:16">
      <c r="B166" s="70"/>
      <c r="C166" s="70"/>
      <c r="D166" s="70"/>
      <c r="E166" s="70"/>
      <c r="F166" s="70"/>
      <c r="G166" s="70"/>
      <c r="H166" s="70"/>
      <c r="I166" s="70"/>
      <c r="J166" s="70"/>
      <c r="K166" s="70"/>
      <c r="L166" s="70"/>
      <c r="M166" s="70"/>
      <c r="N166" s="70"/>
      <c r="O166" s="8"/>
      <c r="P166" s="8"/>
    </row>
    <row r="167" spans="2:16">
      <c r="B167" s="70"/>
      <c r="C167" s="70"/>
      <c r="D167" s="70"/>
      <c r="E167" s="70"/>
      <c r="F167" s="70"/>
      <c r="G167" s="70"/>
      <c r="H167" s="70"/>
      <c r="I167" s="70"/>
      <c r="J167" s="70"/>
      <c r="K167" s="70"/>
      <c r="L167" s="70"/>
      <c r="M167" s="70"/>
      <c r="N167" s="70"/>
      <c r="O167" s="8"/>
      <c r="P167" s="8"/>
    </row>
    <row r="168" spans="2:16">
      <c r="B168" s="70"/>
      <c r="C168" s="70"/>
      <c r="D168" s="70"/>
      <c r="E168" s="70"/>
      <c r="F168" s="70"/>
      <c r="G168" s="70"/>
      <c r="H168" s="70"/>
      <c r="I168" s="70"/>
      <c r="J168" s="70"/>
      <c r="K168" s="70"/>
      <c r="L168" s="70"/>
      <c r="M168" s="70"/>
      <c r="N168" s="70"/>
      <c r="O168" s="8"/>
      <c r="P168" s="8"/>
    </row>
    <row r="169" spans="2:16">
      <c r="B169" s="70"/>
      <c r="C169" s="70"/>
      <c r="D169" s="70"/>
      <c r="E169" s="70"/>
      <c r="F169" s="70"/>
      <c r="G169" s="70"/>
      <c r="H169" s="70"/>
      <c r="I169" s="70"/>
      <c r="J169" s="70"/>
      <c r="K169" s="70"/>
      <c r="L169" s="70"/>
      <c r="M169" s="70"/>
      <c r="N169" s="70"/>
      <c r="O169" s="8"/>
      <c r="P169" s="8"/>
    </row>
    <row r="170" spans="2:16">
      <c r="B170" s="70"/>
      <c r="C170" s="70"/>
      <c r="D170" s="70"/>
      <c r="E170" s="70"/>
      <c r="F170" s="70"/>
      <c r="G170" s="70"/>
      <c r="H170" s="70"/>
      <c r="I170" s="70"/>
      <c r="J170" s="70"/>
      <c r="K170" s="70"/>
      <c r="L170" s="70"/>
      <c r="M170" s="70"/>
      <c r="N170" s="70"/>
      <c r="O170" s="8"/>
      <c r="P170" s="8"/>
    </row>
    <row r="171" spans="2:16">
      <c r="B171" s="70"/>
      <c r="C171" s="70"/>
      <c r="D171" s="70"/>
      <c r="E171" s="70"/>
      <c r="F171" s="70"/>
      <c r="G171" s="70"/>
      <c r="H171" s="70"/>
      <c r="I171" s="70"/>
      <c r="J171" s="70"/>
      <c r="K171" s="70"/>
      <c r="L171" s="70"/>
      <c r="M171" s="70"/>
      <c r="N171" s="70"/>
      <c r="O171" s="8"/>
      <c r="P171" s="8"/>
    </row>
    <row r="172" spans="2:16">
      <c r="B172" s="70"/>
      <c r="C172" s="70"/>
      <c r="D172" s="70"/>
      <c r="E172" s="70"/>
      <c r="F172" s="70"/>
      <c r="G172" s="70"/>
      <c r="H172" s="70"/>
      <c r="I172" s="70"/>
      <c r="J172" s="70"/>
      <c r="K172" s="70"/>
      <c r="L172" s="70"/>
      <c r="M172" s="70"/>
      <c r="N172" s="70"/>
      <c r="O172" s="8"/>
      <c r="P172" s="8"/>
    </row>
    <row r="173" spans="2:16">
      <c r="B173" s="70"/>
      <c r="C173" s="70"/>
      <c r="D173" s="70"/>
      <c r="E173" s="70"/>
      <c r="F173" s="70"/>
      <c r="G173" s="70"/>
      <c r="H173" s="70"/>
      <c r="I173" s="70"/>
      <c r="J173" s="70"/>
      <c r="K173" s="70"/>
      <c r="L173" s="70"/>
      <c r="M173" s="70"/>
      <c r="N173" s="70"/>
      <c r="O173" s="8"/>
      <c r="P173" s="8"/>
    </row>
    <row r="174" spans="2:16">
      <c r="B174" s="70"/>
      <c r="C174" s="70"/>
      <c r="D174" s="70"/>
      <c r="E174" s="70"/>
      <c r="F174" s="70"/>
      <c r="G174" s="70"/>
      <c r="H174" s="70"/>
      <c r="I174" s="70"/>
      <c r="J174" s="70"/>
      <c r="K174" s="70"/>
      <c r="L174" s="70"/>
      <c r="M174" s="70"/>
      <c r="N174" s="70"/>
      <c r="O174" s="8"/>
      <c r="P174" s="8"/>
    </row>
    <row r="175" spans="2:16">
      <c r="B175" s="70"/>
      <c r="C175" s="70"/>
      <c r="D175" s="70"/>
      <c r="E175" s="70"/>
      <c r="F175" s="70"/>
      <c r="G175" s="70"/>
      <c r="H175" s="70"/>
      <c r="I175" s="70"/>
      <c r="J175" s="70"/>
      <c r="K175" s="70"/>
      <c r="L175" s="70"/>
      <c r="M175" s="70"/>
      <c r="N175" s="70"/>
      <c r="O175" s="8"/>
      <c r="P175" s="8"/>
    </row>
    <row r="176" spans="2:16">
      <c r="B176" s="70"/>
      <c r="C176" s="70"/>
      <c r="D176" s="70"/>
      <c r="E176" s="70"/>
      <c r="F176" s="70"/>
      <c r="G176" s="70"/>
      <c r="H176" s="70"/>
      <c r="I176" s="70"/>
      <c r="J176" s="70"/>
      <c r="K176" s="70"/>
      <c r="L176" s="70"/>
      <c r="M176" s="70"/>
      <c r="N176" s="70"/>
      <c r="O176" s="8"/>
      <c r="P176" s="8"/>
    </row>
    <row r="177" spans="2:16">
      <c r="B177" s="70"/>
      <c r="C177" s="70"/>
      <c r="D177" s="70"/>
      <c r="E177" s="70"/>
      <c r="F177" s="70"/>
      <c r="G177" s="70"/>
      <c r="H177" s="70"/>
      <c r="I177" s="70"/>
      <c r="J177" s="70"/>
      <c r="K177" s="70"/>
      <c r="L177" s="70"/>
      <c r="M177" s="70"/>
      <c r="N177" s="70"/>
      <c r="O177" s="8"/>
      <c r="P177" s="8"/>
    </row>
    <row r="178" spans="2:16">
      <c r="B178" s="70"/>
      <c r="C178" s="70"/>
      <c r="D178" s="70"/>
      <c r="E178" s="70"/>
      <c r="F178" s="70"/>
      <c r="G178" s="70"/>
      <c r="H178" s="70"/>
      <c r="I178" s="70"/>
      <c r="J178" s="70"/>
      <c r="K178" s="70"/>
      <c r="L178" s="70"/>
      <c r="M178" s="70"/>
      <c r="N178" s="70"/>
      <c r="O178" s="8"/>
      <c r="P178" s="8"/>
    </row>
    <row r="179" spans="2:16">
      <c r="B179" s="70"/>
      <c r="C179" s="70"/>
      <c r="D179" s="70"/>
      <c r="E179" s="70"/>
      <c r="F179" s="70"/>
      <c r="G179" s="70"/>
      <c r="H179" s="70"/>
      <c r="I179" s="70"/>
      <c r="J179" s="70"/>
      <c r="K179" s="70"/>
      <c r="L179" s="70"/>
      <c r="M179" s="70"/>
      <c r="N179" s="70"/>
      <c r="O179" s="8"/>
      <c r="P179" s="8"/>
    </row>
    <row r="180" spans="2:16">
      <c r="B180" s="70"/>
      <c r="C180" s="70"/>
      <c r="D180" s="70"/>
      <c r="E180" s="70"/>
      <c r="F180" s="70"/>
      <c r="G180" s="70"/>
      <c r="H180" s="70"/>
      <c r="I180" s="70"/>
      <c r="J180" s="70"/>
      <c r="K180" s="70"/>
      <c r="L180" s="70"/>
      <c r="M180" s="70"/>
      <c r="N180" s="70"/>
      <c r="O180" s="8"/>
      <c r="P180" s="8"/>
    </row>
    <row r="181" spans="2:16">
      <c r="B181" s="70"/>
      <c r="C181" s="70"/>
      <c r="D181" s="70"/>
      <c r="E181" s="70"/>
      <c r="F181" s="70"/>
      <c r="G181" s="70"/>
      <c r="H181" s="70"/>
      <c r="I181" s="70"/>
      <c r="J181" s="70"/>
      <c r="K181" s="70"/>
      <c r="L181" s="70"/>
      <c r="M181" s="70"/>
      <c r="N181" s="70"/>
      <c r="O181" s="8"/>
      <c r="P181" s="8"/>
    </row>
    <row r="182" spans="2:16">
      <c r="B182" s="70"/>
      <c r="C182" s="70"/>
      <c r="D182" s="70"/>
      <c r="E182" s="70"/>
      <c r="F182" s="70"/>
      <c r="G182" s="70"/>
      <c r="H182" s="70"/>
      <c r="I182" s="70"/>
      <c r="J182" s="70"/>
      <c r="K182" s="70"/>
      <c r="L182" s="70"/>
      <c r="M182" s="70"/>
      <c r="N182" s="70"/>
      <c r="O182" s="8"/>
      <c r="P182" s="8"/>
    </row>
    <row r="183" spans="2:16">
      <c r="B183" s="70"/>
      <c r="C183" s="70"/>
      <c r="D183" s="70"/>
      <c r="E183" s="70"/>
      <c r="F183" s="70"/>
      <c r="G183" s="70"/>
      <c r="H183" s="70"/>
      <c r="I183" s="70"/>
      <c r="J183" s="70"/>
      <c r="K183" s="70"/>
      <c r="L183" s="70"/>
      <c r="M183" s="70"/>
      <c r="N183" s="70"/>
      <c r="O183" s="8"/>
      <c r="P183" s="8"/>
    </row>
    <row r="184" spans="2:16">
      <c r="B184" s="70"/>
      <c r="C184" s="70"/>
      <c r="D184" s="70"/>
      <c r="E184" s="70"/>
      <c r="F184" s="70"/>
      <c r="G184" s="70"/>
      <c r="H184" s="70"/>
      <c r="I184" s="70"/>
      <c r="J184" s="70"/>
      <c r="K184" s="70"/>
      <c r="L184" s="70"/>
      <c r="M184" s="70"/>
      <c r="N184" s="70"/>
      <c r="O184" s="8"/>
      <c r="P184" s="8"/>
    </row>
    <row r="185" spans="2:16">
      <c r="B185" s="70"/>
      <c r="C185" s="70"/>
      <c r="D185" s="70"/>
      <c r="E185" s="70"/>
      <c r="F185" s="70"/>
      <c r="G185" s="70"/>
      <c r="H185" s="70"/>
      <c r="I185" s="70"/>
      <c r="J185" s="70"/>
      <c r="K185" s="70"/>
      <c r="L185" s="70"/>
      <c r="M185" s="70"/>
      <c r="N185" s="70"/>
      <c r="O185" s="8"/>
      <c r="P185" s="8"/>
    </row>
    <row r="186" spans="2:16">
      <c r="B186" s="70"/>
      <c r="C186" s="70"/>
      <c r="D186" s="70"/>
      <c r="E186" s="70"/>
      <c r="F186" s="70"/>
      <c r="G186" s="70"/>
      <c r="H186" s="70"/>
      <c r="I186" s="70"/>
      <c r="J186" s="70"/>
      <c r="K186" s="70"/>
      <c r="L186" s="70"/>
      <c r="M186" s="70"/>
      <c r="N186" s="70"/>
      <c r="O186" s="8"/>
      <c r="P186" s="8"/>
    </row>
    <row r="187" spans="2:16">
      <c r="B187" s="70"/>
      <c r="C187" s="70"/>
      <c r="D187" s="70"/>
      <c r="E187" s="70"/>
      <c r="F187" s="70"/>
      <c r="G187" s="70"/>
      <c r="H187" s="70"/>
      <c r="I187" s="70"/>
      <c r="J187" s="70"/>
      <c r="K187" s="70"/>
      <c r="L187" s="70"/>
      <c r="M187" s="70"/>
      <c r="N187" s="70"/>
      <c r="O187" s="8"/>
      <c r="P187" s="8"/>
    </row>
    <row r="188" spans="2:16">
      <c r="B188" s="70"/>
      <c r="C188" s="70"/>
      <c r="D188" s="70"/>
      <c r="E188" s="70"/>
      <c r="F188" s="70"/>
      <c r="G188" s="70"/>
      <c r="H188" s="70"/>
      <c r="I188" s="70"/>
      <c r="J188" s="70"/>
      <c r="K188" s="70"/>
      <c r="L188" s="70"/>
      <c r="M188" s="70"/>
      <c r="N188" s="70"/>
      <c r="O188" s="8"/>
      <c r="P188" s="8"/>
    </row>
    <row r="189" spans="2:16">
      <c r="B189" s="70"/>
      <c r="C189" s="70"/>
      <c r="D189" s="70"/>
      <c r="E189" s="70"/>
      <c r="F189" s="70"/>
      <c r="G189" s="70"/>
      <c r="H189" s="70"/>
      <c r="I189" s="70"/>
      <c r="J189" s="70"/>
      <c r="K189" s="70"/>
      <c r="L189" s="70"/>
      <c r="M189" s="70"/>
      <c r="N189" s="70"/>
      <c r="O189" s="8"/>
      <c r="P189" s="8"/>
    </row>
    <row r="190" spans="2:16">
      <c r="B190" s="70"/>
      <c r="C190" s="70"/>
      <c r="D190" s="70"/>
      <c r="E190" s="70"/>
      <c r="F190" s="70"/>
      <c r="G190" s="70"/>
      <c r="H190" s="70"/>
      <c r="I190" s="70"/>
      <c r="J190" s="70"/>
      <c r="K190" s="70"/>
      <c r="L190" s="70"/>
      <c r="M190" s="70"/>
      <c r="N190" s="70"/>
      <c r="O190" s="8"/>
      <c r="P190" s="8"/>
    </row>
    <row r="191" spans="2:16">
      <c r="B191" s="70"/>
      <c r="C191" s="70"/>
      <c r="D191" s="70"/>
      <c r="E191" s="70"/>
      <c r="F191" s="70"/>
      <c r="G191" s="70"/>
      <c r="H191" s="70"/>
      <c r="I191" s="70"/>
      <c r="J191" s="70"/>
      <c r="K191" s="70"/>
      <c r="L191" s="70"/>
      <c r="M191" s="70"/>
      <c r="N191" s="70"/>
      <c r="O191" s="8"/>
      <c r="P191" s="8"/>
    </row>
    <row r="192" spans="2:16">
      <c r="B192" s="70"/>
      <c r="C192" s="70"/>
      <c r="D192" s="70"/>
      <c r="E192" s="70"/>
      <c r="F192" s="70"/>
      <c r="G192" s="70"/>
      <c r="H192" s="70"/>
      <c r="I192" s="70"/>
      <c r="J192" s="70"/>
      <c r="K192" s="70"/>
      <c r="L192" s="70"/>
      <c r="M192" s="70"/>
      <c r="N192" s="70"/>
      <c r="O192" s="8"/>
      <c r="P192" s="8"/>
    </row>
    <row r="193" spans="2:16">
      <c r="B193" s="70"/>
      <c r="C193" s="70"/>
      <c r="D193" s="70"/>
      <c r="E193" s="70"/>
      <c r="F193" s="70"/>
      <c r="G193" s="70"/>
      <c r="H193" s="70"/>
      <c r="I193" s="70"/>
      <c r="J193" s="70"/>
      <c r="K193" s="70"/>
      <c r="L193" s="70"/>
      <c r="M193" s="70"/>
      <c r="N193" s="70"/>
      <c r="O193" s="8"/>
      <c r="P193" s="8"/>
    </row>
    <row r="194" spans="2:16">
      <c r="B194" s="70"/>
      <c r="C194" s="70"/>
      <c r="D194" s="15"/>
      <c r="E194" s="15"/>
      <c r="F194" s="70"/>
      <c r="G194" s="70"/>
      <c r="H194" s="70"/>
      <c r="I194" s="70"/>
      <c r="J194" s="70"/>
      <c r="K194" s="70"/>
      <c r="L194" s="70"/>
      <c r="M194" s="70"/>
      <c r="N194" s="70"/>
      <c r="O194" s="8"/>
      <c r="P194" s="8"/>
    </row>
    <row r="195" spans="2:16">
      <c r="B195" s="70"/>
      <c r="C195" s="70"/>
      <c r="D195" s="15"/>
      <c r="E195" s="15"/>
      <c r="F195" s="70"/>
      <c r="G195" s="70"/>
      <c r="H195" s="70"/>
      <c r="I195" s="70"/>
      <c r="J195" s="70"/>
      <c r="K195" s="70"/>
      <c r="L195" s="70"/>
      <c r="M195" s="70"/>
      <c r="N195" s="70"/>
      <c r="O195" s="8"/>
      <c r="P195" s="8"/>
    </row>
    <row r="196" spans="2:16">
      <c r="B196" s="15"/>
      <c r="C196" s="15"/>
      <c r="D196" s="15"/>
      <c r="E196" s="15"/>
      <c r="F196" s="15"/>
      <c r="G196" s="15"/>
      <c r="H196" s="80"/>
      <c r="I196" s="15"/>
      <c r="J196" s="15"/>
      <c r="K196" s="15"/>
      <c r="L196" s="15"/>
      <c r="M196" s="15"/>
      <c r="N196" s="15"/>
    </row>
    <row r="197" spans="2:16">
      <c r="B197" s="15"/>
      <c r="C197" s="15"/>
      <c r="D197" s="15"/>
      <c r="E197" s="15"/>
      <c r="F197" s="15"/>
      <c r="G197" s="15"/>
      <c r="H197" s="80"/>
      <c r="I197" s="15"/>
      <c r="J197" s="15"/>
      <c r="K197" s="15"/>
      <c r="L197" s="15"/>
      <c r="M197" s="15"/>
      <c r="N197" s="15"/>
    </row>
    <row r="198" spans="2:16">
      <c r="B198" s="15"/>
      <c r="C198" s="15"/>
      <c r="D198" s="15"/>
      <c r="E198" s="15"/>
      <c r="F198" s="15"/>
      <c r="G198" s="15"/>
      <c r="H198" s="80"/>
      <c r="I198" s="15"/>
      <c r="J198" s="15"/>
      <c r="K198" s="15"/>
      <c r="L198" s="15"/>
      <c r="M198" s="15"/>
      <c r="N198" s="15"/>
    </row>
    <row r="199" spans="2:16">
      <c r="B199" s="15"/>
      <c r="C199" s="15"/>
      <c r="D199" s="15"/>
      <c r="E199" s="15"/>
      <c r="F199" s="15"/>
      <c r="G199" s="15"/>
      <c r="H199" s="80"/>
      <c r="I199" s="15"/>
      <c r="J199" s="15"/>
      <c r="K199" s="15"/>
      <c r="L199" s="15"/>
      <c r="M199" s="15"/>
      <c r="N199" s="15"/>
    </row>
    <row r="200" spans="2:16">
      <c r="B200" s="15"/>
      <c r="C200" s="15"/>
      <c r="D200" s="15"/>
      <c r="E200" s="15"/>
      <c r="F200" s="15"/>
      <c r="G200" s="15"/>
      <c r="H200" s="80"/>
      <c r="I200" s="15"/>
      <c r="J200" s="15"/>
      <c r="K200" s="15"/>
      <c r="L200" s="15"/>
      <c r="M200" s="15"/>
      <c r="N200" s="15"/>
    </row>
    <row r="201" spans="2:16">
      <c r="B201" s="15"/>
      <c r="C201" s="15"/>
      <c r="D201" s="15"/>
      <c r="E201" s="15"/>
      <c r="F201" s="15"/>
      <c r="G201" s="15"/>
      <c r="H201" s="80"/>
      <c r="I201" s="15"/>
      <c r="J201" s="15"/>
      <c r="K201" s="15"/>
      <c r="L201" s="15"/>
      <c r="M201" s="15"/>
      <c r="N201" s="15"/>
    </row>
    <row r="202" spans="2:16">
      <c r="B202" s="15"/>
      <c r="C202" s="15"/>
      <c r="D202" s="15"/>
      <c r="E202" s="15"/>
      <c r="F202" s="15"/>
      <c r="G202" s="15"/>
      <c r="H202" s="80"/>
      <c r="I202" s="15"/>
      <c r="J202" s="15"/>
      <c r="K202" s="15"/>
      <c r="L202" s="15"/>
      <c r="M202" s="15"/>
      <c r="N202" s="15"/>
    </row>
    <row r="203" spans="2:16">
      <c r="B203" s="15"/>
      <c r="C203" s="15"/>
      <c r="F203" s="15"/>
      <c r="G203" s="15"/>
      <c r="H203" s="80"/>
      <c r="I203" s="15"/>
      <c r="J203" s="15"/>
      <c r="K203" s="15"/>
      <c r="L203" s="15"/>
      <c r="M203" s="15"/>
      <c r="N203" s="15"/>
    </row>
    <row r="204" spans="2:16">
      <c r="B204" s="15"/>
      <c r="C204" s="15"/>
      <c r="F204" s="15"/>
      <c r="G204" s="15"/>
      <c r="H204" s="80"/>
      <c r="I204" s="15"/>
      <c r="J204" s="15"/>
      <c r="K204" s="15"/>
      <c r="L204" s="15"/>
      <c r="M204" s="15"/>
      <c r="N204" s="15"/>
    </row>
  </sheetData>
  <mergeCells count="13">
    <mergeCell ref="H14:M14"/>
    <mergeCell ref="H15:J15"/>
    <mergeCell ref="H16:J16"/>
    <mergeCell ref="B4:F4"/>
    <mergeCell ref="D14:E14"/>
    <mergeCell ref="D12:E12"/>
    <mergeCell ref="D6:E6"/>
    <mergeCell ref="B12:C12"/>
    <mergeCell ref="B6:C6"/>
    <mergeCell ref="B8:C8"/>
    <mergeCell ref="D8:E8"/>
    <mergeCell ref="B10:C10"/>
    <mergeCell ref="D10:E10"/>
  </mergeCells>
  <phoneticPr fontId="7" type="noConversion"/>
  <hyperlinks>
    <hyperlink ref="F2" location="Index!A1" display="Goto Index" xr:uid="{00000000-0004-0000-0200-000000000000}"/>
  </hyperlinks>
  <pageMargins left="0.5" right="0.51" top="0.63" bottom="0.69" header="0.5" footer="0.5"/>
  <pageSetup scale="82" orientation="portrait"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7387-D8D4-4F9F-9F15-09A2C1069190}">
  <dimension ref="A1:F26"/>
  <sheetViews>
    <sheetView zoomScale="85" zoomScaleNormal="85" workbookViewId="0">
      <selection activeCell="A7" sqref="A7"/>
    </sheetView>
  </sheetViews>
  <sheetFormatPr defaultColWidth="8.6640625" defaultRowHeight="14.4"/>
  <cols>
    <col min="1" max="1" width="28.33203125" style="128" customWidth="1"/>
    <col min="2" max="2" width="42.88671875" style="128" customWidth="1"/>
    <col min="3" max="3" width="34.5546875" style="128" customWidth="1"/>
    <col min="4" max="4" width="13.88671875" style="128" customWidth="1"/>
    <col min="5" max="5" width="10.109375" style="128" bestFit="1" customWidth="1"/>
    <col min="6" max="6" width="23.5546875" style="128" customWidth="1"/>
    <col min="7" max="16384" width="8.6640625" style="128"/>
  </cols>
  <sheetData>
    <row r="1" spans="1:6" ht="27.6" customHeight="1" thickBot="1">
      <c r="A1" s="162" t="s">
        <v>96</v>
      </c>
    </row>
    <row r="2" spans="1:6" ht="15" thickBot="1">
      <c r="A2" s="162" t="s">
        <v>97</v>
      </c>
      <c r="B2" s="162" t="s">
        <v>98</v>
      </c>
      <c r="C2" s="162" t="s">
        <v>99</v>
      </c>
      <c r="D2" s="162" t="s">
        <v>100</v>
      </c>
      <c r="E2" s="162" t="s">
        <v>101</v>
      </c>
      <c r="F2" s="162" t="s">
        <v>102</v>
      </c>
    </row>
    <row r="3" spans="1:6" ht="15.6">
      <c r="A3" s="180"/>
      <c r="B3" s="181"/>
      <c r="C3" s="182"/>
      <c r="D3" s="182"/>
      <c r="E3" s="182"/>
      <c r="F3" s="182"/>
    </row>
    <row r="4" spans="1:6">
      <c r="B4" s="181"/>
      <c r="C4" s="182"/>
      <c r="D4" s="182"/>
      <c r="E4" s="182"/>
      <c r="F4" s="182"/>
    </row>
    <row r="5" spans="1:6" ht="15.6">
      <c r="A5" s="180"/>
      <c r="B5" s="181"/>
      <c r="C5" s="182"/>
      <c r="D5" s="182"/>
      <c r="E5" s="182"/>
      <c r="F5" s="182"/>
    </row>
    <row r="6" spans="1:6">
      <c r="A6" s="182"/>
      <c r="B6" s="183"/>
      <c r="C6" s="182"/>
      <c r="D6" s="182"/>
      <c r="E6" s="182"/>
      <c r="F6" s="182"/>
    </row>
    <row r="7" spans="1:6" ht="15.6">
      <c r="A7" s="180"/>
      <c r="B7" s="183"/>
      <c r="C7" s="182"/>
      <c r="D7" s="182"/>
      <c r="E7" s="182"/>
      <c r="F7" s="182"/>
    </row>
    <row r="8" spans="1:6" ht="15.6" hidden="1">
      <c r="A8" s="180"/>
      <c r="B8" s="181"/>
      <c r="C8" s="182"/>
      <c r="D8" s="182"/>
      <c r="E8" s="182"/>
      <c r="F8" s="182"/>
    </row>
    <row r="9" spans="1:6" ht="15.6" hidden="1">
      <c r="A9" s="180"/>
      <c r="B9" s="181"/>
      <c r="C9" s="182"/>
      <c r="D9" s="182"/>
      <c r="E9" s="182"/>
      <c r="F9" s="182"/>
    </row>
    <row r="10" spans="1:6" ht="15.6">
      <c r="A10" s="180"/>
      <c r="B10" s="181"/>
      <c r="C10" s="182"/>
      <c r="D10" s="182"/>
      <c r="E10" s="182"/>
      <c r="F10" s="182"/>
    </row>
    <row r="11" spans="1:6" ht="15.6">
      <c r="A11" s="180"/>
      <c r="B11" s="184"/>
      <c r="C11" s="182"/>
      <c r="D11" s="182"/>
      <c r="E11" s="182"/>
      <c r="F11" s="182"/>
    </row>
    <row r="13" spans="1:6" ht="15" thickBot="1"/>
    <row r="14" spans="1:6" ht="24.6" customHeight="1" thickBot="1">
      <c r="A14" s="162" t="s">
        <v>103</v>
      </c>
    </row>
    <row r="15" spans="1:6" ht="15" thickBot="1">
      <c r="A15" s="162" t="s">
        <v>104</v>
      </c>
      <c r="B15" s="162" t="s">
        <v>105</v>
      </c>
      <c r="C15" s="162" t="s">
        <v>106</v>
      </c>
      <c r="D15" s="162" t="s">
        <v>107</v>
      </c>
      <c r="E15" s="162" t="s">
        <v>21</v>
      </c>
      <c r="F15" s="162" t="s">
        <v>22</v>
      </c>
    </row>
    <row r="16" spans="1:6">
      <c r="A16" s="247"/>
      <c r="B16" s="248"/>
      <c r="C16" s="249"/>
      <c r="D16" s="247"/>
      <c r="E16" s="248"/>
      <c r="F16" s="249"/>
    </row>
    <row r="17" spans="1:6">
      <c r="A17" s="247"/>
      <c r="B17" s="248"/>
      <c r="C17" s="249"/>
      <c r="D17" s="247"/>
      <c r="E17" s="248"/>
      <c r="F17" s="249"/>
    </row>
    <row r="18" spans="1:6">
      <c r="A18" s="247"/>
      <c r="B18" s="248"/>
      <c r="C18" s="249"/>
      <c r="D18" s="247"/>
      <c r="E18" s="248"/>
      <c r="F18" s="249"/>
    </row>
    <row r="19" spans="1:6">
      <c r="A19" s="247"/>
      <c r="B19" s="248"/>
      <c r="C19" s="249"/>
      <c r="D19" s="247"/>
      <c r="E19" s="248"/>
      <c r="F19" s="249"/>
    </row>
    <row r="20" spans="1:6">
      <c r="A20" s="247"/>
      <c r="B20" s="248"/>
      <c r="C20" s="249"/>
      <c r="D20" s="247"/>
      <c r="E20" s="248"/>
      <c r="F20" s="249"/>
    </row>
    <row r="21" spans="1:6">
      <c r="A21" s="247"/>
      <c r="B21" s="248"/>
      <c r="C21" s="249"/>
      <c r="D21" s="247"/>
      <c r="E21" s="248"/>
      <c r="F21" s="249"/>
    </row>
    <row r="22" spans="1:6">
      <c r="A22" s="247"/>
      <c r="B22" s="248"/>
      <c r="C22" s="249"/>
      <c r="D22" s="247"/>
      <c r="E22" s="248"/>
      <c r="F22" s="249"/>
    </row>
    <row r="23" spans="1:6">
      <c r="A23" s="247"/>
      <c r="B23" s="248"/>
      <c r="C23" s="249"/>
      <c r="D23" s="247"/>
      <c r="E23" s="248"/>
      <c r="F23" s="249"/>
    </row>
    <row r="24" spans="1:6">
      <c r="B24" s="185"/>
    </row>
    <row r="25" spans="1:6">
      <c r="B25" s="185"/>
    </row>
    <row r="26" spans="1:6">
      <c r="B26" s="186"/>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324F6-C15E-41CB-AA2C-3513ECDA37B7}">
  <sheetPr>
    <outlinePr summaryBelow="0" summaryRight="0"/>
    <pageSetUpPr fitToPage="1"/>
  </sheetPr>
  <dimension ref="A2:J285"/>
  <sheetViews>
    <sheetView showGridLines="0" topLeftCell="B1" zoomScale="70" zoomScaleNormal="70" workbookViewId="0">
      <selection activeCell="B35" sqref="B35"/>
    </sheetView>
  </sheetViews>
  <sheetFormatPr defaultRowHeight="13.2" outlineLevelRow="1"/>
  <cols>
    <col min="1" max="1" width="2.88671875" customWidth="1"/>
    <col min="2" max="2" width="46.109375" customWidth="1"/>
    <col min="3" max="3" width="77.88671875" bestFit="1" customWidth="1"/>
    <col min="4" max="4" width="12.109375" style="4" customWidth="1"/>
    <col min="5" max="5" width="12.109375" customWidth="1"/>
    <col min="6" max="6" width="11.88671875" customWidth="1"/>
    <col min="7" max="7" width="14" customWidth="1"/>
    <col min="8" max="8" width="26" style="4" bestFit="1" customWidth="1"/>
    <col min="9" max="9" width="22.6640625" style="4" bestFit="1" customWidth="1"/>
    <col min="10" max="10" width="42.6640625" customWidth="1"/>
  </cols>
  <sheetData>
    <row r="2" spans="2:10" ht="22.8">
      <c r="B2" s="118" t="s">
        <v>108</v>
      </c>
      <c r="C2" s="2"/>
      <c r="D2" s="99"/>
      <c r="E2" s="2"/>
      <c r="F2" s="2"/>
      <c r="G2" s="390" t="s">
        <v>76</v>
      </c>
      <c r="H2" s="390"/>
      <c r="I2" s="390"/>
      <c r="J2" s="390"/>
    </row>
    <row r="3" spans="2:10" hidden="1">
      <c r="F3" s="88"/>
      <c r="G3" s="88"/>
      <c r="H3" s="89"/>
    </row>
    <row r="4" spans="2:10">
      <c r="B4" s="391"/>
      <c r="C4" s="391"/>
      <c r="D4" s="391"/>
      <c r="E4" s="391"/>
      <c r="F4" s="391"/>
      <c r="G4" s="391"/>
      <c r="H4" s="391"/>
      <c r="I4" s="391"/>
      <c r="J4" s="391"/>
    </row>
    <row r="5" spans="2:10" hidden="1"/>
    <row r="6" spans="2:10" s="9" customFormat="1">
      <c r="B6" s="392" t="s">
        <v>109</v>
      </c>
      <c r="C6" s="393"/>
      <c r="D6" s="393"/>
      <c r="E6" s="393"/>
      <c r="F6" s="393"/>
      <c r="G6" s="393"/>
      <c r="H6" s="393"/>
      <c r="I6" s="393"/>
      <c r="J6" s="393"/>
    </row>
    <row r="7" spans="2:10" s="9" customFormat="1" ht="13.8" thickBot="1">
      <c r="B7" s="392"/>
      <c r="C7" s="393"/>
      <c r="D7" s="393"/>
      <c r="E7" s="393"/>
      <c r="F7" s="393"/>
      <c r="G7" s="393"/>
      <c r="H7" s="393"/>
      <c r="I7" s="393"/>
      <c r="J7" s="393"/>
    </row>
    <row r="8" spans="2:10" s="5" customFormat="1" ht="36">
      <c r="B8" s="104" t="s">
        <v>110</v>
      </c>
      <c r="C8" s="105" t="s">
        <v>111</v>
      </c>
      <c r="D8" s="105" t="s">
        <v>112</v>
      </c>
      <c r="E8" s="105" t="s">
        <v>113</v>
      </c>
      <c r="F8" s="106" t="s">
        <v>114</v>
      </c>
      <c r="G8" s="106" t="s">
        <v>115</v>
      </c>
      <c r="H8" s="106" t="s">
        <v>116</v>
      </c>
      <c r="I8" s="106" t="s">
        <v>117</v>
      </c>
      <c r="J8" s="107" t="s">
        <v>118</v>
      </c>
    </row>
    <row r="9" spans="2:10">
      <c r="B9" s="187" t="s">
        <v>119</v>
      </c>
      <c r="C9" s="213"/>
      <c r="D9" s="188"/>
      <c r="E9" s="189"/>
      <c r="F9" s="189"/>
      <c r="G9" s="189"/>
      <c r="H9" s="189"/>
      <c r="I9" s="189"/>
      <c r="J9" s="189"/>
    </row>
    <row r="10" spans="2:10" ht="17.399999999999999">
      <c r="B10" s="156" t="s">
        <v>120</v>
      </c>
      <c r="C10" s="214"/>
      <c r="D10" s="250"/>
      <c r="E10" s="251"/>
      <c r="F10" s="252"/>
      <c r="G10" s="252"/>
      <c r="H10" s="252"/>
      <c r="I10" s="252"/>
      <c r="J10" s="108"/>
    </row>
    <row r="11" spans="2:10" ht="34.799999999999997">
      <c r="B11" s="156" t="s">
        <v>121</v>
      </c>
      <c r="C11" s="214" t="s">
        <v>122</v>
      </c>
      <c r="D11" s="250"/>
      <c r="E11" s="250"/>
      <c r="F11" s="252"/>
      <c r="G11" s="252"/>
      <c r="H11" s="190"/>
      <c r="I11" s="252"/>
      <c r="J11" s="108"/>
    </row>
    <row r="12" spans="2:10" ht="34.799999999999997">
      <c r="B12" s="156"/>
      <c r="C12" s="214" t="s">
        <v>123</v>
      </c>
      <c r="D12" s="250"/>
      <c r="E12" s="250"/>
      <c r="F12" s="252"/>
      <c r="G12" s="252"/>
      <c r="H12" s="190"/>
      <c r="I12" s="252"/>
      <c r="J12" s="108"/>
    </row>
    <row r="13" spans="2:10" ht="17.399999999999999">
      <c r="B13" s="156"/>
      <c r="C13" s="214" t="s">
        <v>124</v>
      </c>
      <c r="D13" s="250"/>
      <c r="E13" s="250"/>
      <c r="F13" s="252"/>
      <c r="G13" s="252"/>
      <c r="H13" s="190"/>
      <c r="I13" s="252"/>
      <c r="J13" s="108"/>
    </row>
    <row r="14" spans="2:10" ht="17.399999999999999">
      <c r="B14" s="156"/>
      <c r="C14" s="214" t="s">
        <v>125</v>
      </c>
      <c r="D14" s="250"/>
      <c r="E14" s="250"/>
      <c r="F14" s="252"/>
      <c r="G14" s="252"/>
      <c r="H14" s="190"/>
      <c r="I14" s="252"/>
      <c r="J14" s="108"/>
    </row>
    <row r="15" spans="2:10" ht="17.399999999999999">
      <c r="B15" s="156"/>
      <c r="C15" s="214" t="s">
        <v>126</v>
      </c>
      <c r="D15" s="250"/>
      <c r="E15" s="250"/>
      <c r="F15" s="252"/>
      <c r="G15" s="252"/>
      <c r="H15" s="190"/>
      <c r="I15" s="252"/>
      <c r="J15" s="108"/>
    </row>
    <row r="16" spans="2:10" ht="17.399999999999999">
      <c r="B16" s="156"/>
      <c r="C16" s="214" t="s">
        <v>99</v>
      </c>
      <c r="D16" s="250"/>
      <c r="E16" s="250"/>
      <c r="F16" s="252"/>
      <c r="G16" s="252"/>
      <c r="H16" s="190"/>
      <c r="I16" s="252"/>
      <c r="J16" s="108"/>
    </row>
    <row r="17" spans="2:10" ht="17.399999999999999">
      <c r="B17" s="156"/>
      <c r="C17" s="214" t="s">
        <v>127</v>
      </c>
      <c r="D17" s="250"/>
      <c r="E17" s="250"/>
      <c r="F17" s="252"/>
      <c r="G17" s="252"/>
      <c r="H17" s="190"/>
      <c r="I17" s="252"/>
      <c r="J17" s="108"/>
    </row>
    <row r="18" spans="2:10" ht="17.399999999999999">
      <c r="B18" s="156"/>
      <c r="C18" s="214" t="s">
        <v>128</v>
      </c>
      <c r="D18" s="250"/>
      <c r="E18" s="250"/>
      <c r="F18" s="252"/>
      <c r="G18" s="252"/>
      <c r="H18" s="190"/>
      <c r="I18" s="252"/>
      <c r="J18" s="108"/>
    </row>
    <row r="19" spans="2:10" ht="17.399999999999999">
      <c r="B19" s="156"/>
      <c r="C19" s="214" t="s">
        <v>129</v>
      </c>
      <c r="D19" s="250"/>
      <c r="E19" s="250"/>
      <c r="F19" s="252"/>
      <c r="G19" s="252"/>
      <c r="H19" s="190"/>
      <c r="I19" s="252"/>
      <c r="J19" s="108"/>
    </row>
    <row r="20" spans="2:10" ht="17.399999999999999">
      <c r="B20" s="156"/>
      <c r="C20" s="214" t="s">
        <v>130</v>
      </c>
      <c r="D20" s="250"/>
      <c r="E20" s="250"/>
      <c r="F20" s="252"/>
      <c r="G20" s="252"/>
      <c r="H20" s="190"/>
      <c r="I20" s="252"/>
      <c r="J20" s="108"/>
    </row>
    <row r="21" spans="2:10" ht="17.399999999999999">
      <c r="B21" s="156"/>
      <c r="C21" s="214" t="s">
        <v>131</v>
      </c>
      <c r="D21" s="250"/>
      <c r="E21" s="250"/>
      <c r="F21" s="252"/>
      <c r="G21" s="252"/>
      <c r="H21" s="190"/>
      <c r="I21" s="252"/>
      <c r="J21" s="108"/>
    </row>
    <row r="22" spans="2:10" ht="17.399999999999999">
      <c r="B22" s="156"/>
      <c r="C22" s="214" t="s">
        <v>132</v>
      </c>
      <c r="D22" s="250"/>
      <c r="E22" s="250"/>
      <c r="F22" s="252"/>
      <c r="G22" s="252"/>
      <c r="H22" s="190"/>
      <c r="I22" s="252"/>
      <c r="J22" s="108"/>
    </row>
    <row r="23" spans="2:10" ht="17.399999999999999">
      <c r="B23" s="156" t="s">
        <v>133</v>
      </c>
      <c r="C23" s="214" t="s">
        <v>134</v>
      </c>
      <c r="D23" s="250"/>
      <c r="E23" s="250"/>
      <c r="F23" s="252"/>
      <c r="G23" s="252"/>
      <c r="H23" s="190"/>
      <c r="I23" s="252"/>
      <c r="J23" s="109"/>
    </row>
    <row r="24" spans="2:10" ht="17.399999999999999">
      <c r="B24" s="156"/>
      <c r="C24" s="214" t="s">
        <v>135</v>
      </c>
      <c r="D24" s="250"/>
      <c r="E24" s="250"/>
      <c r="F24" s="252"/>
      <c r="G24" s="252"/>
      <c r="H24" s="190"/>
      <c r="I24" s="252"/>
      <c r="J24" s="109"/>
    </row>
    <row r="25" spans="2:10" ht="17.399999999999999">
      <c r="B25" s="156"/>
      <c r="C25" s="214" t="s">
        <v>136</v>
      </c>
      <c r="D25" s="250"/>
      <c r="E25" s="250"/>
      <c r="F25" s="252"/>
      <c r="G25" s="252"/>
      <c r="H25" s="190"/>
      <c r="I25" s="252"/>
      <c r="J25" s="109"/>
    </row>
    <row r="26" spans="2:10" ht="17.399999999999999">
      <c r="B26" s="156"/>
      <c r="C26" s="214" t="s">
        <v>137</v>
      </c>
      <c r="D26" s="250"/>
      <c r="E26" s="250"/>
      <c r="F26" s="252"/>
      <c r="G26" s="252"/>
      <c r="H26" s="190"/>
      <c r="I26" s="252"/>
      <c r="J26" s="109"/>
    </row>
    <row r="27" spans="2:10" ht="17.399999999999999">
      <c r="B27" s="156"/>
      <c r="C27" s="214" t="s">
        <v>138</v>
      </c>
      <c r="D27" s="250"/>
      <c r="E27" s="250"/>
      <c r="F27" s="252"/>
      <c r="G27" s="252"/>
      <c r="H27" s="190"/>
      <c r="I27" s="252"/>
      <c r="J27" s="109"/>
    </row>
    <row r="28" spans="2:10" ht="17.399999999999999">
      <c r="B28" s="156"/>
      <c r="C28" s="214" t="s">
        <v>139</v>
      </c>
      <c r="D28" s="250"/>
      <c r="E28" s="250"/>
      <c r="F28" s="252"/>
      <c r="G28" s="252"/>
      <c r="H28" s="190"/>
      <c r="I28" s="252"/>
      <c r="J28" s="109"/>
    </row>
    <row r="29" spans="2:10" ht="17.399999999999999">
      <c r="B29" s="156"/>
      <c r="C29" s="214" t="s">
        <v>140</v>
      </c>
      <c r="D29" s="250"/>
      <c r="E29" s="250"/>
      <c r="F29" s="252"/>
      <c r="G29" s="252"/>
      <c r="H29" s="190"/>
      <c r="I29" s="252"/>
      <c r="J29" s="109"/>
    </row>
    <row r="30" spans="2:10" ht="17.399999999999999">
      <c r="B30" s="156"/>
      <c r="C30" s="214" t="s">
        <v>141</v>
      </c>
      <c r="D30" s="250"/>
      <c r="E30" s="250"/>
      <c r="F30" s="252"/>
      <c r="G30" s="252"/>
      <c r="H30" s="190"/>
      <c r="I30" s="252"/>
      <c r="J30" s="109"/>
    </row>
    <row r="31" spans="2:10" ht="17.399999999999999">
      <c r="B31" s="156" t="s">
        <v>142</v>
      </c>
      <c r="C31" s="214" t="s">
        <v>143</v>
      </c>
      <c r="D31" s="250"/>
      <c r="E31" s="250"/>
      <c r="F31" s="252"/>
      <c r="G31" s="252"/>
      <c r="H31" s="190"/>
      <c r="I31" s="252"/>
      <c r="J31" s="109"/>
    </row>
    <row r="32" spans="2:10" ht="17.399999999999999">
      <c r="B32" s="156"/>
      <c r="C32" s="214" t="s">
        <v>144</v>
      </c>
      <c r="D32" s="250"/>
      <c r="E32" s="250"/>
      <c r="F32" s="252"/>
      <c r="G32" s="252"/>
      <c r="H32" s="190"/>
      <c r="I32" s="252"/>
      <c r="J32" s="109"/>
    </row>
    <row r="33" spans="2:10" ht="17.399999999999999">
      <c r="B33" s="156"/>
      <c r="C33" s="214" t="s">
        <v>145</v>
      </c>
      <c r="D33" s="250"/>
      <c r="E33" s="250"/>
      <c r="F33" s="252"/>
      <c r="G33" s="252"/>
      <c r="H33" s="190"/>
      <c r="I33" s="252"/>
      <c r="J33" s="109"/>
    </row>
    <row r="34" spans="2:10" ht="17.399999999999999">
      <c r="B34" s="156"/>
      <c r="C34" s="214" t="s">
        <v>146</v>
      </c>
      <c r="D34" s="250"/>
      <c r="E34" s="250"/>
      <c r="F34" s="252"/>
      <c r="G34" s="252"/>
      <c r="H34" s="190"/>
      <c r="I34" s="252"/>
      <c r="J34" s="109"/>
    </row>
    <row r="35" spans="2:10" ht="17.399999999999999">
      <c r="B35" s="156" t="s">
        <v>147</v>
      </c>
      <c r="C35" s="214" t="s">
        <v>148</v>
      </c>
      <c r="D35" s="250"/>
      <c r="E35" s="250"/>
      <c r="F35" s="252"/>
      <c r="G35" s="252"/>
      <c r="H35" s="190"/>
      <c r="I35" s="252"/>
      <c r="J35" s="109"/>
    </row>
    <row r="36" spans="2:10" ht="17.399999999999999">
      <c r="B36" s="156"/>
      <c r="C36" s="214" t="s">
        <v>149</v>
      </c>
      <c r="D36" s="250"/>
      <c r="E36" s="250"/>
      <c r="F36" s="252"/>
      <c r="G36" s="252"/>
      <c r="H36" s="190"/>
      <c r="I36" s="252"/>
      <c r="J36" s="109"/>
    </row>
    <row r="37" spans="2:10" ht="17.399999999999999">
      <c r="B37" s="156"/>
      <c r="C37" s="214" t="s">
        <v>150</v>
      </c>
      <c r="D37" s="250"/>
      <c r="E37" s="250"/>
      <c r="F37" s="252"/>
      <c r="G37" s="252"/>
      <c r="H37" s="190"/>
      <c r="I37" s="252"/>
      <c r="J37" s="109"/>
    </row>
    <row r="38" spans="2:10" ht="17.399999999999999">
      <c r="B38" s="156"/>
      <c r="C38" s="214" t="s">
        <v>151</v>
      </c>
      <c r="D38" s="250"/>
      <c r="E38" s="250"/>
      <c r="F38" s="252"/>
      <c r="G38" s="252"/>
      <c r="H38" s="190"/>
      <c r="I38" s="252"/>
      <c r="J38" s="109"/>
    </row>
    <row r="39" spans="2:10" ht="34.799999999999997">
      <c r="B39" s="156"/>
      <c r="C39" s="214" t="s">
        <v>152</v>
      </c>
      <c r="D39" s="250"/>
      <c r="E39" s="250"/>
      <c r="F39" s="252"/>
      <c r="G39" s="252"/>
      <c r="H39" s="190"/>
      <c r="I39" s="252"/>
      <c r="J39" s="109"/>
    </row>
    <row r="40" spans="2:10" ht="17.399999999999999">
      <c r="B40" s="156"/>
      <c r="C40" s="214" t="s">
        <v>153</v>
      </c>
      <c r="D40" s="250"/>
      <c r="E40" s="250"/>
      <c r="F40" s="252"/>
      <c r="G40" s="252"/>
      <c r="H40" s="190"/>
      <c r="I40" s="252"/>
      <c r="J40" s="109"/>
    </row>
    <row r="41" spans="2:10" ht="17.399999999999999">
      <c r="B41" s="156"/>
      <c r="C41" s="214" t="s">
        <v>154</v>
      </c>
      <c r="D41" s="250"/>
      <c r="E41" s="250"/>
      <c r="F41" s="252"/>
      <c r="G41" s="252"/>
      <c r="H41" s="190"/>
      <c r="I41" s="252"/>
      <c r="J41" s="109"/>
    </row>
    <row r="42" spans="2:10" ht="17.399999999999999">
      <c r="B42" s="156" t="s">
        <v>155</v>
      </c>
      <c r="C42" s="214" t="s">
        <v>156</v>
      </c>
      <c r="D42" s="250"/>
      <c r="E42" s="250"/>
      <c r="F42" s="252"/>
      <c r="G42" s="252"/>
      <c r="H42" s="190"/>
      <c r="I42" s="252"/>
      <c r="J42" s="109"/>
    </row>
    <row r="43" spans="2:10" ht="17.399999999999999">
      <c r="B43" s="156"/>
      <c r="C43" s="214" t="s">
        <v>157</v>
      </c>
      <c r="D43" s="250"/>
      <c r="E43" s="250"/>
      <c r="F43" s="252"/>
      <c r="G43" s="252"/>
      <c r="H43" s="190"/>
      <c r="I43" s="252"/>
      <c r="J43" s="109"/>
    </row>
    <row r="44" spans="2:10" ht="17.399999999999999">
      <c r="B44" s="156"/>
      <c r="C44" s="214" t="s">
        <v>158</v>
      </c>
      <c r="D44" s="250"/>
      <c r="E44" s="250"/>
      <c r="F44" s="252"/>
      <c r="G44" s="252"/>
      <c r="H44" s="190"/>
      <c r="I44" s="252"/>
      <c r="J44" s="109"/>
    </row>
    <row r="45" spans="2:10" ht="17.399999999999999">
      <c r="B45" s="156"/>
      <c r="C45" s="214" t="s">
        <v>159</v>
      </c>
      <c r="D45" s="250"/>
      <c r="E45" s="250"/>
      <c r="F45" s="252"/>
      <c r="G45" s="252"/>
      <c r="H45" s="190"/>
      <c r="I45" s="252"/>
      <c r="J45" s="109"/>
    </row>
    <row r="46" spans="2:10" ht="17.399999999999999">
      <c r="B46" s="156"/>
      <c r="C46" s="214" t="s">
        <v>160</v>
      </c>
      <c r="D46" s="250"/>
      <c r="E46" s="250"/>
      <c r="F46" s="252"/>
      <c r="G46" s="252"/>
      <c r="H46" s="190"/>
      <c r="I46" s="252"/>
      <c r="J46" s="109"/>
    </row>
    <row r="47" spans="2:10" ht="17.399999999999999">
      <c r="B47" s="156"/>
      <c r="C47" s="214" t="s">
        <v>161</v>
      </c>
      <c r="D47" s="250"/>
      <c r="E47" s="250"/>
      <c r="F47" s="252"/>
      <c r="G47" s="252"/>
      <c r="H47" s="190"/>
      <c r="I47" s="252"/>
      <c r="J47" s="109"/>
    </row>
    <row r="48" spans="2:10" ht="17.399999999999999">
      <c r="B48" s="156"/>
      <c r="C48" s="214" t="s">
        <v>162</v>
      </c>
      <c r="D48" s="250"/>
      <c r="E48" s="250"/>
      <c r="F48" s="252"/>
      <c r="G48" s="252"/>
      <c r="H48" s="190"/>
      <c r="I48" s="252"/>
      <c r="J48" s="109"/>
    </row>
    <row r="49" spans="2:10" ht="17.399999999999999">
      <c r="B49" s="156"/>
      <c r="C49" s="214"/>
      <c r="D49" s="253"/>
      <c r="E49" s="253"/>
      <c r="F49" s="254"/>
      <c r="G49" s="254"/>
      <c r="H49" s="191"/>
      <c r="I49" s="254"/>
      <c r="J49" s="91"/>
    </row>
    <row r="50" spans="2:10" s="97" customFormat="1" ht="17.399999999999999">
      <c r="B50" s="156" t="s">
        <v>163</v>
      </c>
      <c r="C50" s="214" t="s">
        <v>164</v>
      </c>
      <c r="D50" s="253"/>
      <c r="E50" s="250"/>
      <c r="F50" s="255"/>
      <c r="G50" s="255"/>
      <c r="H50" s="192"/>
      <c r="I50" s="255"/>
      <c r="J50" s="98"/>
    </row>
    <row r="51" spans="2:10" ht="34.799999999999997">
      <c r="B51" s="156"/>
      <c r="C51" s="214" t="s">
        <v>165</v>
      </c>
      <c r="D51" s="256"/>
      <c r="E51" s="250"/>
      <c r="F51" s="254"/>
      <c r="G51" s="254"/>
      <c r="H51" s="191"/>
      <c r="I51" s="254"/>
      <c r="J51" s="91"/>
    </row>
    <row r="52" spans="2:10" ht="34.799999999999997">
      <c r="B52" s="156"/>
      <c r="C52" s="214" t="s">
        <v>166</v>
      </c>
      <c r="D52" s="256"/>
      <c r="E52" s="250"/>
      <c r="F52" s="254"/>
      <c r="G52" s="254"/>
      <c r="H52" s="191"/>
      <c r="I52" s="254"/>
      <c r="J52" s="91"/>
    </row>
    <row r="53" spans="2:10" ht="17.399999999999999">
      <c r="B53" s="156" t="s">
        <v>167</v>
      </c>
      <c r="C53" s="214" t="s">
        <v>168</v>
      </c>
      <c r="D53" s="256"/>
      <c r="E53" s="250"/>
      <c r="F53" s="254"/>
      <c r="G53" s="254"/>
      <c r="H53" s="191"/>
      <c r="I53" s="254"/>
      <c r="J53" s="91"/>
    </row>
    <row r="54" spans="2:10" ht="34.799999999999997">
      <c r="B54" s="156"/>
      <c r="C54" s="214" t="s">
        <v>169</v>
      </c>
      <c r="D54" s="256"/>
      <c r="E54" s="250"/>
      <c r="F54" s="254"/>
      <c r="G54" s="254"/>
      <c r="H54" s="191"/>
      <c r="I54" s="254"/>
      <c r="J54" s="91"/>
    </row>
    <row r="55" spans="2:10" ht="12" customHeight="1">
      <c r="B55" s="156"/>
      <c r="C55" s="214" t="s">
        <v>170</v>
      </c>
      <c r="D55" s="256"/>
      <c r="E55" s="250"/>
      <c r="F55" s="254"/>
      <c r="G55" s="254"/>
      <c r="H55" s="191"/>
      <c r="I55" s="254"/>
      <c r="J55" s="91"/>
    </row>
    <row r="56" spans="2:10" ht="12" customHeight="1">
      <c r="B56" s="156" t="s">
        <v>171</v>
      </c>
      <c r="C56" s="214" t="s">
        <v>172</v>
      </c>
      <c r="D56" s="256"/>
      <c r="E56" s="250"/>
      <c r="F56" s="254"/>
      <c r="G56" s="254"/>
      <c r="H56" s="191"/>
      <c r="I56" s="254"/>
      <c r="J56" s="91"/>
    </row>
    <row r="57" spans="2:10" ht="12" customHeight="1">
      <c r="B57" s="156"/>
      <c r="C57" s="214" t="s">
        <v>173</v>
      </c>
      <c r="D57" s="256"/>
      <c r="E57" s="250"/>
      <c r="F57" s="254"/>
      <c r="G57" s="254"/>
      <c r="H57" s="191"/>
      <c r="I57" s="254"/>
      <c r="J57" s="91"/>
    </row>
    <row r="58" spans="2:10" ht="17.399999999999999">
      <c r="B58" s="156" t="s">
        <v>174</v>
      </c>
      <c r="C58" s="214" t="s">
        <v>175</v>
      </c>
      <c r="D58" s="256"/>
      <c r="E58" s="250"/>
      <c r="F58" s="254"/>
      <c r="G58" s="254"/>
      <c r="H58" s="191"/>
      <c r="I58" s="254"/>
      <c r="J58" s="91"/>
    </row>
    <row r="59" spans="2:10" ht="17.399999999999999">
      <c r="B59" s="156"/>
      <c r="C59" s="214" t="s">
        <v>176</v>
      </c>
      <c r="D59" s="256"/>
      <c r="E59" s="250"/>
      <c r="F59" s="254"/>
      <c r="G59" s="254"/>
      <c r="H59" s="191"/>
      <c r="I59" s="254"/>
      <c r="J59" s="91"/>
    </row>
    <row r="60" spans="2:10" ht="17.399999999999999">
      <c r="B60" s="156"/>
      <c r="C60" s="214" t="s">
        <v>177</v>
      </c>
      <c r="D60" s="256"/>
      <c r="E60" s="250"/>
      <c r="F60" s="254"/>
      <c r="G60" s="254"/>
      <c r="H60" s="191"/>
      <c r="I60" s="254"/>
      <c r="J60" s="91"/>
    </row>
    <row r="61" spans="2:10" ht="17.399999999999999">
      <c r="B61" s="156"/>
      <c r="C61" s="214" t="s">
        <v>178</v>
      </c>
      <c r="D61" s="256"/>
      <c r="E61" s="250"/>
      <c r="F61" s="254"/>
      <c r="G61" s="254"/>
      <c r="H61" s="191"/>
      <c r="I61" s="254"/>
      <c r="J61" s="91"/>
    </row>
    <row r="62" spans="2:10" ht="34.799999999999997">
      <c r="B62" s="156"/>
      <c r="C62" s="214" t="s">
        <v>179</v>
      </c>
      <c r="D62" s="256"/>
      <c r="E62" s="250"/>
      <c r="F62" s="254"/>
      <c r="G62" s="254"/>
      <c r="H62" s="191"/>
      <c r="I62" s="254"/>
      <c r="J62" s="91"/>
    </row>
    <row r="63" spans="2:10" ht="17.399999999999999">
      <c r="B63" s="156"/>
      <c r="C63" s="214" t="s">
        <v>180</v>
      </c>
      <c r="D63" s="256"/>
      <c r="E63" s="250"/>
      <c r="F63" s="254"/>
      <c r="G63" s="254"/>
      <c r="H63" s="191"/>
      <c r="I63" s="254"/>
      <c r="J63" s="91"/>
    </row>
    <row r="64" spans="2:10" ht="17.399999999999999">
      <c r="B64" s="156"/>
      <c r="C64" s="214" t="s">
        <v>181</v>
      </c>
      <c r="D64" s="256"/>
      <c r="E64" s="250"/>
      <c r="F64" s="254"/>
      <c r="G64" s="254"/>
      <c r="H64" s="191"/>
      <c r="I64" s="254"/>
      <c r="J64" s="91"/>
    </row>
    <row r="65" spans="2:10" ht="17.399999999999999">
      <c r="B65" s="156" t="s">
        <v>182</v>
      </c>
      <c r="C65" s="214" t="s">
        <v>183</v>
      </c>
      <c r="D65" s="256"/>
      <c r="E65" s="250"/>
      <c r="F65" s="254"/>
      <c r="G65" s="254"/>
      <c r="H65" s="191"/>
      <c r="I65" s="254"/>
      <c r="J65" s="91"/>
    </row>
    <row r="66" spans="2:10" ht="17.399999999999999">
      <c r="B66" s="156"/>
      <c r="C66" s="214" t="s">
        <v>184</v>
      </c>
      <c r="D66" s="256"/>
      <c r="E66" s="250"/>
      <c r="F66" s="254"/>
      <c r="G66" s="254"/>
      <c r="H66" s="191"/>
      <c r="I66" s="254"/>
      <c r="J66" s="91"/>
    </row>
    <row r="67" spans="2:10" ht="17.399999999999999">
      <c r="B67" s="156"/>
      <c r="C67" s="214"/>
      <c r="D67" s="256"/>
      <c r="E67" s="250"/>
      <c r="F67" s="254"/>
      <c r="G67" s="254"/>
      <c r="H67" s="191"/>
      <c r="I67" s="254"/>
      <c r="J67" s="91"/>
    </row>
    <row r="68" spans="2:10" ht="17.399999999999999">
      <c r="B68" s="156"/>
      <c r="C68" s="214"/>
      <c r="D68" s="256"/>
      <c r="E68" s="250"/>
      <c r="F68" s="254"/>
      <c r="G68" s="254"/>
      <c r="H68" s="191"/>
      <c r="I68" s="254"/>
      <c r="J68" s="91"/>
    </row>
    <row r="69" spans="2:10">
      <c r="B69" s="187" t="s">
        <v>185</v>
      </c>
      <c r="C69" s="213"/>
      <c r="D69" s="193"/>
      <c r="E69" s="194"/>
      <c r="F69" s="194"/>
      <c r="G69" s="194"/>
      <c r="H69" s="194"/>
      <c r="I69" s="194"/>
      <c r="J69" s="194"/>
    </row>
    <row r="70" spans="2:10" ht="17.399999999999999" outlineLevel="1">
      <c r="B70" s="156" t="s">
        <v>186</v>
      </c>
      <c r="C70" s="214" t="s">
        <v>187</v>
      </c>
      <c r="D70" s="195"/>
      <c r="E70" s="196"/>
      <c r="F70" s="191"/>
      <c r="G70" s="191"/>
      <c r="H70" s="191"/>
      <c r="I70" s="197"/>
      <c r="J70" s="198"/>
    </row>
    <row r="71" spans="2:10" ht="17.399999999999999" outlineLevel="1">
      <c r="B71" s="156"/>
      <c r="C71" s="214" t="s">
        <v>188</v>
      </c>
      <c r="D71" s="195"/>
      <c r="E71" s="196"/>
      <c r="F71" s="191"/>
      <c r="G71" s="191"/>
      <c r="H71" s="191"/>
      <c r="I71" s="197"/>
      <c r="J71" s="198"/>
    </row>
    <row r="72" spans="2:10" ht="17.399999999999999" outlineLevel="1">
      <c r="B72" s="156"/>
      <c r="C72" s="214"/>
      <c r="D72" s="195"/>
      <c r="E72" s="196"/>
      <c r="F72" s="191"/>
      <c r="G72" s="191"/>
      <c r="H72" s="191"/>
      <c r="I72" s="197"/>
      <c r="J72" s="198"/>
    </row>
    <row r="73" spans="2:10" ht="17.399999999999999" outlineLevel="1">
      <c r="B73" s="156" t="s">
        <v>189</v>
      </c>
      <c r="C73" s="214" t="s">
        <v>190</v>
      </c>
      <c r="D73" s="195"/>
      <c r="E73" s="196"/>
      <c r="F73" s="191"/>
      <c r="G73" s="191"/>
      <c r="H73" s="191"/>
      <c r="I73" s="197"/>
      <c r="J73" s="198"/>
    </row>
    <row r="74" spans="2:10" ht="17.399999999999999" outlineLevel="1">
      <c r="B74" s="156"/>
      <c r="C74" s="214" t="s">
        <v>191</v>
      </c>
      <c r="D74" s="195"/>
      <c r="E74" s="196"/>
      <c r="F74" s="191"/>
      <c r="G74" s="191"/>
      <c r="H74" s="191"/>
      <c r="I74" s="197"/>
      <c r="J74" s="198"/>
    </row>
    <row r="75" spans="2:10" ht="17.399999999999999" outlineLevel="1">
      <c r="B75" s="156"/>
      <c r="C75" s="214" t="s">
        <v>192</v>
      </c>
      <c r="D75" s="195"/>
      <c r="E75" s="196"/>
      <c r="F75" s="191"/>
      <c r="G75" s="191"/>
      <c r="H75" s="191"/>
      <c r="I75" s="197"/>
      <c r="J75" s="198"/>
    </row>
    <row r="76" spans="2:10" ht="17.399999999999999" outlineLevel="1">
      <c r="B76" s="156" t="s">
        <v>193</v>
      </c>
      <c r="C76" s="214" t="s">
        <v>194</v>
      </c>
      <c r="D76" s="195"/>
      <c r="E76" s="196"/>
      <c r="F76" s="191"/>
      <c r="G76" s="191"/>
      <c r="H76" s="191"/>
      <c r="I76" s="197"/>
      <c r="J76" s="198"/>
    </row>
    <row r="77" spans="2:10" ht="17.399999999999999" outlineLevel="1">
      <c r="B77" s="156"/>
      <c r="C77" s="214" t="s">
        <v>195</v>
      </c>
      <c r="D77" s="195"/>
      <c r="E77" s="196"/>
      <c r="F77" s="191"/>
      <c r="G77" s="191"/>
      <c r="H77" s="191"/>
      <c r="I77" s="197"/>
      <c r="J77" s="198"/>
    </row>
    <row r="78" spans="2:10" ht="17.399999999999999" outlineLevel="1">
      <c r="B78" s="156"/>
      <c r="C78" s="214" t="s">
        <v>196</v>
      </c>
      <c r="D78" s="195"/>
      <c r="E78" s="196"/>
      <c r="F78" s="191"/>
      <c r="G78" s="191"/>
      <c r="H78" s="191"/>
      <c r="I78" s="197"/>
      <c r="J78" s="198"/>
    </row>
    <row r="79" spans="2:10" ht="17.399999999999999" outlineLevel="1">
      <c r="B79" s="156"/>
      <c r="C79" s="214" t="s">
        <v>197</v>
      </c>
      <c r="D79" s="195"/>
      <c r="E79" s="196"/>
      <c r="F79" s="191"/>
      <c r="G79" s="191"/>
      <c r="H79" s="191"/>
      <c r="I79" s="197"/>
      <c r="J79" s="198"/>
    </row>
    <row r="80" spans="2:10" ht="34.799999999999997" outlineLevel="1">
      <c r="B80" s="156"/>
      <c r="C80" s="214" t="s">
        <v>198</v>
      </c>
      <c r="D80" s="195"/>
      <c r="E80" s="196"/>
      <c r="F80" s="191"/>
      <c r="G80" s="191"/>
      <c r="H80" s="191"/>
      <c r="I80" s="197"/>
      <c r="J80" s="198"/>
    </row>
    <row r="81" spans="2:10" ht="17.399999999999999" outlineLevel="1">
      <c r="B81" s="156"/>
      <c r="C81" s="214" t="s">
        <v>199</v>
      </c>
      <c r="D81" s="195"/>
      <c r="E81" s="196"/>
      <c r="F81" s="191"/>
      <c r="G81" s="191"/>
      <c r="H81" s="191"/>
      <c r="I81" s="197"/>
      <c r="J81" s="198"/>
    </row>
    <row r="82" spans="2:10" ht="17.399999999999999" outlineLevel="1">
      <c r="B82" s="156"/>
      <c r="C82" s="214"/>
      <c r="D82" s="195"/>
      <c r="E82" s="196"/>
      <c r="F82" s="191"/>
      <c r="G82" s="191"/>
      <c r="H82" s="191"/>
      <c r="I82" s="197"/>
      <c r="J82" s="198"/>
    </row>
    <row r="83" spans="2:10" ht="17.399999999999999" outlineLevel="1">
      <c r="B83" s="156" t="s">
        <v>200</v>
      </c>
      <c r="C83" s="214" t="s">
        <v>201</v>
      </c>
      <c r="D83" s="195"/>
      <c r="E83" s="196"/>
      <c r="F83" s="191"/>
      <c r="G83" s="191"/>
      <c r="H83" s="191"/>
      <c r="I83" s="197"/>
      <c r="J83" s="198"/>
    </row>
    <row r="84" spans="2:10" ht="17.399999999999999" outlineLevel="1">
      <c r="B84" s="156"/>
      <c r="C84" s="214" t="s">
        <v>202</v>
      </c>
      <c r="D84" s="195"/>
      <c r="E84" s="196"/>
      <c r="F84" s="191"/>
      <c r="G84" s="191"/>
      <c r="H84" s="191"/>
      <c r="I84" s="197"/>
      <c r="J84" s="198"/>
    </row>
    <row r="85" spans="2:10" ht="17.399999999999999" outlineLevel="1">
      <c r="B85" s="156"/>
      <c r="C85" s="214" t="s">
        <v>203</v>
      </c>
      <c r="D85" s="195"/>
      <c r="E85" s="196"/>
      <c r="F85" s="191"/>
      <c r="G85" s="191"/>
      <c r="H85" s="191"/>
      <c r="I85" s="197"/>
      <c r="J85" s="198"/>
    </row>
    <row r="86" spans="2:10" ht="17.399999999999999" outlineLevel="1">
      <c r="B86" s="156"/>
      <c r="C86" s="214" t="s">
        <v>204</v>
      </c>
      <c r="D86" s="195"/>
      <c r="E86" s="196"/>
      <c r="F86" s="191"/>
      <c r="G86" s="191"/>
      <c r="H86" s="191"/>
      <c r="I86" s="197"/>
      <c r="J86" s="198"/>
    </row>
    <row r="87" spans="2:10" ht="17.399999999999999" outlineLevel="1">
      <c r="B87" s="156"/>
      <c r="C87" s="214" t="s">
        <v>205</v>
      </c>
      <c r="D87" s="195"/>
      <c r="E87" s="196"/>
      <c r="F87" s="191"/>
      <c r="G87" s="191"/>
      <c r="H87" s="191"/>
      <c r="I87" s="197"/>
      <c r="J87" s="198"/>
    </row>
    <row r="88" spans="2:10" ht="17.399999999999999" outlineLevel="1">
      <c r="B88" s="156"/>
      <c r="C88" s="214"/>
      <c r="D88" s="195"/>
      <c r="E88" s="196"/>
      <c r="F88" s="191"/>
      <c r="G88" s="191"/>
      <c r="H88" s="191"/>
      <c r="I88" s="197"/>
      <c r="J88" s="198"/>
    </row>
    <row r="89" spans="2:10" ht="17.399999999999999" outlineLevel="1">
      <c r="B89" s="156" t="s">
        <v>206</v>
      </c>
      <c r="C89" s="214" t="s">
        <v>207</v>
      </c>
      <c r="D89" s="195"/>
      <c r="E89" s="196"/>
      <c r="F89" s="191"/>
      <c r="G89" s="191"/>
      <c r="H89" s="191"/>
      <c r="I89" s="197"/>
      <c r="J89" s="198"/>
    </row>
    <row r="90" spans="2:10" ht="17.399999999999999" outlineLevel="1">
      <c r="B90" s="156"/>
      <c r="C90" s="214" t="s">
        <v>208</v>
      </c>
      <c r="D90" s="195"/>
      <c r="E90" s="196"/>
      <c r="F90" s="191"/>
      <c r="G90" s="191"/>
      <c r="H90" s="191"/>
      <c r="I90" s="197"/>
      <c r="J90" s="198"/>
    </row>
    <row r="91" spans="2:10" ht="17.399999999999999" outlineLevel="1">
      <c r="B91" s="156"/>
      <c r="C91" s="214"/>
      <c r="D91" s="195"/>
      <c r="E91" s="196"/>
      <c r="F91" s="191"/>
      <c r="G91" s="191"/>
      <c r="H91" s="191"/>
      <c r="I91" s="197"/>
      <c r="J91" s="198"/>
    </row>
    <row r="92" spans="2:10" ht="17.399999999999999" outlineLevel="1">
      <c r="B92" s="156"/>
      <c r="C92" s="214"/>
      <c r="D92" s="195"/>
      <c r="E92" s="196"/>
      <c r="F92" s="191"/>
      <c r="G92" s="191"/>
      <c r="H92" s="191"/>
      <c r="I92" s="197"/>
      <c r="J92" s="198"/>
    </row>
    <row r="93" spans="2:10" ht="17.399999999999999" outlineLevel="1">
      <c r="B93" s="156"/>
      <c r="C93" s="214"/>
      <c r="D93" s="195"/>
      <c r="E93" s="196"/>
      <c r="F93" s="191"/>
      <c r="G93" s="191"/>
      <c r="H93" s="191"/>
      <c r="I93" s="197"/>
      <c r="J93" s="198"/>
    </row>
    <row r="94" spans="2:10" ht="17.399999999999999" outlineLevel="1">
      <c r="B94" s="156" t="s">
        <v>209</v>
      </c>
      <c r="C94" s="214" t="s">
        <v>210</v>
      </c>
      <c r="D94" s="195"/>
      <c r="E94" s="196"/>
      <c r="F94" s="191"/>
      <c r="G94" s="191"/>
      <c r="H94" s="191"/>
      <c r="I94" s="197"/>
      <c r="J94" s="198"/>
    </row>
    <row r="95" spans="2:10" ht="17.399999999999999" outlineLevel="1">
      <c r="B95" s="156"/>
      <c r="C95" s="214"/>
      <c r="D95" s="195"/>
      <c r="E95" s="196"/>
      <c r="F95" s="191"/>
      <c r="G95" s="191"/>
      <c r="H95" s="191"/>
      <c r="I95" s="197"/>
      <c r="J95" s="198"/>
    </row>
    <row r="96" spans="2:10" ht="17.399999999999999" outlineLevel="1">
      <c r="B96" s="156"/>
      <c r="C96" s="214"/>
      <c r="D96" s="195"/>
      <c r="E96" s="196"/>
      <c r="F96" s="191"/>
      <c r="G96" s="191"/>
      <c r="H96" s="191"/>
      <c r="I96" s="197"/>
      <c r="J96" s="198"/>
    </row>
    <row r="97" spans="2:10" ht="17.399999999999999" outlineLevel="1">
      <c r="B97" s="156"/>
      <c r="C97" s="214"/>
      <c r="D97" s="195"/>
      <c r="E97" s="196"/>
      <c r="F97" s="191"/>
      <c r="G97" s="191"/>
      <c r="H97" s="191"/>
      <c r="I97" s="197"/>
      <c r="J97" s="199"/>
    </row>
    <row r="98" spans="2:10" s="9" customFormat="1" outlineLevel="1">
      <c r="B98" s="194" t="s">
        <v>211</v>
      </c>
      <c r="C98" s="215"/>
      <c r="D98" s="193"/>
      <c r="E98" s="194"/>
      <c r="F98" s="194"/>
      <c r="G98" s="194"/>
      <c r="H98" s="194"/>
      <c r="I98" s="194"/>
      <c r="J98" s="194"/>
    </row>
    <row r="99" spans="2:10" s="9" customFormat="1" outlineLevel="1">
      <c r="B99" s="198"/>
      <c r="C99" s="216"/>
      <c r="D99" s="200"/>
      <c r="E99" s="201"/>
      <c r="F99" s="202"/>
      <c r="G99" s="202"/>
      <c r="H99" s="191"/>
      <c r="I99" s="202"/>
      <c r="J99" s="203"/>
    </row>
    <row r="100" spans="2:10" s="9" customFormat="1" ht="17.399999999999999" outlineLevel="1">
      <c r="B100" s="156" t="s">
        <v>212</v>
      </c>
      <c r="C100" s="214" t="s">
        <v>213</v>
      </c>
      <c r="D100" s="200"/>
      <c r="E100" s="201"/>
      <c r="F100" s="202"/>
      <c r="G100" s="202"/>
      <c r="H100" s="191"/>
      <c r="I100" s="202"/>
      <c r="J100" s="203"/>
    </row>
    <row r="101" spans="2:10" s="9" customFormat="1" ht="17.399999999999999" outlineLevel="1">
      <c r="B101" s="198"/>
      <c r="C101" s="214" t="s">
        <v>214</v>
      </c>
      <c r="D101" s="200"/>
      <c r="E101" s="201"/>
      <c r="F101" s="202"/>
      <c r="G101" s="202"/>
      <c r="H101" s="191"/>
      <c r="I101" s="202"/>
      <c r="J101" s="203"/>
    </row>
    <row r="102" spans="2:10" s="9" customFormat="1" ht="17.399999999999999" outlineLevel="1">
      <c r="B102" s="198"/>
      <c r="C102" s="214" t="s">
        <v>215</v>
      </c>
      <c r="D102" s="200"/>
      <c r="E102" s="201"/>
      <c r="F102" s="202"/>
      <c r="G102" s="202"/>
      <c r="H102" s="191"/>
      <c r="I102" s="202"/>
      <c r="J102" s="203"/>
    </row>
    <row r="103" spans="2:10" s="9" customFormat="1" ht="17.399999999999999" outlineLevel="1">
      <c r="B103" s="198"/>
      <c r="C103" s="214" t="s">
        <v>216</v>
      </c>
      <c r="D103" s="200"/>
      <c r="E103" s="201"/>
      <c r="F103" s="202"/>
      <c r="G103" s="202"/>
      <c r="H103" s="191"/>
      <c r="I103" s="202"/>
      <c r="J103" s="203"/>
    </row>
    <row r="104" spans="2:10" s="9" customFormat="1" ht="17.399999999999999" outlineLevel="1">
      <c r="B104" s="198"/>
      <c r="C104" s="214" t="s">
        <v>217</v>
      </c>
      <c r="D104" s="200"/>
      <c r="E104" s="201"/>
      <c r="F104" s="202"/>
      <c r="G104" s="202"/>
      <c r="H104" s="191"/>
      <c r="I104" s="202"/>
      <c r="J104" s="203"/>
    </row>
    <row r="105" spans="2:10" s="9" customFormat="1" ht="17.399999999999999" outlineLevel="1">
      <c r="B105" s="198"/>
      <c r="C105" s="214" t="s">
        <v>218</v>
      </c>
      <c r="D105" s="200"/>
      <c r="E105" s="201"/>
      <c r="F105" s="202"/>
      <c r="G105" s="202"/>
      <c r="H105" s="191"/>
      <c r="I105" s="202"/>
      <c r="J105" s="203"/>
    </row>
    <row r="106" spans="2:10" s="9" customFormat="1" ht="17.399999999999999" outlineLevel="1">
      <c r="B106" s="198"/>
      <c r="C106" s="214" t="s">
        <v>219</v>
      </c>
      <c r="D106" s="200"/>
      <c r="E106" s="201"/>
      <c r="F106" s="202"/>
      <c r="G106" s="202"/>
      <c r="H106" s="191"/>
      <c r="I106" s="202"/>
      <c r="J106" s="203"/>
    </row>
    <row r="107" spans="2:10" s="9" customFormat="1" ht="17.399999999999999" outlineLevel="1">
      <c r="B107" s="198"/>
      <c r="C107" s="214" t="s">
        <v>220</v>
      </c>
      <c r="D107" s="200"/>
      <c r="E107" s="201"/>
      <c r="F107" s="202"/>
      <c r="G107" s="202"/>
      <c r="H107" s="191"/>
      <c r="I107" s="202"/>
      <c r="J107" s="203"/>
    </row>
    <row r="108" spans="2:10" s="9" customFormat="1" ht="17.399999999999999" outlineLevel="1">
      <c r="B108" s="198"/>
      <c r="C108" s="214" t="s">
        <v>221</v>
      </c>
      <c r="D108" s="200"/>
      <c r="E108" s="201"/>
      <c r="F108" s="202"/>
      <c r="G108" s="202"/>
      <c r="H108" s="191"/>
      <c r="I108" s="202"/>
      <c r="J108" s="203"/>
    </row>
    <row r="109" spans="2:10" s="9" customFormat="1" ht="17.399999999999999" outlineLevel="1">
      <c r="B109" s="156" t="s">
        <v>222</v>
      </c>
      <c r="C109" s="214" t="s">
        <v>223</v>
      </c>
      <c r="D109" s="200"/>
      <c r="E109" s="201"/>
      <c r="F109" s="202"/>
      <c r="G109" s="202"/>
      <c r="H109" s="191"/>
      <c r="I109" s="202"/>
      <c r="J109" s="203"/>
    </row>
    <row r="110" spans="2:10" s="9" customFormat="1" ht="17.399999999999999" outlineLevel="1">
      <c r="B110" s="198"/>
      <c r="C110" s="214" t="s">
        <v>224</v>
      </c>
      <c r="D110" s="200"/>
      <c r="E110" s="201"/>
      <c r="F110" s="202"/>
      <c r="G110" s="202"/>
      <c r="H110" s="191"/>
      <c r="I110" s="202"/>
      <c r="J110" s="203"/>
    </row>
    <row r="111" spans="2:10" s="9" customFormat="1" ht="17.399999999999999" outlineLevel="1">
      <c r="B111" s="198"/>
      <c r="C111" s="214" t="s">
        <v>225</v>
      </c>
      <c r="D111" s="200"/>
      <c r="E111" s="201"/>
      <c r="F111" s="202"/>
      <c r="G111" s="202"/>
      <c r="H111" s="191"/>
      <c r="I111" s="202"/>
      <c r="J111" s="203"/>
    </row>
    <row r="112" spans="2:10" s="9" customFormat="1" ht="17.399999999999999" outlineLevel="1">
      <c r="B112" s="198"/>
      <c r="C112" s="214" t="s">
        <v>226</v>
      </c>
      <c r="D112" s="200"/>
      <c r="E112" s="201"/>
      <c r="F112" s="202"/>
      <c r="G112" s="202"/>
      <c r="H112" s="191"/>
      <c r="I112" s="202"/>
      <c r="J112" s="203"/>
    </row>
    <row r="113" spans="1:10" s="9" customFormat="1" ht="34.799999999999997" outlineLevel="1">
      <c r="B113" s="198"/>
      <c r="C113" s="214" t="s">
        <v>227</v>
      </c>
      <c r="D113" s="200"/>
      <c r="E113" s="201"/>
      <c r="F113" s="202"/>
      <c r="G113" s="202"/>
      <c r="H113" s="191"/>
      <c r="I113" s="202"/>
      <c r="J113" s="203"/>
    </row>
    <row r="114" spans="1:10" ht="17.399999999999999" outlineLevel="1">
      <c r="A114" s="92" t="s">
        <v>228</v>
      </c>
      <c r="B114" s="198"/>
      <c r="C114" s="214" t="s">
        <v>229</v>
      </c>
      <c r="D114" s="200"/>
      <c r="E114" s="196"/>
      <c r="F114" s="191"/>
      <c r="G114" s="191"/>
      <c r="H114" s="191"/>
      <c r="I114" s="197"/>
      <c r="J114" s="198"/>
    </row>
    <row r="115" spans="1:10" ht="17.399999999999999" outlineLevel="1">
      <c r="A115" s="92" t="s">
        <v>228</v>
      </c>
      <c r="B115" s="198"/>
      <c r="C115" s="214" t="s">
        <v>230</v>
      </c>
      <c r="D115" s="195"/>
      <c r="E115" s="196"/>
      <c r="F115" s="191"/>
      <c r="G115" s="191"/>
      <c r="H115" s="191"/>
      <c r="I115" s="197"/>
      <c r="J115" s="198"/>
    </row>
    <row r="116" spans="1:10" ht="17.399999999999999" outlineLevel="1">
      <c r="A116" s="92"/>
      <c r="B116" s="198"/>
      <c r="C116" s="214" t="s">
        <v>231</v>
      </c>
      <c r="D116" s="195"/>
      <c r="E116" s="196"/>
      <c r="F116" s="191"/>
      <c r="G116" s="191"/>
      <c r="H116" s="191"/>
      <c r="I116" s="197"/>
      <c r="J116" s="198"/>
    </row>
    <row r="117" spans="1:10" ht="34.799999999999997" outlineLevel="1">
      <c r="A117" s="92"/>
      <c r="B117" s="156" t="s">
        <v>232</v>
      </c>
      <c r="C117" s="214" t="s">
        <v>233</v>
      </c>
      <c r="D117" s="195"/>
      <c r="E117" s="196"/>
      <c r="F117" s="191"/>
      <c r="G117" s="191"/>
      <c r="H117" s="191"/>
      <c r="I117" s="197"/>
      <c r="J117" s="198"/>
    </row>
    <row r="118" spans="1:10" ht="17.399999999999999" outlineLevel="1">
      <c r="A118" s="92"/>
      <c r="B118" s="198"/>
      <c r="C118" s="214" t="s">
        <v>234</v>
      </c>
      <c r="D118" s="195"/>
      <c r="E118" s="196"/>
      <c r="F118" s="191"/>
      <c r="G118" s="191"/>
      <c r="H118" s="191"/>
      <c r="I118" s="197"/>
      <c r="J118" s="198"/>
    </row>
    <row r="119" spans="1:10" ht="17.399999999999999" outlineLevel="1">
      <c r="A119" s="92"/>
      <c r="B119" s="198"/>
      <c r="C119" s="214" t="s">
        <v>235</v>
      </c>
      <c r="D119" s="195"/>
      <c r="E119" s="196"/>
      <c r="F119" s="191"/>
      <c r="G119" s="191"/>
      <c r="H119" s="191"/>
      <c r="I119" s="197"/>
      <c r="J119" s="198"/>
    </row>
    <row r="120" spans="1:10" ht="34.799999999999997" outlineLevel="1">
      <c r="A120" s="92"/>
      <c r="B120" s="198"/>
      <c r="C120" s="214" t="s">
        <v>236</v>
      </c>
      <c r="D120" s="195"/>
      <c r="E120" s="196"/>
      <c r="F120" s="191"/>
      <c r="G120" s="191"/>
      <c r="H120" s="191"/>
      <c r="I120" s="197"/>
      <c r="J120" s="198"/>
    </row>
    <row r="121" spans="1:10" ht="17.399999999999999" outlineLevel="1">
      <c r="A121" s="92"/>
      <c r="B121" s="156" t="s">
        <v>237</v>
      </c>
      <c r="C121" s="214" t="s">
        <v>238</v>
      </c>
      <c r="D121" s="195"/>
      <c r="E121" s="196"/>
      <c r="F121" s="191"/>
      <c r="G121" s="191"/>
      <c r="H121" s="191"/>
      <c r="I121" s="197"/>
      <c r="J121" s="198"/>
    </row>
    <row r="122" spans="1:10" ht="17.399999999999999" outlineLevel="1">
      <c r="A122" s="92"/>
      <c r="B122" s="198"/>
      <c r="C122" s="214" t="s">
        <v>239</v>
      </c>
      <c r="D122" s="195"/>
      <c r="E122" s="196"/>
      <c r="F122" s="191"/>
      <c r="G122" s="191"/>
      <c r="H122" s="191"/>
      <c r="I122" s="197"/>
      <c r="J122" s="198"/>
    </row>
    <row r="123" spans="1:10" ht="17.399999999999999" outlineLevel="1">
      <c r="A123" s="92"/>
      <c r="B123" s="198"/>
      <c r="C123" s="214" t="s">
        <v>240</v>
      </c>
      <c r="D123" s="195"/>
      <c r="E123" s="196"/>
      <c r="F123" s="191"/>
      <c r="G123" s="191"/>
      <c r="H123" s="191"/>
      <c r="I123" s="197"/>
      <c r="J123" s="198"/>
    </row>
    <row r="124" spans="1:10" ht="17.399999999999999" outlineLevel="1">
      <c r="A124" s="92"/>
      <c r="B124" s="198"/>
      <c r="C124" s="214" t="s">
        <v>241</v>
      </c>
      <c r="D124" s="195"/>
      <c r="E124" s="196"/>
      <c r="F124" s="191"/>
      <c r="G124" s="191"/>
      <c r="H124" s="191"/>
      <c r="I124" s="197"/>
      <c r="J124" s="198"/>
    </row>
    <row r="125" spans="1:10" ht="17.399999999999999" outlineLevel="1">
      <c r="A125" s="92"/>
      <c r="B125" s="198"/>
      <c r="C125" s="214" t="s">
        <v>242</v>
      </c>
      <c r="D125" s="195"/>
      <c r="E125" s="196"/>
      <c r="F125" s="191"/>
      <c r="G125" s="191"/>
      <c r="H125" s="191"/>
      <c r="I125" s="197"/>
      <c r="J125" s="198"/>
    </row>
    <row r="126" spans="1:10" ht="17.399999999999999" outlineLevel="1">
      <c r="A126" s="92"/>
      <c r="B126" s="198"/>
      <c r="C126" s="214" t="s">
        <v>243</v>
      </c>
      <c r="D126" s="195"/>
      <c r="E126" s="196"/>
      <c r="F126" s="191"/>
      <c r="G126" s="191"/>
      <c r="H126" s="191"/>
      <c r="I126" s="197"/>
      <c r="J126" s="198"/>
    </row>
    <row r="127" spans="1:10" ht="17.399999999999999" outlineLevel="1">
      <c r="A127" s="92"/>
      <c r="B127" s="198"/>
      <c r="C127" s="214" t="s">
        <v>244</v>
      </c>
      <c r="D127" s="195"/>
      <c r="E127" s="196"/>
      <c r="F127" s="191"/>
      <c r="G127" s="191"/>
      <c r="H127" s="191"/>
      <c r="I127" s="197"/>
      <c r="J127" s="198"/>
    </row>
    <row r="128" spans="1:10" ht="17.399999999999999" outlineLevel="1">
      <c r="A128" s="92"/>
      <c r="B128" s="198"/>
      <c r="C128" s="214" t="s">
        <v>245</v>
      </c>
      <c r="D128" s="195"/>
      <c r="E128" s="196"/>
      <c r="F128" s="191"/>
      <c r="G128" s="191"/>
      <c r="H128" s="191"/>
      <c r="I128" s="197"/>
      <c r="J128" s="198"/>
    </row>
    <row r="129" spans="1:10" ht="17.399999999999999" outlineLevel="1">
      <c r="A129" s="92"/>
      <c r="B129" s="198"/>
      <c r="C129" s="214" t="s">
        <v>246</v>
      </c>
      <c r="D129" s="200"/>
      <c r="E129" s="203"/>
      <c r="F129" s="191"/>
      <c r="G129" s="191"/>
      <c r="H129" s="191"/>
      <c r="I129" s="197"/>
      <c r="J129" s="199"/>
    </row>
    <row r="130" spans="1:10" ht="17.399999999999999" outlineLevel="1">
      <c r="A130" s="92"/>
      <c r="B130" s="198"/>
      <c r="C130" s="214" t="s">
        <v>247</v>
      </c>
      <c r="D130" s="195"/>
      <c r="E130" s="204"/>
      <c r="F130" s="191"/>
      <c r="G130" s="191"/>
      <c r="H130" s="191"/>
      <c r="I130" s="197"/>
      <c r="J130" s="198"/>
    </row>
    <row r="131" spans="1:10" ht="17.399999999999999" outlineLevel="1">
      <c r="A131" s="92"/>
      <c r="B131" s="198"/>
      <c r="C131" s="214" t="s">
        <v>248</v>
      </c>
      <c r="D131" s="195"/>
      <c r="E131" s="204"/>
      <c r="F131" s="191"/>
      <c r="G131" s="191"/>
      <c r="H131" s="191"/>
      <c r="I131" s="197"/>
      <c r="J131" s="198"/>
    </row>
    <row r="132" spans="1:10" ht="17.399999999999999" outlineLevel="1">
      <c r="A132" s="92"/>
      <c r="B132" s="198"/>
      <c r="C132" s="214" t="s">
        <v>249</v>
      </c>
      <c r="D132" s="195"/>
      <c r="E132" s="204"/>
      <c r="F132" s="191"/>
      <c r="G132" s="191"/>
      <c r="H132" s="191"/>
      <c r="I132" s="197"/>
      <c r="J132" s="198"/>
    </row>
    <row r="133" spans="1:10" ht="17.399999999999999" outlineLevel="1">
      <c r="A133" s="92"/>
      <c r="B133" s="198"/>
      <c r="C133" s="214" t="s">
        <v>250</v>
      </c>
      <c r="D133" s="195"/>
      <c r="E133" s="204"/>
      <c r="F133" s="191"/>
      <c r="G133" s="191"/>
      <c r="H133" s="191"/>
      <c r="I133" s="197"/>
      <c r="J133" s="198"/>
    </row>
    <row r="134" spans="1:10" ht="17.399999999999999" outlineLevel="1">
      <c r="A134" s="92"/>
      <c r="B134" s="198"/>
      <c r="C134" s="214" t="s">
        <v>251</v>
      </c>
      <c r="D134" s="195"/>
      <c r="E134" s="204"/>
      <c r="F134" s="191"/>
      <c r="G134" s="191"/>
      <c r="H134" s="191"/>
      <c r="I134" s="197"/>
      <c r="J134" s="198"/>
    </row>
    <row r="135" spans="1:10" ht="17.399999999999999" outlineLevel="1">
      <c r="A135" s="92"/>
      <c r="B135" s="198"/>
      <c r="C135" s="214" t="s">
        <v>252</v>
      </c>
      <c r="D135" s="195"/>
      <c r="E135" s="204"/>
      <c r="F135" s="191"/>
      <c r="G135" s="191"/>
      <c r="H135" s="191"/>
      <c r="I135" s="197"/>
      <c r="J135" s="198"/>
    </row>
    <row r="136" spans="1:10" ht="17.399999999999999" outlineLevel="1">
      <c r="A136" s="92"/>
      <c r="B136" s="198"/>
      <c r="C136" s="214" t="s">
        <v>253</v>
      </c>
      <c r="D136" s="195"/>
      <c r="E136" s="204"/>
      <c r="F136" s="191"/>
      <c r="G136" s="191"/>
      <c r="H136" s="191"/>
      <c r="I136" s="197"/>
      <c r="J136" s="198"/>
    </row>
    <row r="137" spans="1:10" ht="17.399999999999999" outlineLevel="1">
      <c r="A137" s="92"/>
      <c r="B137" s="156" t="s">
        <v>254</v>
      </c>
      <c r="C137" s="216"/>
      <c r="D137" s="195"/>
      <c r="E137" s="204"/>
      <c r="F137" s="191"/>
      <c r="G137" s="191"/>
      <c r="H137" s="191"/>
      <c r="I137" s="197"/>
      <c r="J137" s="198"/>
    </row>
    <row r="138" spans="1:10" outlineLevel="1">
      <c r="A138" s="92"/>
      <c r="B138" s="198"/>
      <c r="C138" s="216"/>
      <c r="D138" s="195"/>
      <c r="E138" s="204"/>
      <c r="F138" s="191"/>
      <c r="G138" s="191"/>
      <c r="H138" s="191"/>
      <c r="I138" s="197"/>
      <c r="J138" s="199"/>
    </row>
    <row r="139" spans="1:10" ht="17.399999999999999" outlineLevel="1">
      <c r="A139" s="92"/>
      <c r="B139" s="156" t="s">
        <v>255</v>
      </c>
      <c r="C139" s="216"/>
      <c r="D139" s="195"/>
      <c r="E139" s="204"/>
      <c r="F139" s="191"/>
      <c r="G139" s="191"/>
      <c r="H139" s="191"/>
      <c r="I139" s="197"/>
      <c r="J139" s="199"/>
    </row>
    <row r="140" spans="1:10" outlineLevel="1">
      <c r="A140" s="92"/>
      <c r="B140" s="198"/>
      <c r="C140" s="216"/>
      <c r="D140" s="195"/>
      <c r="E140" s="204"/>
      <c r="F140" s="191"/>
      <c r="G140" s="191"/>
      <c r="H140" s="191"/>
      <c r="I140" s="197"/>
      <c r="J140" s="199"/>
    </row>
    <row r="141" spans="1:10" outlineLevel="1">
      <c r="A141" s="92"/>
      <c r="B141" s="194" t="s">
        <v>256</v>
      </c>
      <c r="C141" s="215"/>
      <c r="D141" s="193"/>
      <c r="E141" s="194"/>
      <c r="F141" s="194"/>
      <c r="G141" s="194"/>
      <c r="H141" s="194"/>
      <c r="I141" s="194"/>
      <c r="J141" s="194"/>
    </row>
    <row r="142" spans="1:10" outlineLevel="1">
      <c r="A142" s="92"/>
      <c r="B142" s="198"/>
      <c r="C142" s="216"/>
      <c r="D142" s="195"/>
      <c r="E142" s="204"/>
      <c r="F142" s="191"/>
      <c r="G142" s="191"/>
      <c r="H142" s="191"/>
      <c r="I142" s="197"/>
      <c r="J142" s="199"/>
    </row>
    <row r="143" spans="1:10" ht="17.399999999999999" outlineLevel="1">
      <c r="A143" s="92"/>
      <c r="B143" s="156" t="s">
        <v>212</v>
      </c>
      <c r="C143" s="214" t="s">
        <v>213</v>
      </c>
      <c r="D143" s="195"/>
      <c r="E143" s="204"/>
      <c r="F143" s="191"/>
      <c r="G143" s="191"/>
      <c r="H143" s="191"/>
      <c r="I143" s="197"/>
      <c r="J143" s="199"/>
    </row>
    <row r="144" spans="1:10" ht="17.399999999999999" outlineLevel="1">
      <c r="A144" s="92"/>
      <c r="B144" s="156"/>
      <c r="C144" s="214" t="s">
        <v>214</v>
      </c>
      <c r="D144" s="195"/>
      <c r="E144" s="204"/>
      <c r="F144" s="191"/>
      <c r="G144" s="191"/>
      <c r="H144" s="191"/>
      <c r="I144" s="197"/>
      <c r="J144" s="199"/>
    </row>
    <row r="145" spans="1:10" ht="17.399999999999999" outlineLevel="1">
      <c r="A145" s="92"/>
      <c r="B145" s="156"/>
      <c r="C145" s="214" t="s">
        <v>215</v>
      </c>
      <c r="D145" s="195"/>
      <c r="E145" s="204"/>
      <c r="F145" s="191"/>
      <c r="G145" s="191"/>
      <c r="H145" s="191"/>
      <c r="I145" s="197"/>
      <c r="J145" s="199"/>
    </row>
    <row r="146" spans="1:10" ht="17.399999999999999" outlineLevel="1">
      <c r="A146" s="92"/>
      <c r="B146" s="156"/>
      <c r="C146" s="214" t="s">
        <v>216</v>
      </c>
      <c r="D146" s="195"/>
      <c r="E146" s="204"/>
      <c r="F146" s="191"/>
      <c r="G146" s="191"/>
      <c r="H146" s="191"/>
      <c r="I146" s="197"/>
      <c r="J146" s="199"/>
    </row>
    <row r="147" spans="1:10" ht="17.399999999999999" outlineLevel="1">
      <c r="A147" s="92"/>
      <c r="B147" s="156"/>
      <c r="C147" s="214" t="s">
        <v>217</v>
      </c>
      <c r="D147" s="195"/>
      <c r="E147" s="204"/>
      <c r="F147" s="191"/>
      <c r="G147" s="191"/>
      <c r="H147" s="191"/>
      <c r="I147" s="197"/>
      <c r="J147" s="199"/>
    </row>
    <row r="148" spans="1:10" ht="17.399999999999999" outlineLevel="1">
      <c r="A148" s="92"/>
      <c r="B148" s="156"/>
      <c r="C148" s="214" t="s">
        <v>218</v>
      </c>
      <c r="D148" s="195"/>
      <c r="E148" s="204"/>
      <c r="F148" s="191"/>
      <c r="G148" s="191"/>
      <c r="H148" s="191"/>
      <c r="I148" s="197"/>
      <c r="J148" s="199"/>
    </row>
    <row r="149" spans="1:10" ht="17.399999999999999" outlineLevel="1">
      <c r="A149" s="92"/>
      <c r="B149" s="156"/>
      <c r="C149" s="214" t="s">
        <v>219</v>
      </c>
      <c r="D149" s="195"/>
      <c r="E149" s="204"/>
      <c r="F149" s="191"/>
      <c r="G149" s="191"/>
      <c r="H149" s="191"/>
      <c r="I149" s="197"/>
      <c r="J149" s="199"/>
    </row>
    <row r="150" spans="1:10" ht="17.399999999999999" outlineLevel="1">
      <c r="A150" s="92"/>
      <c r="B150" s="156"/>
      <c r="C150" s="214" t="s">
        <v>220</v>
      </c>
      <c r="D150" s="195"/>
      <c r="E150" s="204"/>
      <c r="F150" s="191"/>
      <c r="G150" s="191"/>
      <c r="H150" s="191"/>
      <c r="I150" s="197"/>
      <c r="J150" s="199"/>
    </row>
    <row r="151" spans="1:10" ht="17.399999999999999" outlineLevel="1">
      <c r="A151" s="92"/>
      <c r="B151" s="156"/>
      <c r="C151" s="214" t="s">
        <v>221</v>
      </c>
      <c r="D151" s="195"/>
      <c r="E151" s="204"/>
      <c r="F151" s="191"/>
      <c r="G151" s="191"/>
      <c r="H151" s="191"/>
      <c r="I151" s="197"/>
      <c r="J151" s="199"/>
    </row>
    <row r="152" spans="1:10" ht="17.399999999999999" outlineLevel="1">
      <c r="A152" s="92"/>
      <c r="B152" s="156" t="s">
        <v>222</v>
      </c>
      <c r="C152" s="214" t="s">
        <v>223</v>
      </c>
      <c r="D152" s="195"/>
      <c r="E152" s="204"/>
      <c r="F152" s="191"/>
      <c r="G152" s="191"/>
      <c r="H152" s="191"/>
      <c r="I152" s="197"/>
      <c r="J152" s="199"/>
    </row>
    <row r="153" spans="1:10" ht="17.399999999999999" outlineLevel="1">
      <c r="A153" s="92"/>
      <c r="B153" s="156"/>
      <c r="C153" s="214" t="s">
        <v>224</v>
      </c>
      <c r="D153" s="195"/>
      <c r="E153" s="204"/>
      <c r="F153" s="191"/>
      <c r="G153" s="191"/>
      <c r="H153" s="191"/>
      <c r="I153" s="197"/>
      <c r="J153" s="199"/>
    </row>
    <row r="154" spans="1:10" ht="17.399999999999999" outlineLevel="1">
      <c r="A154" s="92"/>
      <c r="B154" s="156"/>
      <c r="C154" s="214" t="s">
        <v>225</v>
      </c>
      <c r="D154" s="195"/>
      <c r="E154" s="204"/>
      <c r="F154" s="191"/>
      <c r="G154" s="191"/>
      <c r="H154" s="191"/>
      <c r="I154" s="197"/>
      <c r="J154" s="199"/>
    </row>
    <row r="155" spans="1:10" ht="17.399999999999999" outlineLevel="1">
      <c r="A155" s="92"/>
      <c r="B155" s="156"/>
      <c r="C155" s="214" t="s">
        <v>226</v>
      </c>
      <c r="D155" s="195"/>
      <c r="E155" s="204"/>
      <c r="F155" s="191"/>
      <c r="G155" s="191"/>
      <c r="H155" s="191"/>
      <c r="I155" s="197"/>
      <c r="J155" s="199"/>
    </row>
    <row r="156" spans="1:10" ht="34.799999999999997" outlineLevel="1">
      <c r="A156" s="92"/>
      <c r="B156" s="156"/>
      <c r="C156" s="214" t="s">
        <v>227</v>
      </c>
      <c r="D156" s="195"/>
      <c r="E156" s="204"/>
      <c r="F156" s="191"/>
      <c r="G156" s="191"/>
      <c r="H156" s="191"/>
      <c r="I156" s="197"/>
      <c r="J156" s="199"/>
    </row>
    <row r="157" spans="1:10" ht="17.399999999999999" outlineLevel="1">
      <c r="A157" s="92"/>
      <c r="B157" s="156"/>
      <c r="C157" s="214" t="s">
        <v>229</v>
      </c>
      <c r="D157" s="195"/>
      <c r="E157" s="204"/>
      <c r="F157" s="191"/>
      <c r="G157" s="191"/>
      <c r="H157" s="191"/>
      <c r="I157" s="197"/>
      <c r="J157" s="199"/>
    </row>
    <row r="158" spans="1:10" ht="17.399999999999999" outlineLevel="1">
      <c r="A158" s="92"/>
      <c r="B158" s="156"/>
      <c r="C158" s="214" t="s">
        <v>230</v>
      </c>
      <c r="D158" s="195"/>
      <c r="E158" s="204"/>
      <c r="F158" s="191"/>
      <c r="G158" s="191"/>
      <c r="H158" s="191"/>
      <c r="I158" s="197"/>
      <c r="J158" s="199"/>
    </row>
    <row r="159" spans="1:10" ht="17.399999999999999" outlineLevel="1">
      <c r="A159" s="92"/>
      <c r="B159" s="156"/>
      <c r="C159" s="214" t="s">
        <v>231</v>
      </c>
      <c r="D159" s="195"/>
      <c r="E159" s="204"/>
      <c r="F159" s="191"/>
      <c r="G159" s="191"/>
      <c r="H159" s="191"/>
      <c r="I159" s="197"/>
      <c r="J159" s="199"/>
    </row>
    <row r="160" spans="1:10" ht="34.799999999999997" outlineLevel="1">
      <c r="A160" s="92"/>
      <c r="B160" s="156" t="s">
        <v>232</v>
      </c>
      <c r="C160" s="214" t="s">
        <v>233</v>
      </c>
      <c r="D160" s="195"/>
      <c r="E160" s="204"/>
      <c r="F160" s="191"/>
      <c r="G160" s="191"/>
      <c r="H160" s="191"/>
      <c r="I160" s="197"/>
      <c r="J160" s="199"/>
    </row>
    <row r="161" spans="1:10" ht="17.399999999999999" outlineLevel="1">
      <c r="A161" s="92"/>
      <c r="B161" s="156"/>
      <c r="C161" s="214" t="s">
        <v>234</v>
      </c>
      <c r="D161" s="195"/>
      <c r="E161" s="204"/>
      <c r="F161" s="191"/>
      <c r="G161" s="191"/>
      <c r="H161" s="191"/>
      <c r="I161" s="197"/>
      <c r="J161" s="199"/>
    </row>
    <row r="162" spans="1:10" ht="17.399999999999999" outlineLevel="1">
      <c r="A162" s="92"/>
      <c r="B162" s="156"/>
      <c r="C162" s="214" t="s">
        <v>235</v>
      </c>
      <c r="D162" s="195"/>
      <c r="E162" s="204"/>
      <c r="F162" s="191"/>
      <c r="G162" s="191"/>
      <c r="H162" s="191"/>
      <c r="I162" s="197"/>
      <c r="J162" s="199"/>
    </row>
    <row r="163" spans="1:10" ht="34.799999999999997" outlineLevel="1">
      <c r="A163" s="92"/>
      <c r="B163" s="156"/>
      <c r="C163" s="214" t="s">
        <v>236</v>
      </c>
      <c r="D163" s="195"/>
      <c r="E163" s="204"/>
      <c r="F163" s="191"/>
      <c r="G163" s="191"/>
      <c r="H163" s="191"/>
      <c r="I163" s="197"/>
      <c r="J163" s="199"/>
    </row>
    <row r="164" spans="1:10" ht="17.399999999999999" outlineLevel="1">
      <c r="A164" s="92"/>
      <c r="B164" s="156" t="s">
        <v>237</v>
      </c>
      <c r="C164" s="214" t="s">
        <v>238</v>
      </c>
      <c r="D164" s="195"/>
      <c r="E164" s="204"/>
      <c r="F164" s="191"/>
      <c r="G164" s="191"/>
      <c r="H164" s="191"/>
      <c r="I164" s="197"/>
      <c r="J164" s="199"/>
    </row>
    <row r="165" spans="1:10" ht="17.399999999999999" outlineLevel="1">
      <c r="A165" s="92"/>
      <c r="B165" s="156"/>
      <c r="C165" s="214" t="s">
        <v>239</v>
      </c>
      <c r="D165" s="217"/>
      <c r="E165" s="218"/>
      <c r="F165" s="219"/>
      <c r="G165" s="219"/>
      <c r="H165" s="191"/>
      <c r="I165" s="220"/>
      <c r="J165" s="221"/>
    </row>
    <row r="166" spans="1:10" ht="17.399999999999999" outlineLevel="1">
      <c r="A166" s="92"/>
      <c r="B166" s="156"/>
      <c r="C166" s="214" t="s">
        <v>240</v>
      </c>
      <c r="D166" s="217"/>
      <c r="E166" s="218"/>
      <c r="F166" s="219"/>
      <c r="G166" s="219"/>
      <c r="H166" s="191"/>
      <c r="I166" s="220"/>
      <c r="J166" s="221"/>
    </row>
    <row r="167" spans="1:10" ht="17.399999999999999" outlineLevel="1">
      <c r="A167" s="92"/>
      <c r="B167" s="156"/>
      <c r="C167" s="214" t="s">
        <v>241</v>
      </c>
      <c r="D167" s="217"/>
      <c r="E167" s="218"/>
      <c r="F167" s="219"/>
      <c r="G167" s="219"/>
      <c r="H167" s="191"/>
      <c r="I167" s="220"/>
      <c r="J167" s="221"/>
    </row>
    <row r="168" spans="1:10" ht="17.399999999999999" outlineLevel="1">
      <c r="A168" s="92"/>
      <c r="B168" s="156"/>
      <c r="C168" s="214" t="s">
        <v>242</v>
      </c>
      <c r="D168" s="217"/>
      <c r="E168" s="218"/>
      <c r="F168" s="219"/>
      <c r="G168" s="219"/>
      <c r="H168" s="191"/>
      <c r="I168" s="220"/>
      <c r="J168" s="221"/>
    </row>
    <row r="169" spans="1:10" ht="17.399999999999999" outlineLevel="1">
      <c r="A169" s="92"/>
      <c r="B169" s="156"/>
      <c r="C169" s="214" t="s">
        <v>243</v>
      </c>
      <c r="D169" s="217"/>
      <c r="E169" s="218"/>
      <c r="F169" s="219"/>
      <c r="G169" s="219"/>
      <c r="H169" s="191"/>
      <c r="I169" s="220"/>
      <c r="J169" s="221"/>
    </row>
    <row r="170" spans="1:10" ht="17.399999999999999" outlineLevel="1">
      <c r="A170" s="92"/>
      <c r="B170" s="156"/>
      <c r="C170" s="214" t="s">
        <v>244</v>
      </c>
      <c r="D170" s="217"/>
      <c r="E170" s="218"/>
      <c r="F170" s="219"/>
      <c r="G170" s="219"/>
      <c r="H170" s="191"/>
      <c r="I170" s="220"/>
      <c r="J170" s="221"/>
    </row>
    <row r="171" spans="1:10" ht="17.399999999999999" outlineLevel="1">
      <c r="A171" s="92"/>
      <c r="B171" s="156"/>
      <c r="C171" s="214" t="s">
        <v>245</v>
      </c>
      <c r="D171" s="217"/>
      <c r="E171" s="218"/>
      <c r="F171" s="219"/>
      <c r="G171" s="219"/>
      <c r="H171" s="191"/>
      <c r="I171" s="220"/>
      <c r="J171" s="221"/>
    </row>
    <row r="172" spans="1:10" s="90" customFormat="1" ht="17.399999999999999" outlineLevel="1">
      <c r="A172" s="205"/>
      <c r="B172" s="156"/>
      <c r="C172" s="214" t="s">
        <v>246</v>
      </c>
      <c r="D172" s="100"/>
      <c r="H172" s="191"/>
    </row>
    <row r="173" spans="1:10" ht="17.399999999999999" outlineLevel="1">
      <c r="A173" s="92"/>
      <c r="B173" s="156"/>
      <c r="C173" s="214" t="s">
        <v>247</v>
      </c>
      <c r="D173" s="195"/>
      <c r="E173" s="204"/>
      <c r="F173" s="191"/>
      <c r="G173" s="191"/>
      <c r="H173" s="191"/>
      <c r="I173" s="197"/>
      <c r="J173" s="199"/>
    </row>
    <row r="174" spans="1:10" ht="17.399999999999999" outlineLevel="1">
      <c r="A174" s="92"/>
      <c r="B174" s="156"/>
      <c r="C174" s="214" t="s">
        <v>248</v>
      </c>
      <c r="D174" s="195"/>
      <c r="E174" s="204"/>
      <c r="F174" s="191"/>
      <c r="G174" s="191"/>
      <c r="H174" s="191"/>
      <c r="I174" s="197"/>
      <c r="J174" s="199"/>
    </row>
    <row r="175" spans="1:10" ht="17.399999999999999" outlineLevel="1">
      <c r="A175" s="92"/>
      <c r="B175" s="156"/>
      <c r="C175" s="214" t="s">
        <v>249</v>
      </c>
      <c r="D175" s="195"/>
      <c r="E175" s="204"/>
      <c r="F175" s="191"/>
      <c r="G175" s="191"/>
      <c r="H175" s="191"/>
      <c r="I175" s="197"/>
      <c r="J175" s="199"/>
    </row>
    <row r="176" spans="1:10" ht="17.399999999999999" outlineLevel="1">
      <c r="A176" s="92"/>
      <c r="B176" s="156"/>
      <c r="C176" s="214" t="s">
        <v>250</v>
      </c>
      <c r="D176" s="195"/>
      <c r="E176" s="204"/>
      <c r="F176" s="191"/>
      <c r="G176" s="191"/>
      <c r="H176" s="191"/>
      <c r="I176" s="197"/>
      <c r="J176" s="199"/>
    </row>
    <row r="177" spans="1:10" ht="17.399999999999999" outlineLevel="1">
      <c r="A177" s="92"/>
      <c r="B177" s="156"/>
      <c r="C177" s="214" t="s">
        <v>251</v>
      </c>
      <c r="D177" s="195"/>
      <c r="E177" s="204"/>
      <c r="F177" s="191"/>
      <c r="G177" s="191"/>
      <c r="H177" s="191"/>
      <c r="I177" s="197"/>
      <c r="J177" s="199"/>
    </row>
    <row r="178" spans="1:10" ht="17.399999999999999" outlineLevel="1">
      <c r="A178" s="92"/>
      <c r="B178" s="156"/>
      <c r="C178" s="214" t="s">
        <v>252</v>
      </c>
      <c r="D178" s="195"/>
      <c r="E178" s="204"/>
      <c r="F178" s="191"/>
      <c r="G178" s="191"/>
      <c r="H178" s="191"/>
      <c r="I178" s="197"/>
      <c r="J178" s="199"/>
    </row>
    <row r="179" spans="1:10" ht="17.399999999999999" outlineLevel="1">
      <c r="A179" s="92"/>
      <c r="B179" s="156"/>
      <c r="C179" s="214" t="s">
        <v>253</v>
      </c>
      <c r="D179" s="195"/>
      <c r="E179" s="204"/>
      <c r="F179" s="191"/>
      <c r="G179" s="191"/>
      <c r="H179" s="191"/>
      <c r="I179" s="197"/>
      <c r="J179" s="199"/>
    </row>
    <row r="180" spans="1:10" ht="17.399999999999999" outlineLevel="1">
      <c r="A180" s="92"/>
      <c r="B180" s="156" t="s">
        <v>254</v>
      </c>
      <c r="C180" s="216"/>
      <c r="D180" s="195"/>
      <c r="E180" s="204"/>
      <c r="F180" s="191"/>
      <c r="G180" s="191"/>
      <c r="H180" s="191"/>
      <c r="I180" s="197"/>
      <c r="J180" s="199"/>
    </row>
    <row r="181" spans="1:10" ht="17.399999999999999" outlineLevel="1">
      <c r="A181" s="92"/>
      <c r="B181" s="156"/>
      <c r="C181" s="216"/>
      <c r="D181" s="195"/>
      <c r="E181" s="204"/>
      <c r="F181" s="191"/>
      <c r="G181" s="191"/>
      <c r="H181" s="191"/>
      <c r="I181" s="197"/>
      <c r="J181" s="199"/>
    </row>
    <row r="182" spans="1:10" ht="17.399999999999999" outlineLevel="1">
      <c r="A182" s="92"/>
      <c r="B182" s="156" t="s">
        <v>255</v>
      </c>
      <c r="C182" s="216"/>
      <c r="D182" s="195"/>
      <c r="E182" s="204"/>
      <c r="F182" s="191"/>
      <c r="G182" s="191"/>
      <c r="H182" s="191"/>
      <c r="I182" s="197"/>
      <c r="J182" s="199"/>
    </row>
    <row r="183" spans="1:10" outlineLevel="1">
      <c r="A183" s="92"/>
      <c r="B183" s="194" t="s">
        <v>257</v>
      </c>
      <c r="C183" s="215"/>
      <c r="D183" s="193"/>
      <c r="E183" s="194"/>
      <c r="F183" s="194"/>
      <c r="G183" s="194"/>
      <c r="H183" s="194"/>
      <c r="I183" s="194"/>
      <c r="J183" s="194"/>
    </row>
    <row r="184" spans="1:10" outlineLevel="1">
      <c r="A184" s="92"/>
      <c r="B184" s="198"/>
      <c r="C184" s="216"/>
      <c r="D184" s="195"/>
      <c r="E184" s="204"/>
      <c r="F184" s="191"/>
      <c r="G184" s="191"/>
      <c r="H184" s="191"/>
      <c r="I184" s="197"/>
      <c r="J184" s="199"/>
    </row>
    <row r="185" spans="1:10" ht="17.399999999999999" outlineLevel="1">
      <c r="A185" s="92"/>
      <c r="B185" s="198" t="s">
        <v>212</v>
      </c>
      <c r="C185" s="214" t="s">
        <v>213</v>
      </c>
      <c r="D185" s="195"/>
      <c r="E185" s="204"/>
      <c r="F185" s="191"/>
      <c r="G185" s="191"/>
      <c r="H185" s="191"/>
      <c r="I185" s="197"/>
      <c r="J185" s="199"/>
    </row>
    <row r="186" spans="1:10" ht="17.399999999999999" outlineLevel="1">
      <c r="A186" s="92"/>
      <c r="B186" s="198"/>
      <c r="C186" s="214" t="s">
        <v>214</v>
      </c>
      <c r="D186" s="195"/>
      <c r="E186" s="204"/>
      <c r="F186" s="191"/>
      <c r="G186" s="191"/>
      <c r="H186" s="191"/>
      <c r="I186" s="197"/>
      <c r="J186" s="199"/>
    </row>
    <row r="187" spans="1:10" ht="17.399999999999999" outlineLevel="1">
      <c r="A187" s="92"/>
      <c r="B187" s="198"/>
      <c r="C187" s="214" t="s">
        <v>215</v>
      </c>
      <c r="D187" s="195"/>
      <c r="E187" s="204"/>
      <c r="F187" s="191"/>
      <c r="G187" s="191"/>
      <c r="H187" s="191"/>
      <c r="I187" s="197"/>
      <c r="J187" s="199"/>
    </row>
    <row r="188" spans="1:10" ht="17.399999999999999" outlineLevel="1">
      <c r="A188" s="92"/>
      <c r="B188" s="198"/>
      <c r="C188" s="214" t="s">
        <v>216</v>
      </c>
      <c r="D188" s="195"/>
      <c r="E188" s="204"/>
      <c r="F188" s="191"/>
      <c r="G188" s="191"/>
      <c r="H188" s="191"/>
      <c r="I188" s="197"/>
      <c r="J188" s="199"/>
    </row>
    <row r="189" spans="1:10" ht="17.399999999999999" outlineLevel="1">
      <c r="A189" s="92"/>
      <c r="B189" s="198"/>
      <c r="C189" s="214" t="s">
        <v>217</v>
      </c>
      <c r="D189" s="195"/>
      <c r="E189" s="204"/>
      <c r="F189" s="191"/>
      <c r="G189" s="191"/>
      <c r="H189" s="191"/>
      <c r="I189" s="197"/>
      <c r="J189" s="199"/>
    </row>
    <row r="190" spans="1:10" ht="17.399999999999999" outlineLevel="1">
      <c r="A190" s="92"/>
      <c r="B190" s="198"/>
      <c r="C190" s="214" t="s">
        <v>218</v>
      </c>
      <c r="D190" s="195"/>
      <c r="E190" s="204"/>
      <c r="F190" s="191"/>
      <c r="G190" s="191"/>
      <c r="H190" s="191"/>
      <c r="I190" s="197"/>
      <c r="J190" s="199"/>
    </row>
    <row r="191" spans="1:10" ht="17.399999999999999" outlineLevel="1">
      <c r="A191" s="92"/>
      <c r="B191" s="198"/>
      <c r="C191" s="214" t="s">
        <v>219</v>
      </c>
      <c r="D191" s="195"/>
      <c r="E191" s="204"/>
      <c r="F191" s="191"/>
      <c r="G191" s="191"/>
      <c r="H191" s="191"/>
      <c r="I191" s="197"/>
      <c r="J191" s="199"/>
    </row>
    <row r="192" spans="1:10" ht="17.399999999999999" outlineLevel="1">
      <c r="A192" s="92"/>
      <c r="B192" s="198"/>
      <c r="C192" s="214" t="s">
        <v>220</v>
      </c>
      <c r="D192" s="195"/>
      <c r="E192" s="204"/>
      <c r="F192" s="191"/>
      <c r="G192" s="191"/>
      <c r="H192" s="191"/>
      <c r="I192" s="197"/>
      <c r="J192" s="199"/>
    </row>
    <row r="193" spans="1:10" ht="17.399999999999999" outlineLevel="1">
      <c r="A193" s="92"/>
      <c r="B193" s="198"/>
      <c r="C193" s="214" t="s">
        <v>221</v>
      </c>
      <c r="D193" s="195"/>
      <c r="E193" s="204"/>
      <c r="F193" s="191"/>
      <c r="G193" s="191"/>
      <c r="H193" s="191"/>
      <c r="I193" s="197"/>
      <c r="J193" s="199"/>
    </row>
    <row r="194" spans="1:10" ht="17.399999999999999" outlineLevel="1">
      <c r="A194" s="92"/>
      <c r="B194" s="198" t="s">
        <v>222</v>
      </c>
      <c r="C194" s="214" t="s">
        <v>223</v>
      </c>
      <c r="D194" s="195"/>
      <c r="E194" s="204"/>
      <c r="F194" s="191"/>
      <c r="G194" s="191"/>
      <c r="H194" s="191"/>
      <c r="I194" s="197"/>
      <c r="J194" s="199"/>
    </row>
    <row r="195" spans="1:10" ht="17.399999999999999" outlineLevel="1">
      <c r="A195" s="92"/>
      <c r="B195" s="198"/>
      <c r="C195" s="214" t="s">
        <v>224</v>
      </c>
      <c r="D195" s="195"/>
      <c r="E195" s="204"/>
      <c r="F195" s="191"/>
      <c r="G195" s="191"/>
      <c r="H195" s="191"/>
      <c r="I195" s="197"/>
      <c r="J195" s="199"/>
    </row>
    <row r="196" spans="1:10" ht="17.399999999999999" outlineLevel="1">
      <c r="A196" s="92"/>
      <c r="B196" s="198"/>
      <c r="C196" s="214" t="s">
        <v>225</v>
      </c>
      <c r="D196" s="195"/>
      <c r="E196" s="204"/>
      <c r="F196" s="191"/>
      <c r="G196" s="191"/>
      <c r="H196" s="191"/>
      <c r="I196" s="197"/>
      <c r="J196" s="199"/>
    </row>
    <row r="197" spans="1:10" ht="17.399999999999999" outlineLevel="1">
      <c r="A197" s="92"/>
      <c r="B197" s="198"/>
      <c r="C197" s="214" t="s">
        <v>226</v>
      </c>
      <c r="D197" s="195"/>
      <c r="E197" s="204"/>
      <c r="F197" s="191"/>
      <c r="G197" s="191"/>
      <c r="H197" s="191"/>
      <c r="I197" s="197"/>
      <c r="J197" s="199"/>
    </row>
    <row r="198" spans="1:10" ht="34.799999999999997" outlineLevel="1">
      <c r="A198" s="92"/>
      <c r="B198" s="198"/>
      <c r="C198" s="214" t="s">
        <v>227</v>
      </c>
      <c r="D198" s="195"/>
      <c r="E198" s="204"/>
      <c r="F198" s="191"/>
      <c r="G198" s="191"/>
      <c r="H198" s="191"/>
      <c r="I198" s="197"/>
      <c r="J198" s="199"/>
    </row>
    <row r="199" spans="1:10" ht="17.399999999999999" outlineLevel="1">
      <c r="A199" s="92"/>
      <c r="B199" s="198"/>
      <c r="C199" s="214" t="s">
        <v>229</v>
      </c>
      <c r="D199" s="195"/>
      <c r="E199" s="204"/>
      <c r="F199" s="191"/>
      <c r="G199" s="191"/>
      <c r="H199" s="191"/>
      <c r="I199" s="197"/>
      <c r="J199" s="199"/>
    </row>
    <row r="200" spans="1:10" ht="17.399999999999999" outlineLevel="1">
      <c r="A200" s="92"/>
      <c r="B200" s="198"/>
      <c r="C200" s="214" t="s">
        <v>230</v>
      </c>
      <c r="D200" s="195"/>
      <c r="E200" s="204"/>
      <c r="F200" s="191"/>
      <c r="G200" s="191"/>
      <c r="H200" s="191"/>
      <c r="I200" s="197"/>
      <c r="J200" s="199"/>
    </row>
    <row r="201" spans="1:10" ht="17.399999999999999" outlineLevel="1">
      <c r="A201" s="92"/>
      <c r="B201" s="198"/>
      <c r="C201" s="214" t="s">
        <v>231</v>
      </c>
      <c r="D201" s="195"/>
      <c r="E201" s="204"/>
      <c r="F201" s="191"/>
      <c r="G201" s="191"/>
      <c r="H201" s="191"/>
      <c r="I201" s="197"/>
      <c r="J201" s="199"/>
    </row>
    <row r="202" spans="1:10" ht="34.799999999999997" outlineLevel="1">
      <c r="A202" s="92"/>
      <c r="B202" s="198" t="s">
        <v>232</v>
      </c>
      <c r="C202" s="214" t="s">
        <v>233</v>
      </c>
      <c r="D202" s="195"/>
      <c r="E202" s="204"/>
      <c r="F202" s="191"/>
      <c r="G202" s="191"/>
      <c r="H202" s="191"/>
      <c r="I202" s="197"/>
      <c r="J202" s="199"/>
    </row>
    <row r="203" spans="1:10" ht="17.399999999999999" outlineLevel="1">
      <c r="A203" s="92"/>
      <c r="B203" s="198"/>
      <c r="C203" s="214" t="s">
        <v>234</v>
      </c>
      <c r="D203" s="195"/>
      <c r="E203" s="204"/>
      <c r="F203" s="191"/>
      <c r="G203" s="191"/>
      <c r="H203" s="191"/>
      <c r="I203" s="197"/>
      <c r="J203" s="199"/>
    </row>
    <row r="204" spans="1:10" ht="17.399999999999999" outlineLevel="1">
      <c r="A204" s="92"/>
      <c r="B204" s="198"/>
      <c r="C204" s="214" t="s">
        <v>235</v>
      </c>
      <c r="D204" s="195"/>
      <c r="E204" s="204"/>
      <c r="F204" s="191"/>
      <c r="G204" s="191"/>
      <c r="H204" s="191"/>
      <c r="I204" s="197"/>
      <c r="J204" s="199"/>
    </row>
    <row r="205" spans="1:10" ht="34.799999999999997" outlineLevel="1">
      <c r="A205" s="92"/>
      <c r="B205" s="198"/>
      <c r="C205" s="214" t="s">
        <v>236</v>
      </c>
      <c r="D205" s="195"/>
      <c r="E205" s="204"/>
      <c r="F205" s="191"/>
      <c r="G205" s="191"/>
      <c r="H205" s="191"/>
      <c r="I205" s="197"/>
      <c r="J205" s="199"/>
    </row>
    <row r="206" spans="1:10" ht="17.399999999999999" outlineLevel="1">
      <c r="A206" s="92"/>
      <c r="B206" s="198" t="s">
        <v>237</v>
      </c>
      <c r="C206" s="214" t="s">
        <v>238</v>
      </c>
      <c r="D206" s="195"/>
      <c r="E206" s="204"/>
      <c r="F206" s="191"/>
      <c r="G206" s="191"/>
      <c r="H206" s="191"/>
      <c r="I206" s="197"/>
      <c r="J206" s="199"/>
    </row>
    <row r="207" spans="1:10" ht="17.399999999999999" outlineLevel="1">
      <c r="A207" s="92"/>
      <c r="B207" s="198"/>
      <c r="C207" s="214" t="s">
        <v>239</v>
      </c>
      <c r="D207" s="195"/>
      <c r="E207" s="204"/>
      <c r="F207" s="191"/>
      <c r="G207" s="191"/>
      <c r="H207" s="191"/>
      <c r="I207" s="197"/>
      <c r="J207" s="199"/>
    </row>
    <row r="208" spans="1:10" ht="17.399999999999999" outlineLevel="1">
      <c r="A208" s="92"/>
      <c r="B208" s="198"/>
      <c r="C208" s="214" t="s">
        <v>240</v>
      </c>
      <c r="D208" s="195"/>
      <c r="E208" s="204"/>
      <c r="F208" s="191"/>
      <c r="G208" s="191"/>
      <c r="H208" s="191"/>
      <c r="I208" s="197"/>
      <c r="J208" s="199"/>
    </row>
    <row r="209" spans="1:10" ht="17.399999999999999" outlineLevel="1">
      <c r="A209" s="92"/>
      <c r="B209" s="198"/>
      <c r="C209" s="214" t="s">
        <v>241</v>
      </c>
      <c r="D209" s="195"/>
      <c r="E209" s="204"/>
      <c r="F209" s="191"/>
      <c r="G209" s="191"/>
      <c r="H209" s="191"/>
      <c r="I209" s="197"/>
      <c r="J209" s="199"/>
    </row>
    <row r="210" spans="1:10" ht="17.399999999999999" outlineLevel="1">
      <c r="A210" s="92"/>
      <c r="B210" s="198"/>
      <c r="C210" s="214" t="s">
        <v>242</v>
      </c>
      <c r="D210" s="195"/>
      <c r="E210" s="204"/>
      <c r="F210" s="191"/>
      <c r="G210" s="191"/>
      <c r="H210" s="191"/>
      <c r="I210" s="197"/>
      <c r="J210" s="199"/>
    </row>
    <row r="211" spans="1:10" ht="17.399999999999999" outlineLevel="1">
      <c r="A211" s="92"/>
      <c r="B211" s="198"/>
      <c r="C211" s="214" t="s">
        <v>243</v>
      </c>
      <c r="D211" s="195"/>
      <c r="E211" s="204"/>
      <c r="F211" s="191"/>
      <c r="G211" s="191"/>
      <c r="H211" s="191"/>
      <c r="I211" s="197"/>
      <c r="J211" s="199"/>
    </row>
    <row r="212" spans="1:10" ht="17.399999999999999" outlineLevel="1">
      <c r="A212" s="92"/>
      <c r="B212" s="198"/>
      <c r="C212" s="214" t="s">
        <v>244</v>
      </c>
      <c r="D212" s="195"/>
      <c r="E212" s="204"/>
      <c r="F212" s="191"/>
      <c r="G212" s="191"/>
      <c r="H212" s="191"/>
      <c r="I212" s="197"/>
      <c r="J212" s="199"/>
    </row>
    <row r="213" spans="1:10" ht="17.399999999999999" outlineLevel="1">
      <c r="A213" s="92"/>
      <c r="B213" s="198"/>
      <c r="C213" s="214" t="s">
        <v>245</v>
      </c>
      <c r="D213" s="195"/>
      <c r="E213" s="204"/>
      <c r="F213" s="191"/>
      <c r="G213" s="191"/>
      <c r="H213" s="191"/>
      <c r="I213" s="197"/>
      <c r="J213" s="199"/>
    </row>
    <row r="214" spans="1:10" ht="17.399999999999999" outlineLevel="1">
      <c r="A214" s="92"/>
      <c r="B214" s="198"/>
      <c r="C214" s="214" t="s">
        <v>246</v>
      </c>
      <c r="D214" s="195"/>
      <c r="E214" s="204"/>
      <c r="F214" s="191"/>
      <c r="G214" s="191"/>
      <c r="H214" s="191"/>
      <c r="I214" s="197"/>
      <c r="J214" s="199"/>
    </row>
    <row r="215" spans="1:10" ht="17.399999999999999" outlineLevel="1">
      <c r="A215" s="92"/>
      <c r="B215" s="198"/>
      <c r="C215" s="214" t="s">
        <v>247</v>
      </c>
      <c r="D215" s="195"/>
      <c r="E215" s="204"/>
      <c r="F215" s="191"/>
      <c r="G215" s="191"/>
      <c r="H215" s="191"/>
      <c r="I215" s="197"/>
      <c r="J215" s="199"/>
    </row>
    <row r="216" spans="1:10" ht="17.399999999999999" outlineLevel="1">
      <c r="A216" s="92"/>
      <c r="B216" s="198"/>
      <c r="C216" s="214" t="s">
        <v>248</v>
      </c>
      <c r="D216" s="195"/>
      <c r="E216" s="204"/>
      <c r="F216" s="191"/>
      <c r="G216" s="191"/>
      <c r="H216" s="191"/>
      <c r="I216" s="197"/>
      <c r="J216" s="199"/>
    </row>
    <row r="217" spans="1:10" ht="17.399999999999999" outlineLevel="1">
      <c r="A217" s="92"/>
      <c r="B217" s="198"/>
      <c r="C217" s="214" t="s">
        <v>249</v>
      </c>
      <c r="D217" s="195"/>
      <c r="E217" s="204"/>
      <c r="F217" s="191"/>
      <c r="G217" s="191"/>
      <c r="H217" s="191"/>
      <c r="I217" s="197"/>
      <c r="J217" s="199"/>
    </row>
    <row r="218" spans="1:10" ht="17.399999999999999" outlineLevel="1">
      <c r="A218" s="92"/>
      <c r="B218" s="198"/>
      <c r="C218" s="214" t="s">
        <v>250</v>
      </c>
      <c r="D218" s="195"/>
      <c r="E218" s="204"/>
      <c r="F218" s="191"/>
      <c r="G218" s="191"/>
      <c r="H218" s="191"/>
      <c r="I218" s="197"/>
      <c r="J218" s="199"/>
    </row>
    <row r="219" spans="1:10" ht="17.399999999999999" outlineLevel="1">
      <c r="A219" s="92"/>
      <c r="B219" s="198"/>
      <c r="C219" s="214" t="s">
        <v>251</v>
      </c>
      <c r="D219" s="195"/>
      <c r="E219" s="204"/>
      <c r="F219" s="191"/>
      <c r="G219" s="191"/>
      <c r="H219" s="191"/>
      <c r="I219" s="197"/>
      <c r="J219" s="199"/>
    </row>
    <row r="220" spans="1:10" ht="17.399999999999999" outlineLevel="1">
      <c r="A220" s="92"/>
      <c r="B220" s="198"/>
      <c r="C220" s="214" t="s">
        <v>252</v>
      </c>
      <c r="D220" s="195"/>
      <c r="E220" s="204"/>
      <c r="F220" s="191"/>
      <c r="G220" s="191"/>
      <c r="H220" s="191"/>
      <c r="I220" s="197"/>
      <c r="J220" s="199"/>
    </row>
    <row r="221" spans="1:10" ht="17.399999999999999" outlineLevel="1">
      <c r="A221" s="92"/>
      <c r="B221" s="198"/>
      <c r="C221" s="214" t="s">
        <v>253</v>
      </c>
      <c r="D221" s="195"/>
      <c r="E221" s="204"/>
      <c r="F221" s="191"/>
      <c r="G221" s="191"/>
      <c r="H221" s="191"/>
      <c r="I221" s="197"/>
      <c r="J221" s="199"/>
    </row>
    <row r="222" spans="1:10" ht="17.399999999999999" outlineLevel="1">
      <c r="A222" s="92"/>
      <c r="B222" s="156" t="s">
        <v>254</v>
      </c>
      <c r="C222" s="216"/>
      <c r="D222" s="195"/>
      <c r="E222" s="204"/>
      <c r="F222" s="191"/>
      <c r="G222" s="191"/>
      <c r="H222" s="191"/>
      <c r="I222" s="197"/>
      <c r="J222" s="199"/>
    </row>
    <row r="223" spans="1:10" ht="17.399999999999999" outlineLevel="1">
      <c r="A223" s="92"/>
      <c r="B223" s="156"/>
      <c r="C223" s="216"/>
      <c r="D223" s="195"/>
      <c r="E223" s="204"/>
      <c r="F223" s="191"/>
      <c r="G223" s="191"/>
      <c r="H223" s="191"/>
      <c r="I223" s="197"/>
      <c r="J223" s="199"/>
    </row>
    <row r="224" spans="1:10" ht="17.399999999999999" outlineLevel="1">
      <c r="A224" s="92"/>
      <c r="B224" s="156" t="s">
        <v>255</v>
      </c>
      <c r="C224" s="216"/>
      <c r="D224" s="195"/>
      <c r="E224" s="204"/>
      <c r="F224" s="191"/>
      <c r="G224" s="191"/>
      <c r="H224" s="191"/>
      <c r="I224" s="197"/>
      <c r="J224" s="199"/>
    </row>
    <row r="225" spans="1:10" outlineLevel="1">
      <c r="A225" s="92"/>
      <c r="B225" s="194" t="s">
        <v>258</v>
      </c>
      <c r="C225" s="215"/>
      <c r="D225" s="193"/>
      <c r="E225" s="194"/>
      <c r="F225" s="194"/>
      <c r="G225" s="194"/>
      <c r="H225" s="194"/>
      <c r="I225" s="194"/>
      <c r="J225" s="194"/>
    </row>
    <row r="226" spans="1:10" outlineLevel="1">
      <c r="A226" s="92"/>
      <c r="B226" s="198"/>
      <c r="C226" s="216"/>
      <c r="D226" s="195"/>
      <c r="E226" s="204"/>
      <c r="F226" s="191"/>
      <c r="G226" s="191"/>
      <c r="H226" s="191"/>
      <c r="I226" s="197"/>
      <c r="J226" s="199"/>
    </row>
    <row r="227" spans="1:10" ht="17.399999999999999" outlineLevel="1">
      <c r="A227" s="92"/>
      <c r="B227" s="198" t="s">
        <v>212</v>
      </c>
      <c r="C227" s="214" t="s">
        <v>213</v>
      </c>
      <c r="D227" s="195"/>
      <c r="E227" s="204"/>
      <c r="F227" s="191"/>
      <c r="G227" s="191"/>
      <c r="H227" s="191"/>
      <c r="I227" s="197"/>
      <c r="J227" s="199"/>
    </row>
    <row r="228" spans="1:10" ht="17.399999999999999" outlineLevel="1">
      <c r="A228" s="92"/>
      <c r="B228" s="198"/>
      <c r="C228" s="214" t="s">
        <v>214</v>
      </c>
      <c r="D228" s="195"/>
      <c r="E228" s="204"/>
      <c r="F228" s="191"/>
      <c r="G228" s="191"/>
      <c r="H228" s="191"/>
      <c r="I228" s="197"/>
      <c r="J228" s="199"/>
    </row>
    <row r="229" spans="1:10" ht="17.399999999999999" outlineLevel="1">
      <c r="A229" s="92"/>
      <c r="B229" s="198"/>
      <c r="C229" s="214" t="s">
        <v>215</v>
      </c>
      <c r="D229" s="195"/>
      <c r="E229" s="204"/>
      <c r="F229" s="191"/>
      <c r="G229" s="191"/>
      <c r="H229" s="191"/>
      <c r="I229" s="197"/>
      <c r="J229" s="199"/>
    </row>
    <row r="230" spans="1:10" ht="17.399999999999999" outlineLevel="1">
      <c r="A230" s="92"/>
      <c r="B230" s="198"/>
      <c r="C230" s="214" t="s">
        <v>216</v>
      </c>
      <c r="D230" s="195"/>
      <c r="E230" s="204"/>
      <c r="F230" s="191"/>
      <c r="G230" s="191"/>
      <c r="H230" s="191"/>
      <c r="I230" s="197"/>
      <c r="J230" s="199"/>
    </row>
    <row r="231" spans="1:10" ht="17.399999999999999" outlineLevel="1">
      <c r="A231" s="92"/>
      <c r="B231" s="198"/>
      <c r="C231" s="214" t="s">
        <v>217</v>
      </c>
      <c r="D231" s="195"/>
      <c r="E231" s="204"/>
      <c r="F231" s="191"/>
      <c r="G231" s="191"/>
      <c r="H231" s="191"/>
      <c r="I231" s="197"/>
      <c r="J231" s="199"/>
    </row>
    <row r="232" spans="1:10" ht="17.399999999999999" outlineLevel="1">
      <c r="A232" s="92"/>
      <c r="B232" s="198"/>
      <c r="C232" s="214" t="s">
        <v>218</v>
      </c>
      <c r="D232" s="195"/>
      <c r="E232" s="204"/>
      <c r="F232" s="191"/>
      <c r="G232" s="191"/>
      <c r="H232" s="191"/>
      <c r="I232" s="197"/>
      <c r="J232" s="199"/>
    </row>
    <row r="233" spans="1:10" ht="17.399999999999999" outlineLevel="1">
      <c r="A233" s="92"/>
      <c r="B233" s="198"/>
      <c r="C233" s="214" t="s">
        <v>219</v>
      </c>
      <c r="D233" s="195"/>
      <c r="E233" s="204"/>
      <c r="F233" s="191"/>
      <c r="G233" s="191"/>
      <c r="H233" s="191"/>
      <c r="I233" s="197"/>
      <c r="J233" s="199"/>
    </row>
    <row r="234" spans="1:10" ht="17.399999999999999" outlineLevel="1">
      <c r="A234" s="92"/>
      <c r="B234" s="198"/>
      <c r="C234" s="214" t="s">
        <v>220</v>
      </c>
      <c r="D234" s="195"/>
      <c r="E234" s="204"/>
      <c r="F234" s="191"/>
      <c r="G234" s="191"/>
      <c r="H234" s="191"/>
      <c r="I234" s="197"/>
      <c r="J234" s="199"/>
    </row>
    <row r="235" spans="1:10" ht="17.399999999999999" outlineLevel="1">
      <c r="A235" s="92"/>
      <c r="B235" s="198"/>
      <c r="C235" s="214" t="s">
        <v>221</v>
      </c>
      <c r="D235" s="195"/>
      <c r="E235" s="204"/>
      <c r="F235" s="191"/>
      <c r="G235" s="191"/>
      <c r="H235" s="191"/>
      <c r="I235" s="197"/>
      <c r="J235" s="199"/>
    </row>
    <row r="236" spans="1:10" ht="17.399999999999999" outlineLevel="1">
      <c r="A236" s="92"/>
      <c r="B236" s="198" t="s">
        <v>222</v>
      </c>
      <c r="C236" s="214" t="s">
        <v>223</v>
      </c>
      <c r="D236" s="195"/>
      <c r="E236" s="204"/>
      <c r="F236" s="191"/>
      <c r="G236" s="191"/>
      <c r="H236" s="191"/>
      <c r="I236" s="197"/>
      <c r="J236" s="199"/>
    </row>
    <row r="237" spans="1:10" ht="17.399999999999999" outlineLevel="1">
      <c r="A237" s="92"/>
      <c r="B237" s="198"/>
      <c r="C237" s="214" t="s">
        <v>224</v>
      </c>
      <c r="D237" s="195"/>
      <c r="E237" s="204"/>
      <c r="F237" s="191"/>
      <c r="G237" s="191"/>
      <c r="H237" s="191"/>
      <c r="I237" s="197"/>
      <c r="J237" s="199"/>
    </row>
    <row r="238" spans="1:10" ht="17.399999999999999" outlineLevel="1">
      <c r="A238" s="92"/>
      <c r="B238" s="198"/>
      <c r="C238" s="214" t="s">
        <v>225</v>
      </c>
      <c r="D238" s="195"/>
      <c r="E238" s="204"/>
      <c r="F238" s="191"/>
      <c r="G238" s="191"/>
      <c r="H238" s="191"/>
      <c r="I238" s="197"/>
      <c r="J238" s="199"/>
    </row>
    <row r="239" spans="1:10" ht="17.399999999999999" outlineLevel="1">
      <c r="A239" s="92"/>
      <c r="B239" s="198"/>
      <c r="C239" s="214" t="s">
        <v>226</v>
      </c>
      <c r="D239" s="195"/>
      <c r="E239" s="204"/>
      <c r="F239" s="191"/>
      <c r="G239" s="191"/>
      <c r="H239" s="191"/>
      <c r="I239" s="197"/>
      <c r="J239" s="199"/>
    </row>
    <row r="240" spans="1:10" ht="34.799999999999997" outlineLevel="1">
      <c r="A240" s="92"/>
      <c r="B240" s="198"/>
      <c r="C240" s="214" t="s">
        <v>227</v>
      </c>
      <c r="D240" s="195"/>
      <c r="E240" s="204"/>
      <c r="F240" s="191"/>
      <c r="G240" s="191"/>
      <c r="H240" s="191"/>
      <c r="I240" s="197"/>
      <c r="J240" s="199"/>
    </row>
    <row r="241" spans="1:10" ht="17.399999999999999" outlineLevel="1">
      <c r="A241" s="92"/>
      <c r="B241" s="198"/>
      <c r="C241" s="214" t="s">
        <v>229</v>
      </c>
      <c r="D241" s="195"/>
      <c r="E241" s="204"/>
      <c r="F241" s="191"/>
      <c r="G241" s="191"/>
      <c r="H241" s="191"/>
      <c r="I241" s="197"/>
      <c r="J241" s="199"/>
    </row>
    <row r="242" spans="1:10" ht="17.399999999999999" outlineLevel="1">
      <c r="A242" s="92"/>
      <c r="B242" s="198"/>
      <c r="C242" s="214" t="s">
        <v>230</v>
      </c>
      <c r="D242" s="195"/>
      <c r="E242" s="204"/>
      <c r="F242" s="191"/>
      <c r="G242" s="191"/>
      <c r="H242" s="191"/>
      <c r="I242" s="197"/>
      <c r="J242" s="199"/>
    </row>
    <row r="243" spans="1:10" ht="17.399999999999999" outlineLevel="1">
      <c r="A243" s="92"/>
      <c r="B243" s="198"/>
      <c r="C243" s="214" t="s">
        <v>231</v>
      </c>
      <c r="D243" s="195"/>
      <c r="E243" s="204"/>
      <c r="F243" s="191"/>
      <c r="G243" s="191"/>
      <c r="H243" s="191"/>
      <c r="I243" s="197"/>
      <c r="J243" s="199"/>
    </row>
    <row r="244" spans="1:10" ht="34.799999999999997" outlineLevel="1">
      <c r="A244" s="92"/>
      <c r="B244" s="198" t="s">
        <v>232</v>
      </c>
      <c r="C244" s="214" t="s">
        <v>233</v>
      </c>
      <c r="D244" s="195"/>
      <c r="E244" s="204"/>
      <c r="F244" s="191"/>
      <c r="G244" s="191"/>
      <c r="H244" s="191"/>
      <c r="I244" s="197"/>
      <c r="J244" s="199"/>
    </row>
    <row r="245" spans="1:10" ht="17.399999999999999" outlineLevel="1">
      <c r="A245" s="92"/>
      <c r="B245" s="198"/>
      <c r="C245" s="214" t="s">
        <v>234</v>
      </c>
      <c r="D245" s="195"/>
      <c r="E245" s="204"/>
      <c r="F245" s="191"/>
      <c r="G245" s="191"/>
      <c r="H245" s="191"/>
      <c r="I245" s="197"/>
      <c r="J245" s="199"/>
    </row>
    <row r="246" spans="1:10" ht="17.399999999999999" outlineLevel="1">
      <c r="A246" s="92"/>
      <c r="B246" s="198"/>
      <c r="C246" s="214" t="s">
        <v>235</v>
      </c>
      <c r="D246" s="195"/>
      <c r="E246" s="204"/>
      <c r="F246" s="191"/>
      <c r="G246" s="191"/>
      <c r="H246" s="191"/>
      <c r="I246" s="197"/>
      <c r="J246" s="199"/>
    </row>
    <row r="247" spans="1:10" ht="34.799999999999997" outlineLevel="1">
      <c r="A247" s="92"/>
      <c r="B247" s="198"/>
      <c r="C247" s="214" t="s">
        <v>236</v>
      </c>
      <c r="D247" s="195"/>
      <c r="E247" s="204"/>
      <c r="F247" s="191"/>
      <c r="G247" s="191"/>
      <c r="H247" s="191"/>
      <c r="I247" s="197"/>
      <c r="J247" s="199"/>
    </row>
    <row r="248" spans="1:10" ht="17.399999999999999" outlineLevel="1">
      <c r="A248" s="92"/>
      <c r="B248" s="198" t="s">
        <v>237</v>
      </c>
      <c r="C248" s="214" t="s">
        <v>238</v>
      </c>
      <c r="D248" s="195"/>
      <c r="E248" s="204"/>
      <c r="F248" s="191"/>
      <c r="G248" s="191"/>
      <c r="H248" s="191"/>
      <c r="I248" s="197"/>
      <c r="J248" s="199"/>
    </row>
    <row r="249" spans="1:10" ht="17.399999999999999" outlineLevel="1">
      <c r="A249" s="92"/>
      <c r="B249" s="198"/>
      <c r="C249" s="214" t="s">
        <v>239</v>
      </c>
      <c r="D249" s="195"/>
      <c r="E249" s="204"/>
      <c r="F249" s="191"/>
      <c r="G249" s="191"/>
      <c r="H249" s="191"/>
      <c r="I249" s="197"/>
      <c r="J249" s="199"/>
    </row>
    <row r="250" spans="1:10" ht="17.399999999999999" outlineLevel="1">
      <c r="A250" s="92"/>
      <c r="B250" s="198"/>
      <c r="C250" s="214" t="s">
        <v>240</v>
      </c>
      <c r="D250" s="195"/>
      <c r="E250" s="204"/>
      <c r="F250" s="191"/>
      <c r="G250" s="191"/>
      <c r="H250" s="191"/>
      <c r="I250" s="197"/>
      <c r="J250" s="199"/>
    </row>
    <row r="251" spans="1:10" ht="17.399999999999999" outlineLevel="1">
      <c r="A251" s="92"/>
      <c r="B251" s="198"/>
      <c r="C251" s="214" t="s">
        <v>241</v>
      </c>
      <c r="D251" s="195"/>
      <c r="E251" s="204"/>
      <c r="F251" s="191"/>
      <c r="G251" s="191"/>
      <c r="H251" s="191"/>
      <c r="I251" s="197"/>
      <c r="J251" s="199"/>
    </row>
    <row r="252" spans="1:10" ht="17.399999999999999" outlineLevel="1">
      <c r="A252" s="92"/>
      <c r="B252" s="198"/>
      <c r="C252" s="214" t="s">
        <v>242</v>
      </c>
      <c r="D252" s="195"/>
      <c r="E252" s="204"/>
      <c r="F252" s="191"/>
      <c r="G252" s="191"/>
      <c r="H252" s="191"/>
      <c r="I252" s="197"/>
      <c r="J252" s="199"/>
    </row>
    <row r="253" spans="1:10" ht="17.399999999999999" outlineLevel="1">
      <c r="A253" s="92"/>
      <c r="B253" s="198"/>
      <c r="C253" s="214" t="s">
        <v>243</v>
      </c>
      <c r="D253" s="195"/>
      <c r="E253" s="204"/>
      <c r="F253" s="191"/>
      <c r="G253" s="191"/>
      <c r="H253" s="191"/>
      <c r="I253" s="197"/>
      <c r="J253" s="199"/>
    </row>
    <row r="254" spans="1:10" ht="17.399999999999999" outlineLevel="1">
      <c r="A254" s="92"/>
      <c r="B254" s="198"/>
      <c r="C254" s="214" t="s">
        <v>244</v>
      </c>
      <c r="D254" s="195"/>
      <c r="E254" s="204"/>
      <c r="F254" s="191"/>
      <c r="G254" s="191"/>
      <c r="H254" s="191"/>
      <c r="I254" s="197"/>
      <c r="J254" s="199"/>
    </row>
    <row r="255" spans="1:10" ht="17.399999999999999" outlineLevel="1">
      <c r="A255" s="92"/>
      <c r="B255" s="198"/>
      <c r="C255" s="214" t="s">
        <v>245</v>
      </c>
      <c r="D255" s="195"/>
      <c r="E255" s="204"/>
      <c r="F255" s="191"/>
      <c r="G255" s="191"/>
      <c r="H255" s="191"/>
      <c r="I255" s="197"/>
      <c r="J255" s="199"/>
    </row>
    <row r="256" spans="1:10" ht="17.399999999999999" outlineLevel="1">
      <c r="A256" s="92"/>
      <c r="B256" s="198"/>
      <c r="C256" s="214" t="s">
        <v>246</v>
      </c>
      <c r="D256" s="195"/>
      <c r="E256" s="204"/>
      <c r="F256" s="191"/>
      <c r="G256" s="191"/>
      <c r="H256" s="191"/>
      <c r="I256" s="197"/>
      <c r="J256" s="199"/>
    </row>
    <row r="257" spans="1:10" ht="17.399999999999999" outlineLevel="1">
      <c r="A257" s="92"/>
      <c r="B257" s="198"/>
      <c r="C257" s="214" t="s">
        <v>247</v>
      </c>
      <c r="D257" s="195"/>
      <c r="E257" s="204"/>
      <c r="F257" s="191"/>
      <c r="G257" s="191"/>
      <c r="H257" s="191"/>
      <c r="I257" s="197"/>
      <c r="J257" s="199"/>
    </row>
    <row r="258" spans="1:10" ht="17.399999999999999" outlineLevel="1">
      <c r="A258" s="92"/>
      <c r="B258" s="198"/>
      <c r="C258" s="214" t="s">
        <v>248</v>
      </c>
      <c r="D258" s="195"/>
      <c r="E258" s="204"/>
      <c r="F258" s="191"/>
      <c r="G258" s="191"/>
      <c r="H258" s="191"/>
      <c r="I258" s="197"/>
      <c r="J258" s="199"/>
    </row>
    <row r="259" spans="1:10" ht="17.399999999999999" outlineLevel="1">
      <c r="A259" s="92"/>
      <c r="B259" s="198"/>
      <c r="C259" s="214" t="s">
        <v>249</v>
      </c>
      <c r="D259" s="195"/>
      <c r="E259" s="204"/>
      <c r="F259" s="191"/>
      <c r="G259" s="191"/>
      <c r="H259" s="191"/>
      <c r="I259" s="197"/>
      <c r="J259" s="199"/>
    </row>
    <row r="260" spans="1:10" ht="17.399999999999999" outlineLevel="1">
      <c r="A260" s="92"/>
      <c r="B260" s="198"/>
      <c r="C260" s="214" t="s">
        <v>250</v>
      </c>
      <c r="D260" s="195"/>
      <c r="E260" s="204"/>
      <c r="F260" s="191"/>
      <c r="G260" s="191"/>
      <c r="H260" s="191"/>
      <c r="I260" s="197"/>
      <c r="J260" s="199"/>
    </row>
    <row r="261" spans="1:10" s="90" customFormat="1" ht="17.399999999999999" outlineLevel="1">
      <c r="A261" s="205"/>
      <c r="B261" s="198"/>
      <c r="C261" s="214" t="s">
        <v>251</v>
      </c>
      <c r="D261" s="100"/>
      <c r="H261" s="191"/>
    </row>
    <row r="262" spans="1:10" ht="17.399999999999999" outlineLevel="1">
      <c r="A262" s="92"/>
      <c r="B262" s="198"/>
      <c r="C262" s="214" t="s">
        <v>252</v>
      </c>
      <c r="D262" s="195"/>
      <c r="E262" s="204"/>
      <c r="F262" s="191"/>
      <c r="G262" s="191"/>
      <c r="H262" s="191"/>
      <c r="I262" s="197"/>
      <c r="J262" s="199"/>
    </row>
    <row r="263" spans="1:10" ht="17.399999999999999" outlineLevel="1">
      <c r="A263" s="92"/>
      <c r="B263" s="198"/>
      <c r="C263" s="214" t="s">
        <v>253</v>
      </c>
      <c r="D263" s="195"/>
      <c r="E263" s="204"/>
      <c r="F263" s="191"/>
      <c r="G263" s="191"/>
      <c r="H263" s="191"/>
      <c r="I263" s="197"/>
      <c r="J263" s="199"/>
    </row>
    <row r="264" spans="1:10" ht="17.399999999999999" outlineLevel="1">
      <c r="A264" s="92"/>
      <c r="B264" s="156" t="s">
        <v>254</v>
      </c>
      <c r="C264" s="216"/>
      <c r="D264" s="195"/>
      <c r="E264" s="204"/>
      <c r="F264" s="191"/>
      <c r="G264" s="191"/>
      <c r="H264" s="191"/>
      <c r="I264" s="197"/>
      <c r="J264" s="199"/>
    </row>
    <row r="265" spans="1:10" ht="17.399999999999999" outlineLevel="1">
      <c r="A265" s="92"/>
      <c r="B265" s="156"/>
      <c r="C265" s="216"/>
      <c r="D265" s="195"/>
      <c r="E265" s="204"/>
      <c r="F265" s="191"/>
      <c r="G265" s="191"/>
      <c r="H265" s="191"/>
      <c r="I265" s="197"/>
      <c r="J265" s="199"/>
    </row>
    <row r="266" spans="1:10" ht="17.399999999999999" outlineLevel="1">
      <c r="A266" s="92"/>
      <c r="B266" s="156" t="s">
        <v>255</v>
      </c>
      <c r="C266" s="216"/>
      <c r="D266" s="195"/>
      <c r="E266" s="204"/>
      <c r="F266" s="191"/>
      <c r="G266" s="191"/>
      <c r="H266" s="191"/>
      <c r="I266" s="197"/>
      <c r="J266" s="199"/>
    </row>
    <row r="267" spans="1:10" outlineLevel="1">
      <c r="A267" s="92"/>
      <c r="B267" s="194" t="s">
        <v>259</v>
      </c>
      <c r="C267" s="215"/>
      <c r="D267" s="193"/>
      <c r="E267" s="194"/>
      <c r="F267" s="194"/>
      <c r="G267" s="194"/>
      <c r="H267" s="194"/>
      <c r="I267" s="194"/>
      <c r="J267" s="194"/>
    </row>
    <row r="268" spans="1:10" ht="17.399999999999999" outlineLevel="1">
      <c r="A268" s="92"/>
      <c r="B268" s="156" t="s">
        <v>260</v>
      </c>
      <c r="C268" s="216"/>
      <c r="D268" s="195"/>
      <c r="E268" s="204"/>
      <c r="F268" s="191"/>
      <c r="G268" s="191"/>
      <c r="H268" s="191"/>
      <c r="I268" s="197"/>
      <c r="J268" s="199"/>
    </row>
    <row r="269" spans="1:10" ht="17.399999999999999" outlineLevel="1">
      <c r="A269" s="92"/>
      <c r="B269" s="156" t="s">
        <v>261</v>
      </c>
      <c r="C269" s="216"/>
      <c r="D269" s="195"/>
      <c r="E269" s="204"/>
      <c r="F269" s="191"/>
      <c r="G269" s="191"/>
      <c r="H269" s="191"/>
      <c r="I269" s="197"/>
      <c r="J269" s="199"/>
    </row>
    <row r="270" spans="1:10" ht="34.5" customHeight="1" outlineLevel="1">
      <c r="A270" s="92"/>
      <c r="B270" s="156" t="s">
        <v>262</v>
      </c>
      <c r="C270" s="216"/>
      <c r="D270" s="195"/>
      <c r="E270" s="204"/>
      <c r="F270" s="191"/>
      <c r="G270" s="191"/>
      <c r="H270" s="191"/>
      <c r="I270" s="197"/>
      <c r="J270" s="199"/>
    </row>
    <row r="271" spans="1:10" ht="17.399999999999999" outlineLevel="1">
      <c r="A271" s="92"/>
      <c r="B271" s="156" t="s">
        <v>263</v>
      </c>
      <c r="C271" s="216"/>
      <c r="D271" s="195"/>
      <c r="E271" s="204"/>
      <c r="F271" s="191"/>
      <c r="G271" s="191"/>
      <c r="H271" s="191"/>
      <c r="I271" s="197"/>
      <c r="J271" s="199"/>
    </row>
    <row r="272" spans="1:10" ht="17.399999999999999" outlineLevel="1">
      <c r="A272" s="92"/>
      <c r="B272" s="156" t="s">
        <v>264</v>
      </c>
      <c r="C272" s="216"/>
      <c r="D272" s="195"/>
      <c r="E272" s="204"/>
      <c r="F272" s="191"/>
      <c r="G272" s="191"/>
      <c r="H272" s="191"/>
      <c r="I272" s="197"/>
      <c r="J272" s="199"/>
    </row>
    <row r="273" spans="1:10" outlineLevel="1">
      <c r="A273" s="92"/>
      <c r="B273" s="198"/>
      <c r="C273" s="216"/>
      <c r="D273" s="195"/>
      <c r="E273" s="204"/>
      <c r="F273" s="191"/>
      <c r="G273" s="191"/>
      <c r="H273" s="191"/>
      <c r="I273" s="197"/>
      <c r="J273" s="199"/>
    </row>
    <row r="274" spans="1:10" outlineLevel="1">
      <c r="A274" s="92"/>
      <c r="B274" s="194" t="s">
        <v>265</v>
      </c>
      <c r="C274" s="215"/>
      <c r="D274" s="193"/>
      <c r="E274" s="194"/>
      <c r="F274" s="194"/>
      <c r="G274" s="194"/>
      <c r="H274" s="194"/>
      <c r="I274" s="194"/>
      <c r="J274" s="194"/>
    </row>
    <row r="275" spans="1:10" ht="17.399999999999999" outlineLevel="1">
      <c r="A275" s="92"/>
      <c r="B275" s="156" t="s">
        <v>266</v>
      </c>
      <c r="C275" s="216"/>
      <c r="D275" s="195"/>
      <c r="E275" s="204"/>
      <c r="F275" s="191"/>
      <c r="G275" s="191"/>
      <c r="H275" s="191"/>
      <c r="I275" s="197"/>
      <c r="J275" s="199"/>
    </row>
    <row r="276" spans="1:10" ht="17.399999999999999" outlineLevel="1">
      <c r="A276" s="92"/>
      <c r="B276" s="156" t="s">
        <v>267</v>
      </c>
      <c r="C276" s="216"/>
      <c r="D276" s="195"/>
      <c r="E276" s="204"/>
      <c r="F276" s="191"/>
      <c r="G276" s="191"/>
      <c r="H276" s="191"/>
      <c r="I276" s="197"/>
      <c r="J276" s="199"/>
    </row>
    <row r="277" spans="1:10" ht="17.399999999999999" outlineLevel="1">
      <c r="A277" s="92"/>
      <c r="B277" s="156" t="s">
        <v>268</v>
      </c>
      <c r="C277" s="216"/>
      <c r="D277" s="195"/>
      <c r="E277" s="204"/>
      <c r="F277" s="191"/>
      <c r="G277" s="191"/>
      <c r="H277" s="191"/>
      <c r="I277" s="197"/>
      <c r="J277" s="199"/>
    </row>
    <row r="278" spans="1:10" ht="34.799999999999997" outlineLevel="1">
      <c r="A278" s="92"/>
      <c r="B278" s="156" t="s">
        <v>269</v>
      </c>
      <c r="C278" s="216"/>
      <c r="D278" s="195"/>
      <c r="E278" s="204"/>
      <c r="F278" s="191"/>
      <c r="G278" s="191"/>
      <c r="H278" s="191"/>
      <c r="I278" s="197"/>
      <c r="J278" s="199"/>
    </row>
    <row r="279" spans="1:10" ht="17.399999999999999" outlineLevel="1">
      <c r="A279" s="92"/>
      <c r="B279" s="156" t="s">
        <v>270</v>
      </c>
      <c r="C279" s="216"/>
      <c r="D279" s="195"/>
      <c r="E279" s="204"/>
      <c r="F279" s="191"/>
      <c r="G279" s="191"/>
      <c r="H279" s="191"/>
      <c r="I279" s="197"/>
      <c r="J279" s="199"/>
    </row>
    <row r="280" spans="1:10" ht="17.399999999999999" outlineLevel="1">
      <c r="A280" s="92"/>
      <c r="B280" s="156" t="s">
        <v>271</v>
      </c>
      <c r="C280" s="216"/>
      <c r="D280" s="195"/>
      <c r="E280" s="204"/>
      <c r="F280" s="191"/>
      <c r="G280" s="191"/>
      <c r="H280" s="191"/>
      <c r="I280" s="197"/>
      <c r="J280" s="199"/>
    </row>
    <row r="281" spans="1:10" s="9" customFormat="1" outlineLevel="1">
      <c r="B281" s="203"/>
      <c r="C281" s="222"/>
      <c r="D281" s="200"/>
      <c r="E281" s="203"/>
      <c r="F281" s="202"/>
      <c r="G281" s="202"/>
      <c r="H281" s="191"/>
      <c r="I281" s="197"/>
      <c r="J281" s="198"/>
    </row>
    <row r="282" spans="1:10" s="9" customFormat="1" outlineLevel="1">
      <c r="B282" s="203"/>
      <c r="C282" s="222"/>
      <c r="D282" s="200"/>
      <c r="E282" s="203"/>
      <c r="F282" s="202"/>
      <c r="G282" s="202"/>
      <c r="H282" s="191"/>
      <c r="I282" s="197"/>
      <c r="J282" s="198"/>
    </row>
    <row r="283" spans="1:10" s="9" customFormat="1" outlineLevel="1">
      <c r="B283" s="203"/>
      <c r="C283" s="222"/>
      <c r="D283" s="200"/>
      <c r="E283" s="203"/>
      <c r="F283" s="202"/>
      <c r="G283" s="202"/>
      <c r="H283" s="191"/>
      <c r="I283" s="197"/>
      <c r="J283" s="198"/>
    </row>
    <row r="284" spans="1:10" s="9" customFormat="1" ht="13.8" outlineLevel="1" thickBot="1">
      <c r="B284" s="126"/>
      <c r="C284" s="95"/>
      <c r="D284" s="101"/>
      <c r="E284" s="95"/>
      <c r="F284" s="31"/>
      <c r="G284" s="31"/>
      <c r="H284" s="191"/>
      <c r="I284" s="257"/>
      <c r="J284" s="93"/>
    </row>
    <row r="285" spans="1:10" ht="13.8" outlineLevel="1" thickBot="1">
      <c r="A285" s="92"/>
      <c r="B285" s="127"/>
      <c r="C285" s="96"/>
      <c r="D285" s="101"/>
      <c r="E285" s="96"/>
      <c r="F285" s="31"/>
      <c r="G285" s="31"/>
      <c r="H285" s="191"/>
      <c r="I285" s="94"/>
      <c r="J285" s="93"/>
    </row>
  </sheetData>
  <protectedRanges>
    <protectedRange sqref="B9:E9 B68:E68 B97:E97 H9:H285" name="Task Names and Dates_1"/>
    <protectedRange sqref="F97:G97 F9:G9 F68:G68 F163:G284" name="Task Names and Dates_1_1"/>
    <protectedRange sqref="B281:E284" name="Task Names and Dates_1_6"/>
    <protectedRange sqref="F285:G285 F98:G113" name="Task Names and Dates_1_1_7_1"/>
    <protectedRange sqref="B67:E67 B10:E10 B31:B34 B55:C55 B11:C13 D11:E66 B14:B22" name="Task Names and Dates_1_4_1"/>
    <protectedRange sqref="F10:G67" name="Task Names and Dates_1_1_3_1"/>
    <protectedRange sqref="B69:E69 B98:E98 D70:E96 D99:E128" name="Task Names and Dates_1_4_2"/>
    <protectedRange sqref="F69:G69 F70:F96" name="Task Names and Dates_1_1_3_2"/>
    <protectedRange sqref="G70:G96" name="Task Names and Dates_1_1_1_2_1"/>
    <protectedRange sqref="D130:E280" name="Task Names and Dates_1_4_4"/>
    <protectedRange sqref="D129:E129" name="Task Names and Dates_1_6_3_2"/>
    <protectedRange sqref="F129:G162" name="Task Names and Dates_1_1_3_5_1"/>
    <protectedRange sqref="B23 B53:B54 B35:B50" name="Task Names and Dates_1_2"/>
    <protectedRange sqref="C28:C30 B51:B52 B29:B30 B58:B66" name="Task Names and Dates_1_4_2_1"/>
    <protectedRange sqref="C53 C35:C36 C48:C50" name="Task Names and Dates_1_4"/>
    <protectedRange sqref="C31:C34" name="Task Names and Dates_1_4_1_1"/>
    <protectedRange sqref="C23 C51:C52 C54 C58:C63 C65:C66" name="Task Names and Dates_1_4_2_2"/>
    <protectedRange sqref="B56:B57" name="Task Names and Dates_1_4_2_7"/>
    <protectedRange sqref="B76:B81 C64 B91:B96" name="Task Names and Dates_1_4_4_5"/>
    <protectedRange sqref="B70:B75 B82:B90" name="Task Names and Dates_1_6_3_2_5"/>
    <protectedRange sqref="C56:C57 C70:C71" name="Task Names and Dates_1_4_2_8"/>
    <protectedRange sqref="C91:C95 C76:C81" name="Task Names and Dates_1_4_4_6"/>
    <protectedRange sqref="C37:C47 C96 C83:C90" name="Task Names and Dates_1_6_3_2_6"/>
    <protectedRange sqref="B99:B182 B184:B224 B226:B266" name="Task Names and Dates_1_4_4_7"/>
    <protectedRange sqref="C99:C104 C280 C110:C115 C117:C147 C153:C158 C160:C182 C184:C189 C195:C200 C202:C224 C226:C231 C237:C242 C244:C266" name="Task Names and Dates_1_4_4_8"/>
    <protectedRange sqref="C105:C109 C148:C152 C190:C194 C232:C236" name="Task Names and Dates_1_6_3_2_7"/>
    <protectedRange sqref="B267 B273:B274" name="Task Names and Dates_1_4_4_9"/>
    <protectedRange sqref="C267:C279" name="Task Names and Dates_1_4_4_10"/>
    <protectedRange sqref="B183 B225" name="Task Names and Dates_1_4_4_11"/>
    <protectedRange sqref="C183 C225" name="Task Names and Dates_1_4_4_12"/>
    <protectedRange sqref="B268:B272" name="Task Names and Dates_1_4_4_16"/>
    <protectedRange sqref="B275:B280" name="Task Names and Dates_1_4_4_18"/>
    <protectedRange sqref="C27" name="Task Names and Dates_1_6_3_1_1"/>
    <protectedRange sqref="C17 C25" name="Task Names and Dates_1_5"/>
    <protectedRange sqref="C14:C16" name="Task Names and Dates_1_4_1_1_2"/>
    <protectedRange sqref="C18:C22 C24 C26" name="Task Names and Dates_1_4_2_4"/>
  </protectedRanges>
  <mergeCells count="3">
    <mergeCell ref="G2:J2"/>
    <mergeCell ref="B4:J4"/>
    <mergeCell ref="B6:J7"/>
  </mergeCells>
  <conditionalFormatting sqref="A9">
    <cfRule type="cellIs" dxfId="25" priority="1" stopIfTrue="1" operator="equal">
      <formula>"x"</formula>
    </cfRule>
    <cfRule type="cellIs" dxfId="24" priority="2" stopIfTrue="1" operator="equal">
      <formula>"H"</formula>
    </cfRule>
  </conditionalFormatting>
  <dataValidations count="2">
    <dataValidation type="date" operator="greaterThanOrEqual" allowBlank="1" showInputMessage="1" showErrorMessage="1" errorTitle="Incorrect Date" error="The Estimated Completion Date must be equal to or later than than the Estimated Start Date." sqref="G68 G9" xr:uid="{345908C6-530F-4592-858B-EE4F35CC8C39}">
      <formula1>$F9</formula1>
    </dataValidation>
    <dataValidation type="list" allowBlank="1" showInputMessage="1" showErrorMessage="1" sqref="H9:H285" xr:uid="{B65391EB-CB08-442C-893D-0C619702FF48}">
      <formula1>Team</formula1>
    </dataValidation>
  </dataValidations>
  <hyperlinks>
    <hyperlink ref="G2:H2" location="Index!A1" display="Goto Index" xr:uid="{6BCC5DFA-CEF2-4099-B957-F10748B6555F}"/>
  </hyperlinks>
  <pageMargins left="0.48" right="0.52" top="0.59" bottom="0.73" header="0.5" footer="0.5"/>
  <pageSetup scale="79" fitToHeight="2" orientation="portrait" verticalDpi="4294967293"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O211"/>
  <sheetViews>
    <sheetView showGridLines="0" topLeftCell="A11" zoomScale="70" zoomScaleNormal="70" workbookViewId="0">
      <pane xSplit="9" ySplit="6" topLeftCell="J17" activePane="bottomRight" state="frozen"/>
      <selection pane="topRight" activeCell="I11" sqref="I11"/>
      <selection pane="bottomLeft" activeCell="A17" sqref="A17"/>
      <selection pane="bottomRight" activeCell="B17" sqref="B17"/>
    </sheetView>
  </sheetViews>
  <sheetFormatPr defaultColWidth="9.109375" defaultRowHeight="19.8"/>
  <cols>
    <col min="1" max="1" width="2.88671875" style="42" customWidth="1"/>
    <col min="2" max="2" width="55.88671875" style="153" bestFit="1" customWidth="1"/>
    <col min="3" max="4" width="12.88671875" style="153" customWidth="1"/>
    <col min="5" max="5" width="24.88671875" style="153" bestFit="1" customWidth="1"/>
    <col min="6" max="6" width="13.109375" style="153" customWidth="1"/>
    <col min="7" max="7" width="25.88671875" style="153" bestFit="1" customWidth="1"/>
    <col min="8" max="8" width="13.109375" style="155" customWidth="1"/>
    <col min="9" max="9" width="24.88671875" style="154" customWidth="1"/>
    <col min="10" max="59" width="2.88671875" style="42" customWidth="1"/>
    <col min="60" max="79" width="2.88671875" style="42" hidden="1" customWidth="1"/>
    <col min="80" max="16384" width="9.109375" style="42"/>
  </cols>
  <sheetData>
    <row r="1" spans="1:197" ht="15" customHeight="1">
      <c r="B1" s="42"/>
      <c r="C1" s="42"/>
      <c r="D1" s="42"/>
      <c r="E1" s="42"/>
      <c r="F1" s="42"/>
      <c r="G1" s="42"/>
      <c r="H1" s="206"/>
      <c r="I1" s="43"/>
    </row>
    <row r="2" spans="1:197" ht="34.5" customHeight="1">
      <c r="B2" s="44" t="s">
        <v>272</v>
      </c>
      <c r="C2" s="44"/>
      <c r="D2" s="44"/>
      <c r="E2" s="44"/>
      <c r="F2" s="44"/>
      <c r="G2" s="44"/>
      <c r="H2" s="207"/>
      <c r="I2" s="45"/>
      <c r="J2" s="44"/>
      <c r="K2" s="44"/>
      <c r="L2" s="44"/>
      <c r="M2" s="46"/>
      <c r="N2" s="46"/>
      <c r="O2" s="390" t="s">
        <v>273</v>
      </c>
      <c r="P2" s="390"/>
      <c r="Q2" s="390"/>
      <c r="R2" s="390"/>
      <c r="S2" s="390"/>
      <c r="T2" s="390"/>
      <c r="U2" s="390"/>
      <c r="V2" s="390"/>
      <c r="W2" s="390"/>
      <c r="X2" s="390"/>
      <c r="Y2" s="390"/>
      <c r="Z2" s="390"/>
    </row>
    <row r="3" spans="1:197" ht="17.25" customHeight="1" thickBot="1">
      <c r="B3" s="47"/>
      <c r="C3" s="47"/>
      <c r="D3" s="47"/>
      <c r="E3" s="47"/>
      <c r="F3" s="47"/>
      <c r="G3" s="47"/>
      <c r="H3" s="208"/>
      <c r="I3" s="48"/>
      <c r="J3" s="47"/>
      <c r="K3" s="47"/>
      <c r="L3" s="47"/>
      <c r="M3" s="47"/>
      <c r="O3" s="49"/>
      <c r="P3" s="49"/>
      <c r="Q3" s="49"/>
      <c r="R3" s="49"/>
      <c r="S3" s="49"/>
      <c r="T3" s="49"/>
      <c r="U3" s="49"/>
      <c r="V3" s="49"/>
      <c r="W3" s="49"/>
      <c r="X3" s="49"/>
      <c r="Y3" s="49"/>
      <c r="Z3" s="49"/>
      <c r="AA3" s="49"/>
      <c r="AB3" s="49"/>
    </row>
    <row r="4" spans="1:197" ht="21" customHeight="1" thickBot="1">
      <c r="B4" s="47"/>
      <c r="C4" s="47"/>
      <c r="D4" s="47"/>
      <c r="E4" s="47"/>
      <c r="F4" s="47"/>
      <c r="G4" s="47"/>
      <c r="H4" s="208"/>
      <c r="I4" s="48"/>
      <c r="J4" s="437" t="s">
        <v>274</v>
      </c>
      <c r="K4" s="438"/>
      <c r="L4" s="438"/>
      <c r="M4" s="438"/>
      <c r="N4" s="438"/>
      <c r="O4" s="438"/>
      <c r="P4" s="438"/>
      <c r="Q4" s="438"/>
      <c r="R4" s="438"/>
      <c r="S4" s="438"/>
      <c r="T4" s="438"/>
      <c r="U4" s="438"/>
      <c r="V4" s="438"/>
      <c r="W4" s="438"/>
      <c r="X4" s="438"/>
      <c r="Y4" s="438"/>
      <c r="Z4" s="439"/>
    </row>
    <row r="5" spans="1:197" ht="21" customHeight="1">
      <c r="B5" s="47"/>
      <c r="C5" s="47"/>
      <c r="D5" s="47"/>
      <c r="E5" s="47"/>
      <c r="F5" s="47"/>
      <c r="G5" s="47"/>
      <c r="H5" s="208"/>
      <c r="I5" s="48"/>
      <c r="J5" s="50"/>
      <c r="K5" s="425" t="s">
        <v>275</v>
      </c>
      <c r="L5" s="426"/>
      <c r="M5" s="426"/>
      <c r="N5" s="426"/>
      <c r="O5" s="426"/>
      <c r="P5" s="426"/>
      <c r="Q5" s="426"/>
      <c r="R5" s="426"/>
      <c r="S5" s="426"/>
      <c r="T5" s="426"/>
      <c r="U5" s="426"/>
      <c r="V5" s="426"/>
      <c r="W5" s="426"/>
      <c r="X5" s="426"/>
      <c r="Y5" s="426"/>
      <c r="Z5" s="427"/>
    </row>
    <row r="6" spans="1:197" ht="21" customHeight="1">
      <c r="B6" s="47"/>
      <c r="C6" s="47"/>
      <c r="D6" s="47"/>
      <c r="E6" s="47"/>
      <c r="F6" s="47"/>
      <c r="G6" s="47"/>
      <c r="H6" s="208"/>
      <c r="I6" s="48"/>
      <c r="J6" s="134"/>
      <c r="K6" s="440" t="s">
        <v>276</v>
      </c>
      <c r="L6" s="441"/>
      <c r="M6" s="441"/>
      <c r="N6" s="441"/>
      <c r="O6" s="441"/>
      <c r="P6" s="441"/>
      <c r="Q6" s="441"/>
      <c r="R6" s="441"/>
      <c r="S6" s="441"/>
      <c r="T6" s="441"/>
      <c r="U6" s="441"/>
      <c r="V6" s="441"/>
      <c r="W6" s="441"/>
      <c r="X6" s="441"/>
      <c r="Y6" s="441"/>
      <c r="Z6" s="442"/>
    </row>
    <row r="7" spans="1:197" ht="21" customHeight="1" thickBot="1">
      <c r="B7" s="47"/>
      <c r="C7" s="47"/>
      <c r="D7" s="47"/>
      <c r="E7" s="47"/>
      <c r="F7" s="47"/>
      <c r="G7" s="47"/>
      <c r="H7" s="208"/>
      <c r="I7" s="48"/>
      <c r="J7" s="258"/>
      <c r="K7" s="443" t="s">
        <v>277</v>
      </c>
      <c r="L7" s="444"/>
      <c r="M7" s="444"/>
      <c r="N7" s="444"/>
      <c r="O7" s="444"/>
      <c r="P7" s="444"/>
      <c r="Q7" s="444"/>
      <c r="R7" s="444"/>
      <c r="S7" s="444"/>
      <c r="T7" s="444"/>
      <c r="U7" s="444"/>
      <c r="V7" s="444"/>
      <c r="W7" s="444"/>
      <c r="X7" s="444"/>
      <c r="Y7" s="444"/>
      <c r="Z7" s="445"/>
    </row>
    <row r="8" spans="1:197" ht="21" customHeight="1" thickBot="1">
      <c r="B8" s="47"/>
      <c r="C8" s="47"/>
      <c r="D8" s="47"/>
      <c r="E8" s="47"/>
      <c r="F8" s="47"/>
      <c r="G8" s="47"/>
      <c r="H8" s="208"/>
      <c r="I8" s="48"/>
      <c r="J8" s="437" t="s">
        <v>278</v>
      </c>
      <c r="K8" s="438"/>
      <c r="L8" s="438"/>
      <c r="M8" s="438"/>
      <c r="N8" s="438"/>
      <c r="O8" s="438"/>
      <c r="P8" s="438"/>
      <c r="Q8" s="438"/>
      <c r="R8" s="438"/>
      <c r="S8" s="438"/>
      <c r="T8" s="438"/>
      <c r="U8" s="438"/>
      <c r="V8" s="438"/>
      <c r="W8" s="438"/>
      <c r="X8" s="438"/>
      <c r="Y8" s="438"/>
      <c r="Z8" s="439"/>
    </row>
    <row r="9" spans="1:197" ht="21" customHeight="1">
      <c r="B9" s="47"/>
      <c r="C9" s="47"/>
      <c r="D9" s="47"/>
      <c r="E9" s="47"/>
      <c r="F9" s="47"/>
      <c r="G9" s="47"/>
      <c r="H9" s="208"/>
      <c r="I9" s="48"/>
      <c r="J9" s="51"/>
      <c r="K9" s="425" t="s">
        <v>279</v>
      </c>
      <c r="L9" s="426"/>
      <c r="M9" s="426"/>
      <c r="N9" s="426"/>
      <c r="O9" s="426"/>
      <c r="P9" s="426"/>
      <c r="Q9" s="426"/>
      <c r="R9" s="426"/>
      <c r="S9" s="426"/>
      <c r="T9" s="426"/>
      <c r="U9" s="426"/>
      <c r="V9" s="426"/>
      <c r="W9" s="426"/>
      <c r="X9" s="426"/>
      <c r="Y9" s="426"/>
      <c r="Z9" s="427"/>
    </row>
    <row r="10" spans="1:197" ht="21" customHeight="1" thickBot="1">
      <c r="B10" s="47"/>
      <c r="C10" s="47"/>
      <c r="D10" s="47"/>
      <c r="E10" s="47"/>
      <c r="F10" s="47"/>
      <c r="G10" s="47"/>
      <c r="H10" s="259"/>
      <c r="I10" s="48"/>
      <c r="J10" s="52"/>
      <c r="K10" s="428" t="s">
        <v>280</v>
      </c>
      <c r="L10" s="429"/>
      <c r="M10" s="429"/>
      <c r="N10" s="429"/>
      <c r="O10" s="429"/>
      <c r="P10" s="429"/>
      <c r="Q10" s="429"/>
      <c r="R10" s="429"/>
      <c r="S10" s="429"/>
      <c r="T10" s="429"/>
      <c r="U10" s="429"/>
      <c r="V10" s="429"/>
      <c r="W10" s="429"/>
      <c r="X10" s="429"/>
      <c r="Y10" s="429"/>
      <c r="Z10" s="430"/>
    </row>
    <row r="11" spans="1:197" ht="17.25" customHeight="1" thickBot="1">
      <c r="B11" s="42"/>
      <c r="C11" s="42"/>
      <c r="D11" s="42"/>
      <c r="E11" s="42"/>
      <c r="F11" s="42"/>
      <c r="G11" s="87"/>
      <c r="H11" s="87"/>
      <c r="I11" s="53"/>
    </row>
    <row r="12" spans="1:197" s="49" customFormat="1" ht="13.8" thickBot="1">
      <c r="B12" s="431" t="s">
        <v>109</v>
      </c>
      <c r="C12" s="416"/>
      <c r="D12" s="416"/>
      <c r="E12" s="416"/>
      <c r="F12" s="416"/>
      <c r="G12" s="432"/>
      <c r="H12" s="432"/>
      <c r="I12" s="433"/>
      <c r="J12" s="436" t="s">
        <v>281</v>
      </c>
      <c r="K12" s="399"/>
      <c r="L12" s="399"/>
      <c r="M12" s="399"/>
      <c r="N12" s="400"/>
      <c r="O12" s="398" t="s">
        <v>282</v>
      </c>
      <c r="P12" s="399"/>
      <c r="Q12" s="399"/>
      <c r="R12" s="399"/>
      <c r="S12" s="400"/>
      <c r="T12" s="398" t="s">
        <v>283</v>
      </c>
      <c r="U12" s="399"/>
      <c r="V12" s="399"/>
      <c r="W12" s="399"/>
      <c r="X12" s="400"/>
      <c r="Y12" s="415" t="s">
        <v>284</v>
      </c>
      <c r="Z12" s="416"/>
      <c r="AA12" s="416"/>
      <c r="AB12" s="416"/>
      <c r="AC12" s="417"/>
      <c r="AD12" s="415" t="s">
        <v>285</v>
      </c>
      <c r="AE12" s="416"/>
      <c r="AF12" s="416"/>
      <c r="AG12" s="416"/>
      <c r="AH12" s="417"/>
      <c r="AI12" s="398" t="s">
        <v>286</v>
      </c>
      <c r="AJ12" s="399"/>
      <c r="AK12" s="399"/>
      <c r="AL12" s="399"/>
      <c r="AM12" s="400"/>
      <c r="AN12" s="398" t="s">
        <v>287</v>
      </c>
      <c r="AO12" s="399"/>
      <c r="AP12" s="399"/>
      <c r="AQ12" s="399"/>
      <c r="AR12" s="400"/>
      <c r="AS12" s="398" t="s">
        <v>288</v>
      </c>
      <c r="AT12" s="399"/>
      <c r="AU12" s="399"/>
      <c r="AV12" s="399"/>
      <c r="AW12" s="399"/>
      <c r="AX12" s="398" t="s">
        <v>289</v>
      </c>
      <c r="AY12" s="399"/>
      <c r="AZ12" s="399"/>
      <c r="BA12" s="399"/>
      <c r="BB12" s="400"/>
      <c r="BC12" s="396" t="s">
        <v>290</v>
      </c>
      <c r="BD12" s="396"/>
      <c r="BE12" s="396"/>
      <c r="BF12" s="396"/>
      <c r="BG12" s="396"/>
      <c r="BH12" s="396" t="s">
        <v>291</v>
      </c>
      <c r="BI12" s="396"/>
      <c r="BJ12" s="396"/>
      <c r="BK12" s="396"/>
      <c r="BL12" s="396"/>
      <c r="BM12" s="396" t="s">
        <v>292</v>
      </c>
      <c r="BN12" s="396"/>
      <c r="BO12" s="396"/>
      <c r="BP12" s="396"/>
      <c r="BQ12" s="396"/>
      <c r="BR12" s="396" t="s">
        <v>293</v>
      </c>
      <c r="BS12" s="396"/>
      <c r="BT12" s="396"/>
      <c r="BU12" s="396"/>
      <c r="BV12" s="396"/>
      <c r="BW12" s="396" t="s">
        <v>294</v>
      </c>
      <c r="BX12" s="396"/>
      <c r="BY12" s="396"/>
      <c r="BZ12" s="396"/>
      <c r="CA12" s="396"/>
    </row>
    <row r="13" spans="1:197" s="49" customFormat="1" ht="13.8" thickBot="1">
      <c r="B13" s="434"/>
      <c r="C13" s="419"/>
      <c r="D13" s="419"/>
      <c r="E13" s="419"/>
      <c r="F13" s="419"/>
      <c r="G13" s="419"/>
      <c r="H13" s="419"/>
      <c r="I13" s="435"/>
      <c r="J13" s="436"/>
      <c r="K13" s="399"/>
      <c r="L13" s="399"/>
      <c r="M13" s="399"/>
      <c r="N13" s="400"/>
      <c r="O13" s="398"/>
      <c r="P13" s="399"/>
      <c r="Q13" s="399"/>
      <c r="R13" s="399"/>
      <c r="S13" s="400"/>
      <c r="T13" s="398"/>
      <c r="U13" s="399"/>
      <c r="V13" s="399"/>
      <c r="W13" s="399"/>
      <c r="X13" s="400"/>
      <c r="Y13" s="418"/>
      <c r="Z13" s="419"/>
      <c r="AA13" s="419"/>
      <c r="AB13" s="419"/>
      <c r="AC13" s="420"/>
      <c r="AD13" s="418"/>
      <c r="AE13" s="419"/>
      <c r="AF13" s="419"/>
      <c r="AG13" s="419"/>
      <c r="AH13" s="420"/>
      <c r="AI13" s="398"/>
      <c r="AJ13" s="399"/>
      <c r="AK13" s="399"/>
      <c r="AL13" s="399"/>
      <c r="AM13" s="400"/>
      <c r="AN13" s="398"/>
      <c r="AO13" s="399"/>
      <c r="AP13" s="399"/>
      <c r="AQ13" s="399"/>
      <c r="AR13" s="400"/>
      <c r="AS13" s="398"/>
      <c r="AT13" s="399"/>
      <c r="AU13" s="399"/>
      <c r="AV13" s="399"/>
      <c r="AW13" s="399"/>
      <c r="AX13" s="398"/>
      <c r="AY13" s="399"/>
      <c r="AZ13" s="399"/>
      <c r="BA13" s="399"/>
      <c r="BB13" s="400"/>
      <c r="BC13" s="397"/>
      <c r="BD13" s="397"/>
      <c r="BE13" s="397"/>
      <c r="BF13" s="397"/>
      <c r="BG13" s="397"/>
      <c r="BH13" s="397"/>
      <c r="BI13" s="397"/>
      <c r="BJ13" s="397"/>
      <c r="BK13" s="397"/>
      <c r="BL13" s="397"/>
      <c r="BM13" s="397"/>
      <c r="BN13" s="397"/>
      <c r="BO13" s="397"/>
      <c r="BP13" s="397"/>
      <c r="BQ13" s="397"/>
      <c r="BR13" s="397"/>
      <c r="BS13" s="397"/>
      <c r="BT13" s="397"/>
      <c r="BU13" s="397"/>
      <c r="BV13" s="397"/>
      <c r="BW13" s="397"/>
      <c r="BX13" s="397"/>
      <c r="BY13" s="397"/>
      <c r="BZ13" s="397"/>
      <c r="CA13" s="397"/>
    </row>
    <row r="14" spans="1:197" s="54" customFormat="1" ht="27" customHeight="1" thickBot="1">
      <c r="B14" s="401" t="s">
        <v>110</v>
      </c>
      <c r="C14" s="404" t="s">
        <v>114</v>
      </c>
      <c r="D14" s="404" t="s">
        <v>115</v>
      </c>
      <c r="E14" s="407" t="s">
        <v>116</v>
      </c>
      <c r="F14" s="410" t="s">
        <v>295</v>
      </c>
      <c r="G14" s="412" t="s">
        <v>296</v>
      </c>
      <c r="H14" s="424" t="s">
        <v>297</v>
      </c>
      <c r="I14" s="421" t="s">
        <v>21</v>
      </c>
      <c r="J14" s="394">
        <v>44774</v>
      </c>
      <c r="K14" s="394"/>
      <c r="L14" s="394"/>
      <c r="M14" s="394"/>
      <c r="N14" s="395"/>
      <c r="O14" s="394">
        <f>J14+7</f>
        <v>44781</v>
      </c>
      <c r="P14" s="394"/>
      <c r="Q14" s="394"/>
      <c r="R14" s="394"/>
      <c r="S14" s="395"/>
      <c r="T14" s="394">
        <f t="shared" ref="T14" si="0">O14+7</f>
        <v>44788</v>
      </c>
      <c r="U14" s="394"/>
      <c r="V14" s="394"/>
      <c r="W14" s="394"/>
      <c r="X14" s="395"/>
      <c r="Y14" s="394">
        <f t="shared" ref="Y14" si="1">T14+7</f>
        <v>44795</v>
      </c>
      <c r="Z14" s="394"/>
      <c r="AA14" s="394"/>
      <c r="AB14" s="394"/>
      <c r="AC14" s="395"/>
      <c r="AD14" s="394">
        <f t="shared" ref="AD14" si="2">Y14+7</f>
        <v>44802</v>
      </c>
      <c r="AE14" s="394"/>
      <c r="AF14" s="394"/>
      <c r="AG14" s="394"/>
      <c r="AH14" s="395"/>
      <c r="AI14" s="394">
        <f t="shared" ref="AI14" si="3">AD14+7</f>
        <v>44809</v>
      </c>
      <c r="AJ14" s="394"/>
      <c r="AK14" s="394"/>
      <c r="AL14" s="394"/>
      <c r="AM14" s="395"/>
      <c r="AN14" s="394">
        <f t="shared" ref="AN14" si="4">AI14+7</f>
        <v>44816</v>
      </c>
      <c r="AO14" s="394"/>
      <c r="AP14" s="394"/>
      <c r="AQ14" s="394"/>
      <c r="AR14" s="395"/>
      <c r="AS14" s="394">
        <f t="shared" ref="AS14" si="5">AN14+7</f>
        <v>44823</v>
      </c>
      <c r="AT14" s="394"/>
      <c r="AU14" s="394"/>
      <c r="AV14" s="394"/>
      <c r="AW14" s="395"/>
      <c r="AX14" s="394">
        <f t="shared" ref="AX14" si="6">AS14+7</f>
        <v>44830</v>
      </c>
      <c r="AY14" s="394"/>
      <c r="AZ14" s="394"/>
      <c r="BA14" s="394"/>
      <c r="BB14" s="395"/>
      <c r="BC14" s="394">
        <f t="shared" ref="BC14" si="7">AX14+7</f>
        <v>44837</v>
      </c>
      <c r="BD14" s="394"/>
      <c r="BE14" s="394"/>
      <c r="BF14" s="394"/>
      <c r="BG14" s="395"/>
      <c r="BH14" s="394">
        <f t="shared" ref="BH14" si="8">BC14+7</f>
        <v>44844</v>
      </c>
      <c r="BI14" s="394"/>
      <c r="BJ14" s="394"/>
      <c r="BK14" s="394"/>
      <c r="BL14" s="395"/>
      <c r="BM14" s="394">
        <f t="shared" ref="BM14" si="9">BH14+7</f>
        <v>44851</v>
      </c>
      <c r="BN14" s="394"/>
      <c r="BO14" s="394"/>
      <c r="BP14" s="394"/>
      <c r="BQ14" s="395"/>
      <c r="BR14" s="394">
        <f t="shared" ref="BR14" si="10">BM14+7</f>
        <v>44858</v>
      </c>
      <c r="BS14" s="394"/>
      <c r="BT14" s="394"/>
      <c r="BU14" s="394"/>
      <c r="BV14" s="395"/>
      <c r="BW14" s="394">
        <f t="shared" ref="BW14" si="11">BR14+7</f>
        <v>44865</v>
      </c>
      <c r="BX14" s="394"/>
      <c r="BY14" s="394"/>
      <c r="BZ14" s="394"/>
      <c r="CA14" s="395"/>
    </row>
    <row r="15" spans="1:197" s="57" customFormat="1" ht="16.5" customHeight="1" thickBot="1">
      <c r="A15" s="54"/>
      <c r="B15" s="402"/>
      <c r="C15" s="405"/>
      <c r="D15" s="405"/>
      <c r="E15" s="408"/>
      <c r="F15" s="411"/>
      <c r="G15" s="413"/>
      <c r="H15" s="424"/>
      <c r="I15" s="422"/>
      <c r="J15" s="55"/>
      <c r="K15" s="55"/>
      <c r="L15" s="55"/>
      <c r="M15" s="55"/>
      <c r="N15" s="56"/>
      <c r="O15" s="55"/>
      <c r="P15" s="55"/>
      <c r="Q15" s="55"/>
      <c r="R15" s="55"/>
      <c r="S15" s="56"/>
      <c r="T15" s="55"/>
      <c r="U15" s="55"/>
      <c r="V15" s="55"/>
      <c r="W15" s="55"/>
      <c r="X15" s="56"/>
      <c r="Y15" s="55"/>
      <c r="Z15" s="55"/>
      <c r="AA15" s="55"/>
      <c r="AB15" s="55"/>
      <c r="AC15" s="56"/>
      <c r="AD15" s="55"/>
      <c r="AE15" s="55"/>
      <c r="AF15" s="55"/>
      <c r="AG15" s="55"/>
      <c r="AH15" s="56"/>
      <c r="AI15" s="55"/>
      <c r="AJ15" s="55"/>
      <c r="AK15" s="55"/>
      <c r="AL15" s="55"/>
      <c r="AM15" s="56"/>
      <c r="AN15" s="55"/>
      <c r="AO15" s="55"/>
      <c r="AP15" s="55"/>
      <c r="AQ15" s="55"/>
      <c r="AR15" s="56"/>
      <c r="AS15" s="55"/>
      <c r="AT15" s="55"/>
      <c r="AU15" s="55"/>
      <c r="AV15" s="55"/>
      <c r="AW15" s="56"/>
      <c r="AX15" s="55"/>
      <c r="AY15" s="55"/>
      <c r="AZ15" s="55"/>
      <c r="BA15" s="55"/>
      <c r="BB15" s="56"/>
      <c r="BC15" s="55"/>
      <c r="BD15" s="55"/>
      <c r="BE15" s="55"/>
      <c r="BF15" s="55"/>
      <c r="BG15" s="56"/>
      <c r="BH15" s="55"/>
      <c r="BI15" s="55"/>
      <c r="BJ15" s="55"/>
      <c r="BK15" s="55"/>
      <c r="BL15" s="56"/>
      <c r="BM15" s="55"/>
      <c r="BN15" s="55"/>
      <c r="BO15" s="55"/>
      <c r="BP15" s="55"/>
      <c r="BQ15" s="56"/>
      <c r="BR15" s="55"/>
      <c r="BS15" s="55"/>
      <c r="BT15" s="55"/>
      <c r="BU15" s="55"/>
      <c r="BV15" s="56"/>
      <c r="BW15" s="55"/>
      <c r="BX15" s="55"/>
      <c r="BY15" s="55"/>
      <c r="BZ15" s="55"/>
      <c r="CA15" s="56"/>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row>
    <row r="16" spans="1:197" s="62" customFormat="1" ht="16.5" customHeight="1" thickBot="1">
      <c r="A16" s="54"/>
      <c r="B16" s="403"/>
      <c r="C16" s="406"/>
      <c r="D16" s="406"/>
      <c r="E16" s="409"/>
      <c r="F16" s="411"/>
      <c r="G16" s="414"/>
      <c r="H16" s="424"/>
      <c r="I16" s="423"/>
      <c r="J16" s="58"/>
      <c r="K16" s="58"/>
      <c r="L16" s="58"/>
      <c r="M16" s="58"/>
      <c r="N16" s="59"/>
      <c r="O16" s="60"/>
      <c r="P16" s="58"/>
      <c r="Q16" s="58"/>
      <c r="R16" s="58"/>
      <c r="S16" s="59"/>
      <c r="T16" s="60"/>
      <c r="U16" s="58"/>
      <c r="V16" s="58"/>
      <c r="W16" s="58"/>
      <c r="X16" s="59"/>
      <c r="Y16" s="60"/>
      <c r="Z16" s="58"/>
      <c r="AA16" s="58"/>
      <c r="AB16" s="58"/>
      <c r="AC16" s="59"/>
      <c r="AD16" s="60"/>
      <c r="AE16" s="58"/>
      <c r="AF16" s="61"/>
      <c r="AG16" s="58"/>
      <c r="AH16" s="59"/>
      <c r="AI16" s="60"/>
      <c r="AJ16" s="58"/>
      <c r="AK16" s="58"/>
      <c r="AL16" s="58"/>
      <c r="AM16" s="59"/>
      <c r="AN16" s="60"/>
      <c r="AO16" s="58"/>
      <c r="AP16" s="58"/>
      <c r="AQ16" s="58"/>
      <c r="AR16" s="59"/>
      <c r="AS16" s="60"/>
      <c r="AT16" s="58"/>
      <c r="AU16" s="58"/>
      <c r="AV16" s="58"/>
      <c r="AW16" s="59"/>
      <c r="AX16" s="60"/>
      <c r="AY16" s="58"/>
      <c r="AZ16" s="58"/>
      <c r="BA16" s="58"/>
      <c r="BB16" s="59"/>
      <c r="BC16" s="60"/>
      <c r="BD16" s="58"/>
      <c r="BE16" s="58"/>
      <c r="BF16" s="58"/>
      <c r="BG16" s="59"/>
      <c r="BH16" s="60"/>
      <c r="BI16" s="58"/>
      <c r="BJ16" s="58"/>
      <c r="BK16" s="58"/>
      <c r="BL16" s="59"/>
      <c r="BM16" s="60"/>
      <c r="BN16" s="58"/>
      <c r="BO16" s="58"/>
      <c r="BP16" s="58"/>
      <c r="BQ16" s="59"/>
      <c r="BR16" s="60"/>
      <c r="BS16" s="58"/>
      <c r="BT16" s="58"/>
      <c r="BU16" s="58"/>
      <c r="BV16" s="59"/>
      <c r="BW16" s="60"/>
      <c r="BX16" s="58"/>
      <c r="BY16" s="58"/>
      <c r="BZ16" s="58"/>
      <c r="CA16" s="59"/>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row>
    <row r="17" spans="1:79" ht="15" customHeight="1">
      <c r="B17" s="135" t="s">
        <v>298</v>
      </c>
      <c r="C17" s="260"/>
      <c r="D17" s="260"/>
      <c r="E17" s="260"/>
      <c r="F17" s="209"/>
      <c r="G17" s="261"/>
      <c r="H17" s="209"/>
      <c r="I17" s="136"/>
      <c r="J17" s="63" t="e">
        <f>IF(#REF!="Yes","H",IF($B17="","",IF(AND($C17&lt;=#REF!,$D17&gt;=#REF!),IF($G17="","x","y"),"")))</f>
        <v>#REF!</v>
      </c>
      <c r="K17" s="64" t="e">
        <f>IF(#REF!="Yes","H",IF($B17="","",IF(AND($C17&lt;=#REF!,$D17&gt;=#REF!),IF($G17="","x","y"),"")))</f>
        <v>#REF!</v>
      </c>
      <c r="L17" s="64" t="e">
        <f>IF(#REF!="Yes","H",IF($B17="","",IF(AND($C17&lt;=#REF!,$D17&gt;=#REF!),IF($G17="","x","y"),"")))</f>
        <v>#REF!</v>
      </c>
      <c r="M17" s="64" t="e">
        <f>IF(#REF!="Yes","H",IF($B17="","",IF(AND($C17&lt;=#REF!,$D17&gt;=#REF!),IF($G17="","x","y"),"")))</f>
        <v>#REF!</v>
      </c>
      <c r="N17" s="65" t="e">
        <f>IF(#REF!="Yes","H",IF($B17="","",IF(AND($C17&lt;=#REF!,$D17&gt;=#REF!),IF($G17="","x","y"),"")))</f>
        <v>#REF!</v>
      </c>
      <c r="O17" s="66" t="e">
        <f>IF(#REF!="Yes","H",IF($B17="","",IF(AND($C17&lt;=#REF!,$D17&gt;=#REF!),IF($G17="","x","y"),"")))</f>
        <v>#REF!</v>
      </c>
      <c r="P17" s="64" t="e">
        <f>IF(#REF!="Yes","H",IF($B17="","",IF(AND($C17&lt;=#REF!,$D17&gt;=#REF!),IF($G17="","x","y"),"")))</f>
        <v>#REF!</v>
      </c>
      <c r="Q17" s="64" t="e">
        <f>IF(#REF!="Yes","H",IF($B17="","",IF(AND($C17&lt;=#REF!,$D17&gt;=#REF!),IF($G17="","x","y"),"")))</f>
        <v>#REF!</v>
      </c>
      <c r="R17" s="64" t="e">
        <f>IF(#REF!="Yes","H",IF($B17="","",IF(AND($C17&lt;=#REF!,$D17&gt;=#REF!),IF($G17="","x","y"),"")))</f>
        <v>#REF!</v>
      </c>
      <c r="S17" s="67" t="e">
        <f>IF(#REF!="Yes","H",IF($B17="","",IF(AND($C17&lt;=#REF!,$D17&gt;=#REF!),IF($G17="","x","y"),"")))</f>
        <v>#REF!</v>
      </c>
      <c r="T17" s="68" t="e">
        <f>IF(#REF!="Yes","H",IF($B17="","",IF(AND($C17&lt;=#REF!,$D17&gt;=#REF!),IF($G17="","x","y"),"")))</f>
        <v>#REF!</v>
      </c>
      <c r="U17" s="64" t="e">
        <f>IF(#REF!="Yes","H",IF($B17="","",IF(AND($C17&lt;=#REF!,$D17&gt;=#REF!),IF($G17="","x","y"),"")))</f>
        <v>#REF!</v>
      </c>
      <c r="V17" s="64" t="e">
        <f>IF(#REF!="Yes","H",IF($B17="","",IF(AND($C17&lt;=#REF!,$D17&gt;=#REF!),IF($G17="","x","y"),"")))</f>
        <v>#REF!</v>
      </c>
      <c r="W17" s="64" t="e">
        <f>IF(#REF!="Yes","H",IF($B17="","",IF(AND($C17&lt;=#REF!,$D17&gt;=#REF!),IF($G17="","x","y"),"")))</f>
        <v>#REF!</v>
      </c>
      <c r="X17" s="65" t="e">
        <f>IF(#REF!="Yes","H",IF($B17="","",IF(AND($C17&lt;=#REF!,$D17&gt;=#REF!),IF($G17="","x","y"),"")))</f>
        <v>#REF!</v>
      </c>
      <c r="Y17" s="66" t="e">
        <f>IF(#REF!="Yes","H",IF($B17="","",IF(AND($C17&lt;=#REF!,$D17&gt;=#REF!),IF($G17="","x","y"),"")))</f>
        <v>#REF!</v>
      </c>
      <c r="Z17" s="64" t="e">
        <f>IF(#REF!="Yes","H",IF($B17="","",IF(AND($C17&lt;=#REF!,$D17&gt;=#REF!),IF($G17="","x","y"),"")))</f>
        <v>#REF!</v>
      </c>
      <c r="AA17" s="64" t="e">
        <f>IF(#REF!="Yes","H",IF($B17="","",IF(AND($C17&lt;=#REF!,$D17&gt;=#REF!),IF($G17="","x","y"),"")))</f>
        <v>#REF!</v>
      </c>
      <c r="AB17" s="64" t="e">
        <f>IF(#REF!="Yes","H",IF($B17="","",IF(AND($C17&lt;=#REF!,$D17&gt;=#REF!),IF($G17="","x","y"),"")))</f>
        <v>#REF!</v>
      </c>
      <c r="AC17" s="67" t="e">
        <f>IF(#REF!="Yes","H",IF($B17="","",IF(AND($C17&lt;=#REF!,$D17&gt;=#REF!),IF($G17="","x","y"),"")))</f>
        <v>#REF!</v>
      </c>
      <c r="AD17" s="68" t="e">
        <f>IF(#REF!="Yes","H",IF($B17="","",IF(AND($C17&lt;=#REF!,$D17&gt;=#REF!),IF($G17="","x","y"),"")))</f>
        <v>#REF!</v>
      </c>
      <c r="AE17" s="64" t="e">
        <f>IF(#REF!="Yes","H",IF($B17="","",IF(AND($C17&lt;=#REF!,$D17&gt;=#REF!),IF($G17="","x","y"),"")))</f>
        <v>#REF!</v>
      </c>
      <c r="AF17" s="64" t="e">
        <f>IF(#REF!="Yes","H",IF($B17="","",IF(AND($C17&lt;=#REF!,$D17&gt;=#REF!),IF($G17="","x","y"),"")))</f>
        <v>#REF!</v>
      </c>
      <c r="AG17" s="64" t="e">
        <f>IF(#REF!="Yes","H",IF($B17="","",IF(AND($C17&lt;=#REF!,$D17&gt;=#REF!),IF($G17="","x","y"),"")))</f>
        <v>#REF!</v>
      </c>
      <c r="AH17" s="65" t="e">
        <f>IF(#REF!="Yes","H",IF($B17="","",IF(AND($C17&lt;=#REF!,$D17&gt;=#REF!),IF($G17="","x","y"),"")))</f>
        <v>#REF!</v>
      </c>
      <c r="AI17" s="66" t="e">
        <f>IF(#REF!="Yes","H",IF($B17="","",IF(AND($C17&lt;=#REF!,$D17&gt;=#REF!),IF($G17="","x","y"),"")))</f>
        <v>#REF!</v>
      </c>
      <c r="AJ17" s="64" t="e">
        <f>IF(#REF!="Yes","H",IF($B17="","",IF(AND($C17&lt;=#REF!,$D17&gt;=#REF!),IF($G17="","x","y"),"")))</f>
        <v>#REF!</v>
      </c>
      <c r="AK17" s="64" t="e">
        <f>IF(#REF!="Yes","H",IF($B17="","",IF(AND($C17&lt;=#REF!,$D17&gt;=#REF!),IF($G17="","x","y"),"")))</f>
        <v>#REF!</v>
      </c>
      <c r="AL17" s="64" t="e">
        <f>IF(#REF!="Yes","H",IF($B17="","",IF(AND($C17&lt;=#REF!,$D17&gt;=#REF!),IF($G17="","x","y"),"")))</f>
        <v>#REF!</v>
      </c>
      <c r="AM17" s="67" t="e">
        <f>IF(#REF!="Yes","H",IF($B17="","",IF(AND($C17&lt;=#REF!,$D17&gt;=#REF!),IF($G17="","x","y"),"")))</f>
        <v>#REF!</v>
      </c>
      <c r="AN17" s="68" t="e">
        <f>IF(#REF!="Yes","H",IF($B17="","",IF(AND($C17&lt;=#REF!,$D17&gt;=#REF!),IF($G17="","x","y"),"")))</f>
        <v>#REF!</v>
      </c>
      <c r="AO17" s="64" t="e">
        <f>IF(#REF!="Yes","H",IF($B17="","",IF(AND($C17&lt;=#REF!,$D17&gt;=#REF!),IF($G17="","x","y"),"")))</f>
        <v>#REF!</v>
      </c>
      <c r="AP17" s="64" t="e">
        <f>IF(#REF!="Yes","H",IF($B17="","",IF(AND($C17&lt;=#REF!,$D17&gt;=#REF!),IF($G17="","x","y"),"")))</f>
        <v>#REF!</v>
      </c>
      <c r="AQ17" s="64" t="e">
        <f>IF(#REF!="Yes","H",IF($B17="","",IF(AND($C17&lt;=#REF!,$D17&gt;=#REF!),IF($G17="","x","y"),"")))</f>
        <v>#REF!</v>
      </c>
      <c r="AR17" s="65" t="e">
        <f>IF(#REF!="Yes","H",IF($B17="","",IF(AND($C17&lt;=#REF!,$D17&gt;=#REF!),IF($G17="","x","y"),"")))</f>
        <v>#REF!</v>
      </c>
      <c r="AS17" s="66" t="e">
        <f>IF(#REF!="Yes","H",IF($B17="","",IF(AND($C17&lt;=#REF!,$D17&gt;=#REF!),IF($G17="","x","y"),"")))</f>
        <v>#REF!</v>
      </c>
      <c r="AT17" s="64" t="e">
        <f>IF(#REF!="Yes","H",IF($B17="","",IF(AND($C17&lt;=#REF!,$D17&gt;=#REF!),IF($G17="","x","y"),"")))</f>
        <v>#REF!</v>
      </c>
      <c r="AU17" s="64" t="e">
        <f>IF(#REF!="Yes","H",IF($B17="","",IF(AND($C17&lt;=#REF!,$D17&gt;=#REF!),IF($G17="","x","y"),"")))</f>
        <v>#REF!</v>
      </c>
      <c r="AV17" s="64" t="e">
        <f>IF(#REF!="Yes","H",IF($B17="","",IF(AND($C17&lt;=#REF!,$D17&gt;=#REF!),IF($G17="","x","y"),"")))</f>
        <v>#REF!</v>
      </c>
      <c r="AW17" s="67" t="e">
        <f>IF(#REF!="Yes","H",IF($B17="","",IF(AND($C17&lt;=#REF!,$D17&gt;=#REF!),IF($G17="","x","y"),"")))</f>
        <v>#REF!</v>
      </c>
      <c r="AX17" s="68" t="e">
        <f>IF(#REF!="Yes","H",IF($B17="","",IF(AND($C17&lt;=#REF!,$D17&gt;=#REF!),IF($G17="","x","y"),"")))</f>
        <v>#REF!</v>
      </c>
      <c r="AY17" s="64" t="e">
        <f>IF(#REF!="Yes","H",IF($B17="","",IF(AND($C17&lt;=#REF!,$D17&gt;=#REF!),IF($G17="","x","y"),"")))</f>
        <v>#REF!</v>
      </c>
      <c r="AZ17" s="64" t="e">
        <f>IF(#REF!="Yes","H",IF($B17="","",IF(AND($C17&lt;=#REF!,$D17&gt;=#REF!),IF($G17="","x","y"),"")))</f>
        <v>#REF!</v>
      </c>
      <c r="BA17" s="64" t="e">
        <f>IF(#REF!="Yes","H",IF($B17="","",IF(AND($C17&lt;=#REF!,$D17&gt;=#REF!),IF($G17="","x","y"),"")))</f>
        <v>#REF!</v>
      </c>
      <c r="BB17" s="65" t="e">
        <f>IF(#REF!="Yes","H",IF($B17="","",IF(AND($C17&lt;=#REF!,$D17&gt;=#REF!),IF($G17="","x","y"),"")))</f>
        <v>#REF!</v>
      </c>
      <c r="BC17" s="66" t="e">
        <f>IF(#REF!="Yes","H",IF($B17="","",IF(AND($C17&lt;=#REF!,$D17&gt;=#REF!),IF($G17="","x","y"),"")))</f>
        <v>#REF!</v>
      </c>
      <c r="BD17" s="64" t="e">
        <f>IF(#REF!="Yes","H",IF($B17="","",IF(AND($C17&lt;=#REF!,$D17&gt;=#REF!),IF($G17="","x","y"),"")))</f>
        <v>#REF!</v>
      </c>
      <c r="BE17" s="64" t="e">
        <f>IF(#REF!="Yes","H",IF($B17="","",IF(AND($C17&lt;=#REF!,$D17&gt;=#REF!),IF($G17="","x","y"),"")))</f>
        <v>#REF!</v>
      </c>
      <c r="BF17" s="64" t="e">
        <f>IF(#REF!="Yes","H",IF($B17="","",IF(AND($C17&lt;=#REF!,$D17&gt;=#REF!),IF($G17="","x","y"),"")))</f>
        <v>#REF!</v>
      </c>
      <c r="BG17" s="67" t="e">
        <f>IF(#REF!="Yes","H",IF($B17="","",IF(AND($C17&lt;=#REF!,$D17&gt;=#REF!),IF($G17="","x","y"),"")))</f>
        <v>#REF!</v>
      </c>
      <c r="BH17" s="68" t="e">
        <f>IF(#REF!="Yes","H",IF($B17="","",IF(AND($C17&lt;=#REF!,$D17&gt;=#REF!),IF($G17="","x","y"),"")))</f>
        <v>#REF!</v>
      </c>
      <c r="BI17" s="64" t="e">
        <f>IF(#REF!="Yes","H",IF($B17="","",IF(AND($C17&lt;=#REF!,$D17&gt;=#REF!),IF($G17="","x","y"),"")))</f>
        <v>#REF!</v>
      </c>
      <c r="BJ17" s="64" t="e">
        <f>IF(#REF!="Yes","H",IF($B17="","",IF(AND($C17&lt;=#REF!,$D17&gt;=#REF!),IF($G17="","x","y"),"")))</f>
        <v>#REF!</v>
      </c>
      <c r="BK17" s="64" t="e">
        <f>IF(#REF!="Yes","H",IF($B17="","",IF(AND($C17&lt;=#REF!,$D17&gt;=#REF!),IF($G17="","x","y"),"")))</f>
        <v>#REF!</v>
      </c>
      <c r="BL17" s="65" t="e">
        <f>IF(#REF!="Yes","H",IF($B17="","",IF(AND($C17&lt;=#REF!,$D17&gt;=#REF!),IF($G17="","x","y"),"")))</f>
        <v>#REF!</v>
      </c>
      <c r="BM17" s="66" t="e">
        <f>IF(#REF!="Yes","H",IF($B17="","",IF(AND($C17&lt;=#REF!,$D17&gt;=#REF!),IF($G17="","x","y"),"")))</f>
        <v>#REF!</v>
      </c>
      <c r="BN17" s="64" t="e">
        <f>IF(#REF!="Yes","H",IF($B17="","",IF(AND($C17&lt;=#REF!,$D17&gt;=#REF!),IF($G17="","x","y"),"")))</f>
        <v>#REF!</v>
      </c>
      <c r="BO17" s="64" t="e">
        <f>IF(#REF!="Yes","H",IF($B17="","",IF(AND($C17&lt;=#REF!,$D17&gt;=#REF!),IF($G17="","x","y"),"")))</f>
        <v>#REF!</v>
      </c>
      <c r="BP17" s="64" t="e">
        <f>IF(#REF!="Yes","H",IF($B17="","",IF(AND($C17&lt;=#REF!,$D17&gt;=#REF!),IF($G17="","x","y"),"")))</f>
        <v>#REF!</v>
      </c>
      <c r="BQ17" s="67" t="e">
        <f>IF(#REF!="Yes","H",IF($B17="","",IF(AND($C17&lt;=#REF!,$D17&gt;=#REF!),IF($G17="","x","y"),"")))</f>
        <v>#REF!</v>
      </c>
      <c r="BR17" s="68" t="e">
        <f>IF(#REF!="Yes","H",IF($B17="","",IF(AND($C17&lt;=#REF!,$D17&gt;=#REF!),IF($G17="","x","y"),"")))</f>
        <v>#REF!</v>
      </c>
      <c r="BS17" s="64" t="e">
        <f>IF(#REF!="Yes","H",IF($B17="","",IF(AND($C17&lt;=#REF!,$D17&gt;=#REF!),IF($G17="","x","y"),"")))</f>
        <v>#REF!</v>
      </c>
      <c r="BT17" s="64" t="e">
        <f>IF(#REF!="Yes","H",IF($B17="","",IF(AND($C17&lt;=#REF!,$D17&gt;=#REF!),IF($G17="","x","y"),"")))</f>
        <v>#REF!</v>
      </c>
      <c r="BU17" s="64" t="e">
        <f>IF(#REF!="Yes","H",IF($B17="","",IF(AND($C17&lt;=#REF!,$D17&gt;=#REF!),IF($G17="","x","y"),"")))</f>
        <v>#REF!</v>
      </c>
      <c r="BV17" s="65" t="e">
        <f>IF(#REF!="Yes","H",IF($B17="","",IF(AND($C17&lt;=#REF!,$D17&gt;=#REF!),IF($G17="","x","y"),"")))</f>
        <v>#REF!</v>
      </c>
      <c r="BW17" s="66" t="e">
        <f>IF(#REF!="Yes","H",IF($B17="","",IF(AND($C17&lt;=#REF!,$D17&gt;=#REF!),IF($G17="","x","y"),"")))</f>
        <v>#REF!</v>
      </c>
      <c r="BX17" s="64" t="e">
        <f>IF(#REF!="Yes","H",IF($B17="","",IF(AND($C17&lt;=#REF!,$D17&gt;=#REF!),IF($G17="","x","y"),"")))</f>
        <v>#REF!</v>
      </c>
      <c r="BY17" s="64" t="e">
        <f>IF(#REF!="Yes","H",IF($B17="","",IF(AND($C17&lt;=#REF!,$D17&gt;=#REF!),IF($G17="","x","y"),"")))</f>
        <v>#REF!</v>
      </c>
      <c r="BZ17" s="64" t="e">
        <f>IF(#REF!="Yes","H",IF($B17="","",IF(AND($C17&lt;=#REF!,$D17&gt;=#REF!),IF($G17="","x","y"),"")))</f>
        <v>#REF!</v>
      </c>
      <c r="CA17" s="67" t="e">
        <f>IF(#REF!="Yes","H",IF($B17="","",IF(AND($C17&lt;=#REF!,$D17&gt;=#REF!),IF($G17="","x","y"),"")))</f>
        <v>#REF!</v>
      </c>
    </row>
    <row r="18" spans="1:79" ht="15" customHeight="1">
      <c r="B18" s="135" t="s">
        <v>299</v>
      </c>
      <c r="C18" s="260"/>
      <c r="D18" s="260"/>
      <c r="E18" s="260"/>
      <c r="F18" s="209"/>
      <c r="G18" s="261"/>
      <c r="H18" s="209"/>
      <c r="I18" s="262"/>
      <c r="J18" s="263"/>
      <c r="K18" s="264"/>
      <c r="L18" s="264"/>
      <c r="M18" s="264"/>
      <c r="N18" s="265"/>
      <c r="O18" s="266"/>
      <c r="P18" s="264"/>
      <c r="Q18" s="264"/>
      <c r="R18" s="264"/>
      <c r="S18" s="267"/>
      <c r="T18" s="268"/>
      <c r="U18" s="264"/>
      <c r="V18" s="264"/>
      <c r="W18" s="264"/>
      <c r="X18" s="265"/>
      <c r="Y18" s="266"/>
      <c r="Z18" s="264"/>
      <c r="AA18" s="264"/>
      <c r="AB18" s="264"/>
      <c r="AC18" s="267"/>
      <c r="AD18" s="268"/>
      <c r="AE18" s="264"/>
      <c r="AF18" s="264"/>
      <c r="AG18" s="264"/>
      <c r="AH18" s="265"/>
      <c r="AI18" s="266"/>
      <c r="AJ18" s="264"/>
      <c r="AK18" s="264"/>
      <c r="AL18" s="264"/>
      <c r="AM18" s="267"/>
      <c r="AN18" s="268"/>
      <c r="AO18" s="264"/>
      <c r="AP18" s="264"/>
      <c r="AQ18" s="264"/>
      <c r="AR18" s="265"/>
      <c r="AS18" s="266"/>
      <c r="AT18" s="264"/>
      <c r="AU18" s="264"/>
      <c r="AV18" s="264"/>
      <c r="AW18" s="267"/>
      <c r="AX18" s="268"/>
      <c r="AY18" s="264"/>
      <c r="AZ18" s="264"/>
      <c r="BA18" s="264"/>
      <c r="BB18" s="265"/>
      <c r="BC18" s="266"/>
      <c r="BD18" s="264"/>
      <c r="BE18" s="264"/>
      <c r="BF18" s="264"/>
      <c r="BG18" s="267"/>
      <c r="BH18" s="268"/>
      <c r="BI18" s="264"/>
      <c r="BJ18" s="264"/>
      <c r="BK18" s="264"/>
      <c r="BL18" s="265"/>
      <c r="BM18" s="266"/>
      <c r="BN18" s="264"/>
      <c r="BO18" s="264"/>
      <c r="BP18" s="264"/>
      <c r="BQ18" s="267"/>
      <c r="BR18" s="268"/>
      <c r="BS18" s="264"/>
      <c r="BT18" s="264"/>
      <c r="BU18" s="264"/>
      <c r="BV18" s="265"/>
      <c r="BW18" s="266"/>
      <c r="BX18" s="264"/>
      <c r="BY18" s="264"/>
      <c r="BZ18" s="264"/>
      <c r="CA18" s="267"/>
    </row>
    <row r="19" spans="1:79" ht="15" customHeight="1">
      <c r="B19" s="210" t="s">
        <v>125</v>
      </c>
      <c r="C19" s="260"/>
      <c r="D19" s="260"/>
      <c r="E19" s="260"/>
      <c r="F19" s="209"/>
      <c r="G19" s="261"/>
      <c r="H19" s="209"/>
      <c r="I19" s="211"/>
      <c r="J19" s="269" t="e">
        <f>IF(#REF!="Yes","H",IF($B19="","",IF(AND($C19&lt;=#REF!,$D19&gt;=#REF!),IF($G19="","x","y"),"")))</f>
        <v>#REF!</v>
      </c>
      <c r="K19" s="270" t="e">
        <f>IF(#REF!="Yes","H",IF($B19="","",IF(AND($C19&lt;=#REF!,$D19&gt;=#REF!),IF($G19="","x","y"),"")))</f>
        <v>#REF!</v>
      </c>
      <c r="L19" s="270" t="e">
        <f>IF(#REF!="Yes","H",IF($B19="","",IF(AND($C19&lt;=#REF!,$D19&gt;=#REF!),IF($G19="","x","y"),"")))</f>
        <v>#REF!</v>
      </c>
      <c r="M19" s="270" t="e">
        <f>IF(#REF!="Yes","H",IF($B19="","",IF(AND($C19&lt;=#REF!,$D19&gt;=#REF!),IF($G19="","x","y"),"")))</f>
        <v>#REF!</v>
      </c>
      <c r="N19" s="271" t="e">
        <f>IF(#REF!="Yes","H",IF($B19="","",IF(AND($C19&lt;=#REF!,$D19&gt;=#REF!),IF($G19="","x","y"),"")))</f>
        <v>#REF!</v>
      </c>
      <c r="O19" s="272" t="e">
        <f>IF(#REF!="Yes","H",IF($B19="","",IF(AND($C19&lt;=#REF!,$D19&gt;=#REF!),IF($G19="","x","y"),"")))</f>
        <v>#REF!</v>
      </c>
      <c r="P19" s="270" t="e">
        <f>IF(#REF!="Yes","H",IF($B19="","",IF(AND($C19&lt;=#REF!,$D19&gt;=#REF!),IF($G19="","x","y"),"")))</f>
        <v>#REF!</v>
      </c>
      <c r="Q19" s="270" t="e">
        <f>IF(#REF!="Yes","H",IF($B19="","",IF(AND($C19&lt;=#REF!,$D19&gt;=#REF!),IF($G19="","x","y"),"")))</f>
        <v>#REF!</v>
      </c>
      <c r="R19" s="270" t="e">
        <f>IF(#REF!="Yes","H",IF($B19="","",IF(AND($C19&lt;=#REF!,$D19&gt;=#REF!),IF($G19="","x","y"),"")))</f>
        <v>#REF!</v>
      </c>
      <c r="S19" s="273" t="e">
        <f>IF(#REF!="Yes","H",IF($B19="","",IF(AND($C19&lt;=#REF!,$D19&gt;=#REF!),IF($G19="","x","y"),"")))</f>
        <v>#REF!</v>
      </c>
      <c r="T19" s="274" t="e">
        <f>IF(#REF!="Yes","H",IF($B19="","",IF(AND($C19&lt;=#REF!,$D19&gt;=#REF!),IF($G19="","x","y"),"")))</f>
        <v>#REF!</v>
      </c>
      <c r="U19" s="270" t="e">
        <f>IF(#REF!="Yes","H",IF($B19="","",IF(AND($C19&lt;=#REF!,$D19&gt;=#REF!),IF($G19="","x","y"),"")))</f>
        <v>#REF!</v>
      </c>
      <c r="V19" s="270" t="e">
        <f>IF(#REF!="Yes","H",IF($B19="","",IF(AND($C19&lt;=#REF!,$D19&gt;=#REF!),IF($G19="","x","y"),"")))</f>
        <v>#REF!</v>
      </c>
      <c r="W19" s="270" t="e">
        <f>IF(#REF!="Yes","H",IF($B19="","",IF(AND($C19&lt;=#REF!,$D19&gt;=#REF!),IF($G19="","x","y"),"")))</f>
        <v>#REF!</v>
      </c>
      <c r="X19" s="271" t="e">
        <f>IF(#REF!="Yes","H",IF($B19="","",IF(AND($C19&lt;=#REF!,$D19&gt;=#REF!),IF($G19="","x","y"),"")))</f>
        <v>#REF!</v>
      </c>
      <c r="Y19" s="272" t="e">
        <f>IF(#REF!="Yes","H",IF($B19="","",IF(AND($C19&lt;=#REF!,$D19&gt;=#REF!),IF($G19="","x","y"),"")))</f>
        <v>#REF!</v>
      </c>
      <c r="Z19" s="270" t="e">
        <f>IF(#REF!="Yes","H",IF($B19="","",IF(AND($C19&lt;=#REF!,$D19&gt;=#REF!),IF($G19="","x","y"),"")))</f>
        <v>#REF!</v>
      </c>
      <c r="AA19" s="270" t="e">
        <f>IF(#REF!="Yes","H",IF($B19="","",IF(AND($C19&lt;=#REF!,$D19&gt;=#REF!),IF($G19="","x","y"),"")))</f>
        <v>#REF!</v>
      </c>
      <c r="AB19" s="270" t="e">
        <f>IF(#REF!="Yes","H",IF($B19="","",IF(AND($C19&lt;=#REF!,$D19&gt;=#REF!),IF($G19="","x","y"),"")))</f>
        <v>#REF!</v>
      </c>
      <c r="AC19" s="273" t="e">
        <f>IF(#REF!="Yes","H",IF($B19="","",IF(AND($C19&lt;=#REF!,$D19&gt;=#REF!),IF($G19="","x","y"),"")))</f>
        <v>#REF!</v>
      </c>
      <c r="AD19" s="274" t="e">
        <f>IF(#REF!="Yes","H",IF($B19="","",IF(AND($C19&lt;=#REF!,$D19&gt;=#REF!),IF($G19="","x","y"),"")))</f>
        <v>#REF!</v>
      </c>
      <c r="AE19" s="270" t="e">
        <f>IF(#REF!="Yes","H",IF($B19="","",IF(AND($C19&lt;=#REF!,$D19&gt;=#REF!),IF($G19="","x","y"),"")))</f>
        <v>#REF!</v>
      </c>
      <c r="AF19" s="270" t="e">
        <f>IF(#REF!="Yes","H",IF($B19="","",IF(AND($C19&lt;=#REF!,$D19&gt;=#REF!),IF($G19="","x","y"),"")))</f>
        <v>#REF!</v>
      </c>
      <c r="AG19" s="270" t="e">
        <f>IF(#REF!="Yes","H",IF($B19="","",IF(AND($C19&lt;=#REF!,$D19&gt;=#REF!),IF($G19="","x","y"),"")))</f>
        <v>#REF!</v>
      </c>
      <c r="AH19" s="271" t="e">
        <f>IF(#REF!="Yes","H",IF($B19="","",IF(AND($C19&lt;=#REF!,$D19&gt;=#REF!),IF($G19="","x","y"),"")))</f>
        <v>#REF!</v>
      </c>
      <c r="AI19" s="272" t="e">
        <f>IF(#REF!="Yes","H",IF($B19="","",IF(AND($C19&lt;=#REF!,$D19&gt;=#REF!),IF($G19="","x","y"),"")))</f>
        <v>#REF!</v>
      </c>
      <c r="AJ19" s="270" t="e">
        <f>IF(#REF!="Yes","H",IF($B19="","",IF(AND($C19&lt;=#REF!,$D19&gt;=#REF!),IF($G19="","x","y"),"")))</f>
        <v>#REF!</v>
      </c>
      <c r="AK19" s="270" t="e">
        <f>IF(#REF!="Yes","H",IF($B19="","",IF(AND($C19&lt;=#REF!,$D19&gt;=#REF!),IF($G19="","x","y"),"")))</f>
        <v>#REF!</v>
      </c>
      <c r="AL19" s="270" t="e">
        <f>IF(#REF!="Yes","H",IF($B19="","",IF(AND($C19&lt;=#REF!,$D19&gt;=#REF!),IF($G19="","x","y"),"")))</f>
        <v>#REF!</v>
      </c>
      <c r="AM19" s="273" t="e">
        <f>IF(#REF!="Yes","H",IF($B19="","",IF(AND($C19&lt;=#REF!,$D19&gt;=#REF!),IF($G19="","x","y"),"")))</f>
        <v>#REF!</v>
      </c>
      <c r="AN19" s="274" t="e">
        <f>IF(#REF!="Yes","H",IF($B19="","",IF(AND($C19&lt;=#REF!,$D19&gt;=#REF!),IF($G19="","x","y"),"")))</f>
        <v>#REF!</v>
      </c>
      <c r="AO19" s="270" t="e">
        <f>IF(#REF!="Yes","H",IF($B19="","",IF(AND($C19&lt;=#REF!,$D19&gt;=#REF!),IF($G19="","x","y"),"")))</f>
        <v>#REF!</v>
      </c>
      <c r="AP19" s="270" t="e">
        <f>IF(#REF!="Yes","H",IF($B19="","",IF(AND($C19&lt;=#REF!,$D19&gt;=#REF!),IF($G19="","x","y"),"")))</f>
        <v>#REF!</v>
      </c>
      <c r="AQ19" s="270" t="e">
        <f>IF(#REF!="Yes","H",IF($B19="","",IF(AND($C19&lt;=#REF!,$D19&gt;=#REF!),IF($G19="","x","y"),"")))</f>
        <v>#REF!</v>
      </c>
      <c r="AR19" s="271" t="e">
        <f>IF(#REF!="Yes","H",IF($B19="","",IF(AND($C19&lt;=#REF!,$D19&gt;=#REF!),IF($G19="","x","y"),"")))</f>
        <v>#REF!</v>
      </c>
      <c r="AS19" s="272" t="e">
        <f>IF(#REF!="Yes","H",IF($B19="","",IF(AND($C19&lt;=#REF!,$D19&gt;=#REF!),IF($G19="","x","y"),"")))</f>
        <v>#REF!</v>
      </c>
      <c r="AT19" s="270" t="e">
        <f>IF(#REF!="Yes","H",IF($B19="","",IF(AND($C19&lt;=#REF!,$D19&gt;=#REF!),IF($G19="","x","y"),"")))</f>
        <v>#REF!</v>
      </c>
      <c r="AU19" s="270" t="e">
        <f>IF(#REF!="Yes","H",IF($B19="","",IF(AND($C19&lt;=#REF!,$D19&gt;=#REF!),IF($G19="","x","y"),"")))</f>
        <v>#REF!</v>
      </c>
      <c r="AV19" s="270" t="e">
        <f>IF(#REF!="Yes","H",IF($B19="","",IF(AND($C19&lt;=#REF!,$D19&gt;=#REF!),IF($G19="","x","y"),"")))</f>
        <v>#REF!</v>
      </c>
      <c r="AW19" s="273" t="e">
        <f>IF(#REF!="Yes","H",IF($B19="","",IF(AND($C19&lt;=#REF!,$D19&gt;=#REF!),IF($G19="","x","y"),"")))</f>
        <v>#REF!</v>
      </c>
      <c r="AX19" s="274" t="e">
        <f>IF(#REF!="Yes","H",IF($B19="","",IF(AND($C19&lt;=#REF!,$D19&gt;=#REF!),IF($G19="","x","y"),"")))</f>
        <v>#REF!</v>
      </c>
      <c r="AY19" s="270" t="e">
        <f>IF(#REF!="Yes","H",IF($B19="","",IF(AND($C19&lt;=#REF!,$D19&gt;=#REF!),IF($G19="","x","y"),"")))</f>
        <v>#REF!</v>
      </c>
      <c r="AZ19" s="270" t="e">
        <f>IF(#REF!="Yes","H",IF($B19="","",IF(AND($C19&lt;=#REF!,$D19&gt;=#REF!),IF($G19="","x","y"),"")))</f>
        <v>#REF!</v>
      </c>
      <c r="BA19" s="270" t="e">
        <f>IF(#REF!="Yes","H",IF($B19="","",IF(AND($C19&lt;=#REF!,$D19&gt;=#REF!),IF($G19="","x","y"),"")))</f>
        <v>#REF!</v>
      </c>
      <c r="BB19" s="271" t="e">
        <f>IF(#REF!="Yes","H",IF($B19="","",IF(AND($C19&lt;=#REF!,$D19&gt;=#REF!),IF($G19="","x","y"),"")))</f>
        <v>#REF!</v>
      </c>
      <c r="BC19" s="272" t="e">
        <f>IF(#REF!="Yes","H",IF($B19="","",IF(AND($C19&lt;=#REF!,$D19&gt;=#REF!),IF($G19="","x","y"),"")))</f>
        <v>#REF!</v>
      </c>
      <c r="BD19" s="270" t="e">
        <f>IF(#REF!="Yes","H",IF($B19="","",IF(AND($C19&lt;=#REF!,$D19&gt;=#REF!),IF($G19="","x","y"),"")))</f>
        <v>#REF!</v>
      </c>
      <c r="BE19" s="270" t="e">
        <f>IF(#REF!="Yes","H",IF($B19="","",IF(AND($C19&lt;=#REF!,$D19&gt;=#REF!),IF($G19="","x","y"),"")))</f>
        <v>#REF!</v>
      </c>
      <c r="BF19" s="270" t="e">
        <f>IF(#REF!="Yes","H",IF($B19="","",IF(AND($C19&lt;=#REF!,$D19&gt;=#REF!),IF($G19="","x","y"),"")))</f>
        <v>#REF!</v>
      </c>
      <c r="BG19" s="273" t="e">
        <f>IF(#REF!="Yes","H",IF($B19="","",IF(AND($C19&lt;=#REF!,$D19&gt;=#REF!),IF($G19="","x","y"),"")))</f>
        <v>#REF!</v>
      </c>
      <c r="BH19" s="274" t="e">
        <f>IF(#REF!="Yes","H",IF($B19="","",IF(AND($C19&lt;=#REF!,$D19&gt;=#REF!),IF($G19="","x","y"),"")))</f>
        <v>#REF!</v>
      </c>
      <c r="BI19" s="270" t="e">
        <f>IF(#REF!="Yes","H",IF($B19="","",IF(AND($C19&lt;=#REF!,$D19&gt;=#REF!),IF($G19="","x","y"),"")))</f>
        <v>#REF!</v>
      </c>
      <c r="BJ19" s="270" t="e">
        <f>IF(#REF!="Yes","H",IF($B19="","",IF(AND($C19&lt;=#REF!,$D19&gt;=#REF!),IF($G19="","x","y"),"")))</f>
        <v>#REF!</v>
      </c>
      <c r="BK19" s="270" t="e">
        <f>IF(#REF!="Yes","H",IF($B19="","",IF(AND($C19&lt;=#REF!,$D19&gt;=#REF!),IF($G19="","x","y"),"")))</f>
        <v>#REF!</v>
      </c>
      <c r="BL19" s="271" t="e">
        <f>IF(#REF!="Yes","H",IF($B19="","",IF(AND($C19&lt;=#REF!,$D19&gt;=#REF!),IF($G19="","x","y"),"")))</f>
        <v>#REF!</v>
      </c>
      <c r="BM19" s="272" t="e">
        <f>IF(#REF!="Yes","H",IF($B19="","",IF(AND($C19&lt;=#REF!,$D19&gt;=#REF!),IF($G19="","x","y"),"")))</f>
        <v>#REF!</v>
      </c>
      <c r="BN19" s="270" t="e">
        <f>IF(#REF!="Yes","H",IF($B19="","",IF(AND($C19&lt;=#REF!,$D19&gt;=#REF!),IF($G19="","x","y"),"")))</f>
        <v>#REF!</v>
      </c>
      <c r="BO19" s="270" t="e">
        <f>IF(#REF!="Yes","H",IF($B19="","",IF(AND($C19&lt;=#REF!,$D19&gt;=#REF!),IF($G19="","x","y"),"")))</f>
        <v>#REF!</v>
      </c>
      <c r="BP19" s="270" t="e">
        <f>IF(#REF!="Yes","H",IF($B19="","",IF(AND($C19&lt;=#REF!,$D19&gt;=#REF!),IF($G19="","x","y"),"")))</f>
        <v>#REF!</v>
      </c>
      <c r="BQ19" s="273" t="e">
        <f>IF(#REF!="Yes","H",IF($B19="","",IF(AND($C19&lt;=#REF!,$D19&gt;=#REF!),IF($G19="","x","y"),"")))</f>
        <v>#REF!</v>
      </c>
      <c r="BR19" s="274" t="e">
        <f>IF(#REF!="Yes","H",IF($B19="","",IF(AND($C19&lt;=#REF!,$D19&gt;=#REF!),IF($G19="","x","y"),"")))</f>
        <v>#REF!</v>
      </c>
      <c r="BS19" s="270" t="e">
        <f>IF(#REF!="Yes","H",IF($B19="","",IF(AND($C19&lt;=#REF!,$D19&gt;=#REF!),IF($G19="","x","y"),"")))</f>
        <v>#REF!</v>
      </c>
      <c r="BT19" s="270" t="e">
        <f>IF(#REF!="Yes","H",IF($B19="","",IF(AND($C19&lt;=#REF!,$D19&gt;=#REF!),IF($G19="","x","y"),"")))</f>
        <v>#REF!</v>
      </c>
      <c r="BU19" s="270" t="e">
        <f>IF(#REF!="Yes","H",IF($B19="","",IF(AND($C19&lt;=#REF!,$D19&gt;=#REF!),IF($G19="","x","y"),"")))</f>
        <v>#REF!</v>
      </c>
      <c r="BV19" s="271" t="e">
        <f>IF(#REF!="Yes","H",IF($B19="","",IF(AND($C19&lt;=#REF!,$D19&gt;=#REF!),IF($G19="","x","y"),"")))</f>
        <v>#REF!</v>
      </c>
      <c r="BW19" s="272" t="e">
        <f>IF(#REF!="Yes","H",IF($B19="","",IF(AND($C19&lt;=#REF!,$D19&gt;=#REF!),IF($G19="","x","y"),"")))</f>
        <v>#REF!</v>
      </c>
      <c r="BX19" s="270" t="e">
        <f>IF(#REF!="Yes","H",IF($B19="","",IF(AND($C19&lt;=#REF!,$D19&gt;=#REF!),IF($G19="","x","y"),"")))</f>
        <v>#REF!</v>
      </c>
      <c r="BY19" s="270" t="e">
        <f>IF(#REF!="Yes","H",IF($B19="","",IF(AND($C19&lt;=#REF!,$D19&gt;=#REF!),IF($G19="","x","y"),"")))</f>
        <v>#REF!</v>
      </c>
      <c r="BZ19" s="270" t="e">
        <f>IF(#REF!="Yes","H",IF($B19="","",IF(AND($C19&lt;=#REF!,$D19&gt;=#REF!),IF($G19="","x","y"),"")))</f>
        <v>#REF!</v>
      </c>
      <c r="CA19" s="273" t="e">
        <f>IF(#REF!="Yes","H",IF($B19="","",IF(AND($C19&lt;=#REF!,$D19&gt;=#REF!),IF($G19="","x","y"),"")))</f>
        <v>#REF!</v>
      </c>
    </row>
    <row r="20" spans="1:79" ht="15" customHeight="1">
      <c r="B20" s="210" t="s">
        <v>126</v>
      </c>
      <c r="C20" s="260"/>
      <c r="D20" s="260"/>
      <c r="E20" s="260"/>
      <c r="F20" s="209"/>
      <c r="G20" s="261"/>
      <c r="H20" s="209"/>
      <c r="I20" s="211"/>
      <c r="J20" s="269" t="e">
        <f>IF(#REF!="Yes","H",IF($B20="","",IF(AND($C20&lt;=#REF!,$D20&gt;=#REF!),IF($G20="","x","y"),"")))</f>
        <v>#REF!</v>
      </c>
      <c r="K20" s="270" t="e">
        <f>IF(#REF!="Yes","H",IF($B20="","",IF(AND($C20&lt;=#REF!,$D20&gt;=#REF!),IF($G20="","x","y"),"")))</f>
        <v>#REF!</v>
      </c>
      <c r="L20" s="270" t="e">
        <f>IF(#REF!="Yes","H",IF($B20="","",IF(AND($C20&lt;=#REF!,$D20&gt;=#REF!),IF($G20="","x","y"),"")))</f>
        <v>#REF!</v>
      </c>
      <c r="M20" s="270" t="e">
        <f>IF(#REF!="Yes","H",IF($B20="","",IF(AND($C20&lt;=#REF!,$D20&gt;=#REF!),IF($G20="","x","y"),"")))</f>
        <v>#REF!</v>
      </c>
      <c r="N20" s="271" t="e">
        <f>IF(#REF!="Yes","H",IF($B20="","",IF(AND($C20&lt;=#REF!,$D20&gt;=#REF!),IF($G20="","x","y"),"")))</f>
        <v>#REF!</v>
      </c>
      <c r="O20" s="272" t="e">
        <f>IF(#REF!="Yes","H",IF($B20="","",IF(AND($C20&lt;=#REF!,$D20&gt;=#REF!),IF($G20="","x","y"),"")))</f>
        <v>#REF!</v>
      </c>
      <c r="P20" s="270" t="e">
        <f>IF(#REF!="Yes","H",IF($B20="","",IF(AND($C20&lt;=#REF!,$D20&gt;=#REF!),IF($G20="","x","y"),"")))</f>
        <v>#REF!</v>
      </c>
      <c r="Q20" s="270" t="e">
        <f>IF(#REF!="Yes","H",IF($B20="","",IF(AND($C20&lt;=#REF!,$D20&gt;=#REF!),IF($G20="","x","y"),"")))</f>
        <v>#REF!</v>
      </c>
      <c r="R20" s="270" t="e">
        <f>IF(#REF!="Yes","H",IF($B20="","",IF(AND($C20&lt;=#REF!,$D20&gt;=#REF!),IF($G20="","x","y"),"")))</f>
        <v>#REF!</v>
      </c>
      <c r="S20" s="273" t="e">
        <f>IF(#REF!="Yes","H",IF($B20="","",IF(AND($C20&lt;=#REF!,$D20&gt;=#REF!),IF($G20="","x","y"),"")))</f>
        <v>#REF!</v>
      </c>
      <c r="T20" s="274" t="e">
        <f>IF(#REF!="Yes","H",IF($B20="","",IF(AND($C20&lt;=#REF!,$D20&gt;=#REF!),IF($G20="","x","y"),"")))</f>
        <v>#REF!</v>
      </c>
      <c r="U20" s="270" t="e">
        <f>IF(#REF!="Yes","H",IF($B20="","",IF(AND($C20&lt;=#REF!,$D20&gt;=#REF!),IF($G20="","x","y"),"")))</f>
        <v>#REF!</v>
      </c>
      <c r="V20" s="270" t="e">
        <f>IF(#REF!="Yes","H",IF($B20="","",IF(AND($C20&lt;=#REF!,$D20&gt;=#REF!),IF($G20="","x","y"),"")))</f>
        <v>#REF!</v>
      </c>
      <c r="W20" s="270" t="e">
        <f>IF(#REF!="Yes","H",IF($B20="","",IF(AND($C20&lt;=#REF!,$D20&gt;=#REF!),IF($G20="","x","y"),"")))</f>
        <v>#REF!</v>
      </c>
      <c r="X20" s="271" t="e">
        <f>IF(#REF!="Yes","H",IF($B20="","",IF(AND($C20&lt;=#REF!,$D20&gt;=#REF!),IF($G20="","x","y"),"")))</f>
        <v>#REF!</v>
      </c>
      <c r="Y20" s="272" t="e">
        <f>IF(#REF!="Yes","H",IF($B20="","",IF(AND($C20&lt;=#REF!,$D20&gt;=#REF!),IF($G20="","x","y"),"")))</f>
        <v>#REF!</v>
      </c>
      <c r="Z20" s="270" t="e">
        <f>IF(#REF!="Yes","H",IF($B20="","",IF(AND($C20&lt;=#REF!,$D20&gt;=#REF!),IF($G20="","x","y"),"")))</f>
        <v>#REF!</v>
      </c>
      <c r="AA20" s="270" t="e">
        <f>IF(#REF!="Yes","H",IF($B20="","",IF(AND($C20&lt;=#REF!,$D20&gt;=#REF!),IF($G20="","x","y"),"")))</f>
        <v>#REF!</v>
      </c>
      <c r="AB20" s="270" t="e">
        <f>IF(#REF!="Yes","H",IF($B20="","",IF(AND($C20&lt;=#REF!,$D20&gt;=#REF!),IF($G20="","x","y"),"")))</f>
        <v>#REF!</v>
      </c>
      <c r="AC20" s="273" t="e">
        <f>IF(#REF!="Yes","H",IF($B20="","",IF(AND($C20&lt;=#REF!,$D20&gt;=#REF!),IF($G20="","x","y"),"")))</f>
        <v>#REF!</v>
      </c>
      <c r="AD20" s="274" t="e">
        <f>IF(#REF!="Yes","H",IF($B20="","",IF(AND($C20&lt;=#REF!,$D20&gt;=#REF!),IF($G20="","x","y"),"")))</f>
        <v>#REF!</v>
      </c>
      <c r="AE20" s="270" t="e">
        <f>IF(#REF!="Yes","H",IF($B20="","",IF(AND($C20&lt;=#REF!,$D20&gt;=#REF!),IF($G20="","x","y"),"")))</f>
        <v>#REF!</v>
      </c>
      <c r="AF20" s="270" t="e">
        <f>IF(#REF!="Yes","H",IF($B20="","",IF(AND($C20&lt;=#REF!,$D20&gt;=#REF!),IF($G20="","x","y"),"")))</f>
        <v>#REF!</v>
      </c>
      <c r="AG20" s="270" t="e">
        <f>IF(#REF!="Yes","H",IF($B20="","",IF(AND($C20&lt;=#REF!,$D20&gt;=#REF!),IF($G20="","x","y"),"")))</f>
        <v>#REF!</v>
      </c>
      <c r="AH20" s="271" t="e">
        <f>IF(#REF!="Yes","H",IF($B20="","",IF(AND($C20&lt;=#REF!,$D20&gt;=#REF!),IF($G20="","x","y"),"")))</f>
        <v>#REF!</v>
      </c>
      <c r="AI20" s="272" t="e">
        <f>IF(#REF!="Yes","H",IF($B20="","",IF(AND($C20&lt;=#REF!,$D20&gt;=#REF!),IF($G20="","x","y"),"")))</f>
        <v>#REF!</v>
      </c>
      <c r="AJ20" s="270" t="e">
        <f>IF(#REF!="Yes","H",IF($B20="","",IF(AND($C20&lt;=#REF!,$D20&gt;=#REF!),IF($G20="","x","y"),"")))</f>
        <v>#REF!</v>
      </c>
      <c r="AK20" s="270" t="e">
        <f>IF(#REF!="Yes","H",IF($B20="","",IF(AND($C20&lt;=#REF!,$D20&gt;=#REF!),IF($G20="","x","y"),"")))</f>
        <v>#REF!</v>
      </c>
      <c r="AL20" s="270" t="e">
        <f>IF(#REF!="Yes","H",IF($B20="","",IF(AND($C20&lt;=#REF!,$D20&gt;=#REF!),IF($G20="","x","y"),"")))</f>
        <v>#REF!</v>
      </c>
      <c r="AM20" s="273" t="e">
        <f>IF(#REF!="Yes","H",IF($B20="","",IF(AND($C20&lt;=#REF!,$D20&gt;=#REF!),IF($G20="","x","y"),"")))</f>
        <v>#REF!</v>
      </c>
      <c r="AN20" s="274" t="e">
        <f>IF(#REF!="Yes","H",IF($B20="","",IF(AND($C20&lt;=#REF!,$D20&gt;=#REF!),IF($G20="","x","y"),"")))</f>
        <v>#REF!</v>
      </c>
      <c r="AO20" s="270" t="e">
        <f>IF(#REF!="Yes","H",IF($B20="","",IF(AND($C20&lt;=#REF!,$D20&gt;=#REF!),IF($G20="","x","y"),"")))</f>
        <v>#REF!</v>
      </c>
      <c r="AP20" s="270" t="e">
        <f>IF(#REF!="Yes","H",IF($B20="","",IF(AND($C20&lt;=#REF!,$D20&gt;=#REF!),IF($G20="","x","y"),"")))</f>
        <v>#REF!</v>
      </c>
      <c r="AQ20" s="270" t="e">
        <f>IF(#REF!="Yes","H",IF($B20="","",IF(AND($C20&lt;=#REF!,$D20&gt;=#REF!),IF($G20="","x","y"),"")))</f>
        <v>#REF!</v>
      </c>
      <c r="AR20" s="271" t="e">
        <f>IF(#REF!="Yes","H",IF($B20="","",IF(AND($C20&lt;=#REF!,$D20&gt;=#REF!),IF($G20="","x","y"),"")))</f>
        <v>#REF!</v>
      </c>
      <c r="AS20" s="272" t="e">
        <f>IF(#REF!="Yes","H",IF($B20="","",IF(AND($C20&lt;=#REF!,$D20&gt;=#REF!),IF($G20="","x","y"),"")))</f>
        <v>#REF!</v>
      </c>
      <c r="AT20" s="270" t="e">
        <f>IF(#REF!="Yes","H",IF($B20="","",IF(AND($C20&lt;=#REF!,$D20&gt;=#REF!),IF($G20="","x","y"),"")))</f>
        <v>#REF!</v>
      </c>
      <c r="AU20" s="270" t="e">
        <f>IF(#REF!="Yes","H",IF($B20="","",IF(AND($C20&lt;=#REF!,$D20&gt;=#REF!),IF($G20="","x","y"),"")))</f>
        <v>#REF!</v>
      </c>
      <c r="AV20" s="270" t="e">
        <f>IF(#REF!="Yes","H",IF($B20="","",IF(AND($C20&lt;=#REF!,$D20&gt;=#REF!),IF($G20="","x","y"),"")))</f>
        <v>#REF!</v>
      </c>
      <c r="AW20" s="273" t="e">
        <f>IF(#REF!="Yes","H",IF($B20="","",IF(AND($C20&lt;=#REF!,$D20&gt;=#REF!),IF($G20="","x","y"),"")))</f>
        <v>#REF!</v>
      </c>
      <c r="AX20" s="274" t="e">
        <f>IF(#REF!="Yes","H",IF($B20="","",IF(AND($C20&lt;=#REF!,$D20&gt;=#REF!),IF($G20="","x","y"),"")))</f>
        <v>#REF!</v>
      </c>
      <c r="AY20" s="270" t="e">
        <f>IF(#REF!="Yes","H",IF($B20="","",IF(AND($C20&lt;=#REF!,$D20&gt;=#REF!),IF($G20="","x","y"),"")))</f>
        <v>#REF!</v>
      </c>
      <c r="AZ20" s="270" t="e">
        <f>IF(#REF!="Yes","H",IF($B20="","",IF(AND($C20&lt;=#REF!,$D20&gt;=#REF!),IF($G20="","x","y"),"")))</f>
        <v>#REF!</v>
      </c>
      <c r="BA20" s="270" t="e">
        <f>IF(#REF!="Yes","H",IF($B20="","",IF(AND($C20&lt;=#REF!,$D20&gt;=#REF!),IF($G20="","x","y"),"")))</f>
        <v>#REF!</v>
      </c>
      <c r="BB20" s="271" t="e">
        <f>IF(#REF!="Yes","H",IF($B20="","",IF(AND($C20&lt;=#REF!,$D20&gt;=#REF!),IF($G20="","x","y"),"")))</f>
        <v>#REF!</v>
      </c>
      <c r="BC20" s="272" t="e">
        <f>IF(#REF!="Yes","H",IF($B20="","",IF(AND($C20&lt;=#REF!,$D20&gt;=#REF!),IF($G20="","x","y"),"")))</f>
        <v>#REF!</v>
      </c>
      <c r="BD20" s="270" t="e">
        <f>IF(#REF!="Yes","H",IF($B20="","",IF(AND($C20&lt;=#REF!,$D20&gt;=#REF!),IF($G20="","x","y"),"")))</f>
        <v>#REF!</v>
      </c>
      <c r="BE20" s="270" t="e">
        <f>IF(#REF!="Yes","H",IF($B20="","",IF(AND($C20&lt;=#REF!,$D20&gt;=#REF!),IF($G20="","x","y"),"")))</f>
        <v>#REF!</v>
      </c>
      <c r="BF20" s="270" t="e">
        <f>IF(#REF!="Yes","H",IF($B20="","",IF(AND($C20&lt;=#REF!,$D20&gt;=#REF!),IF($G20="","x","y"),"")))</f>
        <v>#REF!</v>
      </c>
      <c r="BG20" s="273" t="e">
        <f>IF(#REF!="Yes","H",IF($B20="","",IF(AND($C20&lt;=#REF!,$D20&gt;=#REF!),IF($G20="","x","y"),"")))</f>
        <v>#REF!</v>
      </c>
      <c r="BH20" s="274" t="e">
        <f>IF(#REF!="Yes","H",IF($B20="","",IF(AND($C20&lt;=#REF!,$D20&gt;=#REF!),IF($G20="","x","y"),"")))</f>
        <v>#REF!</v>
      </c>
      <c r="BI20" s="270" t="e">
        <f>IF(#REF!="Yes","H",IF($B20="","",IF(AND($C20&lt;=#REF!,$D20&gt;=#REF!),IF($G20="","x","y"),"")))</f>
        <v>#REF!</v>
      </c>
      <c r="BJ20" s="270" t="e">
        <f>IF(#REF!="Yes","H",IF($B20="","",IF(AND($C20&lt;=#REF!,$D20&gt;=#REF!),IF($G20="","x","y"),"")))</f>
        <v>#REF!</v>
      </c>
      <c r="BK20" s="270" t="e">
        <f>IF(#REF!="Yes","H",IF($B20="","",IF(AND($C20&lt;=#REF!,$D20&gt;=#REF!),IF($G20="","x","y"),"")))</f>
        <v>#REF!</v>
      </c>
      <c r="BL20" s="271" t="e">
        <f>IF(#REF!="Yes","H",IF($B20="","",IF(AND($C20&lt;=#REF!,$D20&gt;=#REF!),IF($G20="","x","y"),"")))</f>
        <v>#REF!</v>
      </c>
      <c r="BM20" s="272" t="e">
        <f>IF(#REF!="Yes","H",IF($B20="","",IF(AND($C20&lt;=#REF!,$D20&gt;=#REF!),IF($G20="","x","y"),"")))</f>
        <v>#REF!</v>
      </c>
      <c r="BN20" s="270" t="e">
        <f>IF(#REF!="Yes","H",IF($B20="","",IF(AND($C20&lt;=#REF!,$D20&gt;=#REF!),IF($G20="","x","y"),"")))</f>
        <v>#REF!</v>
      </c>
      <c r="BO20" s="270" t="e">
        <f>IF(#REF!="Yes","H",IF($B20="","",IF(AND($C20&lt;=#REF!,$D20&gt;=#REF!),IF($G20="","x","y"),"")))</f>
        <v>#REF!</v>
      </c>
      <c r="BP20" s="270" t="e">
        <f>IF(#REF!="Yes","H",IF($B20="","",IF(AND($C20&lt;=#REF!,$D20&gt;=#REF!),IF($G20="","x","y"),"")))</f>
        <v>#REF!</v>
      </c>
      <c r="BQ20" s="273" t="e">
        <f>IF(#REF!="Yes","H",IF($B20="","",IF(AND($C20&lt;=#REF!,$D20&gt;=#REF!),IF($G20="","x","y"),"")))</f>
        <v>#REF!</v>
      </c>
      <c r="BR20" s="274" t="e">
        <f>IF(#REF!="Yes","H",IF($B20="","",IF(AND($C20&lt;=#REF!,$D20&gt;=#REF!),IF($G20="","x","y"),"")))</f>
        <v>#REF!</v>
      </c>
      <c r="BS20" s="270" t="e">
        <f>IF(#REF!="Yes","H",IF($B20="","",IF(AND($C20&lt;=#REF!,$D20&gt;=#REF!),IF($G20="","x","y"),"")))</f>
        <v>#REF!</v>
      </c>
      <c r="BT20" s="270" t="e">
        <f>IF(#REF!="Yes","H",IF($B20="","",IF(AND($C20&lt;=#REF!,$D20&gt;=#REF!),IF($G20="","x","y"),"")))</f>
        <v>#REF!</v>
      </c>
      <c r="BU20" s="270" t="e">
        <f>IF(#REF!="Yes","H",IF($B20="","",IF(AND($C20&lt;=#REF!,$D20&gt;=#REF!),IF($G20="","x","y"),"")))</f>
        <v>#REF!</v>
      </c>
      <c r="BV20" s="271" t="e">
        <f>IF(#REF!="Yes","H",IF($B20="","",IF(AND($C20&lt;=#REF!,$D20&gt;=#REF!),IF($G20="","x","y"),"")))</f>
        <v>#REF!</v>
      </c>
      <c r="BW20" s="272" t="e">
        <f>IF(#REF!="Yes","H",IF($B20="","",IF(AND($C20&lt;=#REF!,$D20&gt;=#REF!),IF($G20="","x","y"),"")))</f>
        <v>#REF!</v>
      </c>
      <c r="BX20" s="270" t="e">
        <f>IF(#REF!="Yes","H",IF($B20="","",IF(AND($C20&lt;=#REF!,$D20&gt;=#REF!),IF($G20="","x","y"),"")))</f>
        <v>#REF!</v>
      </c>
      <c r="BY20" s="270" t="e">
        <f>IF(#REF!="Yes","H",IF($B20="","",IF(AND($C20&lt;=#REF!,$D20&gt;=#REF!),IF($G20="","x","y"),"")))</f>
        <v>#REF!</v>
      </c>
      <c r="BZ20" s="270" t="e">
        <f>IF(#REF!="Yes","H",IF($B20="","",IF(AND($C20&lt;=#REF!,$D20&gt;=#REF!),IF($G20="","x","y"),"")))</f>
        <v>#REF!</v>
      </c>
      <c r="CA20" s="273" t="e">
        <f>IF(#REF!="Yes","H",IF($B20="","",IF(AND($C20&lt;=#REF!,$D20&gt;=#REF!),IF($G20="","x","y"),"")))</f>
        <v>#REF!</v>
      </c>
    </row>
    <row r="21" spans="1:79" ht="15" customHeight="1">
      <c r="B21" s="210" t="s">
        <v>99</v>
      </c>
      <c r="C21" s="260"/>
      <c r="D21" s="260"/>
      <c r="E21" s="260"/>
      <c r="F21" s="223"/>
      <c r="G21" s="275"/>
      <c r="H21" s="209"/>
      <c r="I21" s="211"/>
      <c r="J21" s="269" t="e">
        <f>IF(#REF!="Yes","H",IF($B21="","",IF(AND($C21&lt;=#REF!,$D21&gt;=#REF!),IF($G21="","x","y"),"")))</f>
        <v>#REF!</v>
      </c>
      <c r="K21" s="270" t="e">
        <f>IF(#REF!="Yes","H",IF($B21="","",IF(AND($C21&lt;=#REF!,$D21&gt;=#REF!),IF($G21="","x","y"),"")))</f>
        <v>#REF!</v>
      </c>
      <c r="L21" s="270" t="e">
        <f>IF(#REF!="Yes","H",IF($B21="","",IF(AND($C21&lt;=#REF!,$D21&gt;=#REF!),IF($G21="","x","y"),"")))</f>
        <v>#REF!</v>
      </c>
      <c r="M21" s="270" t="e">
        <f>IF(#REF!="Yes","H",IF($B21="","",IF(AND($C21&lt;=#REF!,$D21&gt;=#REF!),IF($G21="","x","y"),"")))</f>
        <v>#REF!</v>
      </c>
      <c r="N21" s="271" t="e">
        <f>IF(#REF!="Yes","H",IF($B21="","",IF(AND($C21&lt;=#REF!,$D21&gt;=#REF!),IF($G21="","x","y"),"")))</f>
        <v>#REF!</v>
      </c>
      <c r="O21" s="272" t="e">
        <f>IF(#REF!="Yes","H",IF($B21="","",IF(AND($C21&lt;=#REF!,$D21&gt;=#REF!),IF($G21="","x","y"),"")))</f>
        <v>#REF!</v>
      </c>
      <c r="P21" s="270" t="e">
        <f>IF(#REF!="Yes","H",IF($B21="","",IF(AND($C21&lt;=#REF!,$D21&gt;=#REF!),IF($G21="","x","y"),"")))</f>
        <v>#REF!</v>
      </c>
      <c r="Q21" s="270" t="e">
        <f>IF(#REF!="Yes","H",IF($B21="","",IF(AND($C21&lt;=#REF!,$D21&gt;=#REF!),IF($G21="","x","y"),"")))</f>
        <v>#REF!</v>
      </c>
      <c r="R21" s="270" t="e">
        <f>IF(#REF!="Yes","H",IF($B21="","",IF(AND($C21&lt;=#REF!,$D21&gt;=#REF!),IF($G21="","x","y"),"")))</f>
        <v>#REF!</v>
      </c>
      <c r="S21" s="273" t="e">
        <f>IF(#REF!="Yes","H",IF($B21="","",IF(AND($C21&lt;=#REF!,$D21&gt;=#REF!),IF($G21="","x","y"),"")))</f>
        <v>#REF!</v>
      </c>
      <c r="T21" s="274" t="e">
        <f>IF(#REF!="Yes","H",IF($B21="","",IF(AND($C21&lt;=#REF!,$D21&gt;=#REF!),IF($G21="","x","y"),"")))</f>
        <v>#REF!</v>
      </c>
      <c r="U21" s="270" t="e">
        <f>IF(#REF!="Yes","H",IF($B21="","",IF(AND($C21&lt;=#REF!,$D21&gt;=#REF!),IF($G21="","x","y"),"")))</f>
        <v>#REF!</v>
      </c>
      <c r="V21" s="270" t="e">
        <f>IF(#REF!="Yes","H",IF($B21="","",IF(AND($C21&lt;=#REF!,$D21&gt;=#REF!),IF($G21="","x","y"),"")))</f>
        <v>#REF!</v>
      </c>
      <c r="W21" s="270" t="e">
        <f>IF(#REF!="Yes","H",IF($B21="","",IF(AND($C21&lt;=#REF!,$D21&gt;=#REF!),IF($G21="","x","y"),"")))</f>
        <v>#REF!</v>
      </c>
      <c r="X21" s="271" t="e">
        <f>IF(#REF!="Yes","H",IF($B21="","",IF(AND($C21&lt;=#REF!,$D21&gt;=#REF!),IF($G21="","x","y"),"")))</f>
        <v>#REF!</v>
      </c>
      <c r="Y21" s="272" t="e">
        <f>IF(#REF!="Yes","H",IF($B21="","",IF(AND($C21&lt;=#REF!,$D21&gt;=#REF!),IF($G21="","x","y"),"")))</f>
        <v>#REF!</v>
      </c>
      <c r="Z21" s="270" t="e">
        <f>IF(#REF!="Yes","H",IF($B21="","",IF(AND($C21&lt;=#REF!,$D21&gt;=#REF!),IF($G21="","x","y"),"")))</f>
        <v>#REF!</v>
      </c>
      <c r="AA21" s="270" t="e">
        <f>IF(#REF!="Yes","H",IF($B21="","",IF(AND($C21&lt;=#REF!,$D21&gt;=#REF!),IF($G21="","x","y"),"")))</f>
        <v>#REF!</v>
      </c>
      <c r="AB21" s="270" t="e">
        <f>IF(#REF!="Yes","H",IF($B21="","",IF(AND($C21&lt;=#REF!,$D21&gt;=#REF!),IF($G21="","x","y"),"")))</f>
        <v>#REF!</v>
      </c>
      <c r="AC21" s="273" t="e">
        <f>IF(#REF!="Yes","H",IF($B21="","",IF(AND($C21&lt;=#REF!,$D21&gt;=#REF!),IF($G21="","x","y"),"")))</f>
        <v>#REF!</v>
      </c>
      <c r="AD21" s="274" t="e">
        <f>IF(#REF!="Yes","H",IF($B21="","",IF(AND($C21&lt;=#REF!,$D21&gt;=#REF!),IF($G21="","x","y"),"")))</f>
        <v>#REF!</v>
      </c>
      <c r="AE21" s="270" t="e">
        <f>IF(#REF!="Yes","H",IF($B21="","",IF(AND($C21&lt;=#REF!,$D21&gt;=#REF!),IF($G21="","x","y"),"")))</f>
        <v>#REF!</v>
      </c>
      <c r="AF21" s="270" t="e">
        <f>IF(#REF!="Yes","H",IF($B21="","",IF(AND($C21&lt;=#REF!,$D21&gt;=#REF!),IF($G21="","x","y"),"")))</f>
        <v>#REF!</v>
      </c>
      <c r="AG21" s="270" t="e">
        <f>IF(#REF!="Yes","H",IF($B21="","",IF(AND($C21&lt;=#REF!,$D21&gt;=#REF!),IF($G21="","x","y"),"")))</f>
        <v>#REF!</v>
      </c>
      <c r="AH21" s="271" t="e">
        <f>IF(#REF!="Yes","H",IF($B21="","",IF(AND($C21&lt;=#REF!,$D21&gt;=#REF!),IF($G21="","x","y"),"")))</f>
        <v>#REF!</v>
      </c>
      <c r="AI21" s="272" t="e">
        <f>IF(#REF!="Yes","H",IF($B21="","",IF(AND($C21&lt;=#REF!,$D21&gt;=#REF!),IF($G21="","x","y"),"")))</f>
        <v>#REF!</v>
      </c>
      <c r="AJ21" s="270" t="e">
        <f>IF(#REF!="Yes","H",IF($B21="","",IF(AND($C21&lt;=#REF!,$D21&gt;=#REF!),IF($G21="","x","y"),"")))</f>
        <v>#REF!</v>
      </c>
      <c r="AK21" s="270" t="e">
        <f>IF(#REF!="Yes","H",IF($B21="","",IF(AND($C21&lt;=#REF!,$D21&gt;=#REF!),IF($G21="","x","y"),"")))</f>
        <v>#REF!</v>
      </c>
      <c r="AL21" s="270" t="e">
        <f>IF(#REF!="Yes","H",IF($B21="","",IF(AND($C21&lt;=#REF!,$D21&gt;=#REF!),IF($G21="","x","y"),"")))</f>
        <v>#REF!</v>
      </c>
      <c r="AM21" s="273" t="e">
        <f>IF(#REF!="Yes","H",IF($B21="","",IF(AND($C21&lt;=#REF!,$D21&gt;=#REF!),IF($G21="","x","y"),"")))</f>
        <v>#REF!</v>
      </c>
      <c r="AN21" s="274" t="e">
        <f>IF(#REF!="Yes","H",IF($B21="","",IF(AND($C21&lt;=#REF!,$D21&gt;=#REF!),IF($G21="","x","y"),"")))</f>
        <v>#REF!</v>
      </c>
      <c r="AO21" s="270" t="e">
        <f>IF(#REF!="Yes","H",IF($B21="","",IF(AND($C21&lt;=#REF!,$D21&gt;=#REF!),IF($G21="","x","y"),"")))</f>
        <v>#REF!</v>
      </c>
      <c r="AP21" s="270" t="e">
        <f>IF(#REF!="Yes","H",IF($B21="","",IF(AND($C21&lt;=#REF!,$D21&gt;=#REF!),IF($G21="","x","y"),"")))</f>
        <v>#REF!</v>
      </c>
      <c r="AQ21" s="270" t="e">
        <f>IF(#REF!="Yes","H",IF($B21="","",IF(AND($C21&lt;=#REF!,$D21&gt;=#REF!),IF($G21="","x","y"),"")))</f>
        <v>#REF!</v>
      </c>
      <c r="AR21" s="271" t="e">
        <f>IF(#REF!="Yes","H",IF($B21="","",IF(AND($C21&lt;=#REF!,$D21&gt;=#REF!),IF($G21="","x","y"),"")))</f>
        <v>#REF!</v>
      </c>
      <c r="AS21" s="272" t="e">
        <f>IF(#REF!="Yes","H",IF($B21="","",IF(AND($C21&lt;=#REF!,$D21&gt;=#REF!),IF($G21="","x","y"),"")))</f>
        <v>#REF!</v>
      </c>
      <c r="AT21" s="270" t="e">
        <f>IF(#REF!="Yes","H",IF($B21="","",IF(AND($C21&lt;=#REF!,$D21&gt;=#REF!),IF($G21="","x","y"),"")))</f>
        <v>#REF!</v>
      </c>
      <c r="AU21" s="270" t="e">
        <f>IF(#REF!="Yes","H",IF($B21="","",IF(AND($C21&lt;=#REF!,$D21&gt;=#REF!),IF($G21="","x","y"),"")))</f>
        <v>#REF!</v>
      </c>
      <c r="AV21" s="270" t="e">
        <f>IF(#REF!="Yes","H",IF($B21="","",IF(AND($C21&lt;=#REF!,$D21&gt;=#REF!),IF($G21="","x","y"),"")))</f>
        <v>#REF!</v>
      </c>
      <c r="AW21" s="273" t="e">
        <f>IF(#REF!="Yes","H",IF($B21="","",IF(AND($C21&lt;=#REF!,$D21&gt;=#REF!),IF($G21="","x","y"),"")))</f>
        <v>#REF!</v>
      </c>
      <c r="AX21" s="274" t="e">
        <f>IF(#REF!="Yes","H",IF($B21="","",IF(AND($C21&lt;=#REF!,$D21&gt;=#REF!),IF($G21="","x","y"),"")))</f>
        <v>#REF!</v>
      </c>
      <c r="AY21" s="270" t="e">
        <f>IF(#REF!="Yes","H",IF($B21="","",IF(AND($C21&lt;=#REF!,$D21&gt;=#REF!),IF($G21="","x","y"),"")))</f>
        <v>#REF!</v>
      </c>
      <c r="AZ21" s="270" t="e">
        <f>IF(#REF!="Yes","H",IF($B21="","",IF(AND($C21&lt;=#REF!,$D21&gt;=#REF!),IF($G21="","x","y"),"")))</f>
        <v>#REF!</v>
      </c>
      <c r="BA21" s="270" t="e">
        <f>IF(#REF!="Yes","H",IF($B21="","",IF(AND($C21&lt;=#REF!,$D21&gt;=#REF!),IF($G21="","x","y"),"")))</f>
        <v>#REF!</v>
      </c>
      <c r="BB21" s="271" t="e">
        <f>IF(#REF!="Yes","H",IF($B21="","",IF(AND($C21&lt;=#REF!,$D21&gt;=#REF!),IF($G21="","x","y"),"")))</f>
        <v>#REF!</v>
      </c>
      <c r="BC21" s="272" t="e">
        <f>IF(#REF!="Yes","H",IF($B21="","",IF(AND($C21&lt;=#REF!,$D21&gt;=#REF!),IF($G21="","x","y"),"")))</f>
        <v>#REF!</v>
      </c>
      <c r="BD21" s="270" t="e">
        <f>IF(#REF!="Yes","H",IF($B21="","",IF(AND($C21&lt;=#REF!,$D21&gt;=#REF!),IF($G21="","x","y"),"")))</f>
        <v>#REF!</v>
      </c>
      <c r="BE21" s="270" t="e">
        <f>IF(#REF!="Yes","H",IF($B21="","",IF(AND($C21&lt;=#REF!,$D21&gt;=#REF!),IF($G21="","x","y"),"")))</f>
        <v>#REF!</v>
      </c>
      <c r="BF21" s="270" t="e">
        <f>IF(#REF!="Yes","H",IF($B21="","",IF(AND($C21&lt;=#REF!,$D21&gt;=#REF!),IF($G21="","x","y"),"")))</f>
        <v>#REF!</v>
      </c>
      <c r="BG21" s="273" t="e">
        <f>IF(#REF!="Yes","H",IF($B21="","",IF(AND($C21&lt;=#REF!,$D21&gt;=#REF!),IF($G21="","x","y"),"")))</f>
        <v>#REF!</v>
      </c>
      <c r="BH21" s="274" t="e">
        <f>IF(#REF!="Yes","H",IF($B21="","",IF(AND($C21&lt;=#REF!,$D21&gt;=#REF!),IF($G21="","x","y"),"")))</f>
        <v>#REF!</v>
      </c>
      <c r="BI21" s="270" t="e">
        <f>IF(#REF!="Yes","H",IF($B21="","",IF(AND($C21&lt;=#REF!,$D21&gt;=#REF!),IF($G21="","x","y"),"")))</f>
        <v>#REF!</v>
      </c>
      <c r="BJ21" s="270" t="e">
        <f>IF(#REF!="Yes","H",IF($B21="","",IF(AND($C21&lt;=#REF!,$D21&gt;=#REF!),IF($G21="","x","y"),"")))</f>
        <v>#REF!</v>
      </c>
      <c r="BK21" s="270" t="e">
        <f>IF(#REF!="Yes","H",IF($B21="","",IF(AND($C21&lt;=#REF!,$D21&gt;=#REF!),IF($G21="","x","y"),"")))</f>
        <v>#REF!</v>
      </c>
      <c r="BL21" s="271" t="e">
        <f>IF(#REF!="Yes","H",IF($B21="","",IF(AND($C21&lt;=#REF!,$D21&gt;=#REF!),IF($G21="","x","y"),"")))</f>
        <v>#REF!</v>
      </c>
      <c r="BM21" s="272" t="e">
        <f>IF(#REF!="Yes","H",IF($B21="","",IF(AND($C21&lt;=#REF!,$D21&gt;=#REF!),IF($G21="","x","y"),"")))</f>
        <v>#REF!</v>
      </c>
      <c r="BN21" s="270" t="e">
        <f>IF(#REF!="Yes","H",IF($B21="","",IF(AND($C21&lt;=#REF!,$D21&gt;=#REF!),IF($G21="","x","y"),"")))</f>
        <v>#REF!</v>
      </c>
      <c r="BO21" s="270" t="e">
        <f>IF(#REF!="Yes","H",IF($B21="","",IF(AND($C21&lt;=#REF!,$D21&gt;=#REF!),IF($G21="","x","y"),"")))</f>
        <v>#REF!</v>
      </c>
      <c r="BP21" s="270" t="e">
        <f>IF(#REF!="Yes","H",IF($B21="","",IF(AND($C21&lt;=#REF!,$D21&gt;=#REF!),IF($G21="","x","y"),"")))</f>
        <v>#REF!</v>
      </c>
      <c r="BQ21" s="273" t="e">
        <f>IF(#REF!="Yes","H",IF($B21="","",IF(AND($C21&lt;=#REF!,$D21&gt;=#REF!),IF($G21="","x","y"),"")))</f>
        <v>#REF!</v>
      </c>
      <c r="BR21" s="274" t="e">
        <f>IF(#REF!="Yes","H",IF($B21="","",IF(AND($C21&lt;=#REF!,$D21&gt;=#REF!),IF($G21="","x","y"),"")))</f>
        <v>#REF!</v>
      </c>
      <c r="BS21" s="270" t="e">
        <f>IF(#REF!="Yes","H",IF($B21="","",IF(AND($C21&lt;=#REF!,$D21&gt;=#REF!),IF($G21="","x","y"),"")))</f>
        <v>#REF!</v>
      </c>
      <c r="BT21" s="270" t="e">
        <f>IF(#REF!="Yes","H",IF($B21="","",IF(AND($C21&lt;=#REF!,$D21&gt;=#REF!),IF($G21="","x","y"),"")))</f>
        <v>#REF!</v>
      </c>
      <c r="BU21" s="270" t="e">
        <f>IF(#REF!="Yes","H",IF($B21="","",IF(AND($C21&lt;=#REF!,$D21&gt;=#REF!),IF($G21="","x","y"),"")))</f>
        <v>#REF!</v>
      </c>
      <c r="BV21" s="271" t="e">
        <f>IF(#REF!="Yes","H",IF($B21="","",IF(AND($C21&lt;=#REF!,$D21&gt;=#REF!),IF($G21="","x","y"),"")))</f>
        <v>#REF!</v>
      </c>
      <c r="BW21" s="272" t="e">
        <f>IF(#REF!="Yes","H",IF($B21="","",IF(AND($C21&lt;=#REF!,$D21&gt;=#REF!),IF($G21="","x","y"),"")))</f>
        <v>#REF!</v>
      </c>
      <c r="BX21" s="270" t="e">
        <f>IF(#REF!="Yes","H",IF($B21="","",IF(AND($C21&lt;=#REF!,$D21&gt;=#REF!),IF($G21="","x","y"),"")))</f>
        <v>#REF!</v>
      </c>
      <c r="BY21" s="270" t="e">
        <f>IF(#REF!="Yes","H",IF($B21="","",IF(AND($C21&lt;=#REF!,$D21&gt;=#REF!),IF($G21="","x","y"),"")))</f>
        <v>#REF!</v>
      </c>
      <c r="BZ21" s="270" t="e">
        <f>IF(#REF!="Yes","H",IF($B21="","",IF(AND($C21&lt;=#REF!,$D21&gt;=#REF!),IF($G21="","x","y"),"")))</f>
        <v>#REF!</v>
      </c>
      <c r="CA21" s="273" t="e">
        <f>IF(#REF!="Yes","H",IF($B21="","",IF(AND($C21&lt;=#REF!,$D21&gt;=#REF!),IF($G21="","x","y"),"")))</f>
        <v>#REF!</v>
      </c>
    </row>
    <row r="22" spans="1:79" ht="15" customHeight="1">
      <c r="B22" s="210" t="s">
        <v>127</v>
      </c>
      <c r="C22" s="260"/>
      <c r="D22" s="260"/>
      <c r="E22" s="260"/>
      <c r="F22" s="224"/>
      <c r="G22" s="224"/>
      <c r="H22" s="209"/>
      <c r="I22" s="211"/>
      <c r="J22" s="269" t="e">
        <f>IF(#REF!="Yes","H",IF($B22="","",IF(AND($C22&lt;=#REF!,$D22&gt;=#REF!),IF($G22="","x","y"),"")))</f>
        <v>#REF!</v>
      </c>
      <c r="K22" s="270" t="e">
        <f>IF(#REF!="Yes","H",IF($B22="","",IF(AND($C22&lt;=#REF!,$D22&gt;=#REF!),IF($G22="","x","y"),"")))</f>
        <v>#REF!</v>
      </c>
      <c r="L22" s="270" t="e">
        <f>IF(#REF!="Yes","H",IF($B22="","",IF(AND($C22&lt;=#REF!,$D22&gt;=#REF!),IF($G22="","x","y"),"")))</f>
        <v>#REF!</v>
      </c>
      <c r="M22" s="270" t="e">
        <f>IF(#REF!="Yes","H",IF($B22="","",IF(AND($C22&lt;=#REF!,$D22&gt;=#REF!),IF($G22="","x","y"),"")))</f>
        <v>#REF!</v>
      </c>
      <c r="N22" s="271" t="e">
        <f>IF(#REF!="Yes","H",IF($B22="","",IF(AND($C22&lt;=#REF!,$D22&gt;=#REF!),IF($G22="","x","y"),"")))</f>
        <v>#REF!</v>
      </c>
      <c r="O22" s="272" t="e">
        <f>IF(#REF!="Yes","H",IF($B22="","",IF(AND($C22&lt;=#REF!,$D22&gt;=#REF!),IF($G22="","x","y"),"")))</f>
        <v>#REF!</v>
      </c>
      <c r="P22" s="270" t="e">
        <f>IF(#REF!="Yes","H",IF($B22="","",IF(AND($C22&lt;=#REF!,$D22&gt;=#REF!),IF($G22="","x","y"),"")))</f>
        <v>#REF!</v>
      </c>
      <c r="Q22" s="270" t="e">
        <f>IF(#REF!="Yes","H",IF($B22="","",IF(AND($C22&lt;=#REF!,$D22&gt;=#REF!),IF($G22="","x","y"),"")))</f>
        <v>#REF!</v>
      </c>
      <c r="R22" s="270" t="e">
        <f>IF(#REF!="Yes","H",IF($B22="","",IF(AND($C22&lt;=#REF!,$D22&gt;=#REF!),IF($G22="","x","y"),"")))</f>
        <v>#REF!</v>
      </c>
      <c r="S22" s="273" t="e">
        <f>IF(#REF!="Yes","H",IF($B22="","",IF(AND($C22&lt;=#REF!,$D22&gt;=#REF!),IF($G22="","x","y"),"")))</f>
        <v>#REF!</v>
      </c>
      <c r="T22" s="274" t="e">
        <f>IF(#REF!="Yes","H",IF($B22="","",IF(AND($C22&lt;=#REF!,$D22&gt;=#REF!),IF($G22="","x","y"),"")))</f>
        <v>#REF!</v>
      </c>
      <c r="U22" s="270" t="e">
        <f>IF(#REF!="Yes","H",IF($B22="","",IF(AND($C22&lt;=#REF!,$D22&gt;=#REF!),IF($G22="","x","y"),"")))</f>
        <v>#REF!</v>
      </c>
      <c r="V22" s="270" t="e">
        <f>IF(#REF!="Yes","H",IF($B22="","",IF(AND($C22&lt;=#REF!,$D22&gt;=#REF!),IF($G22="","x","y"),"")))</f>
        <v>#REF!</v>
      </c>
      <c r="W22" s="270" t="e">
        <f>IF(#REF!="Yes","H",IF($B22="","",IF(AND($C22&lt;=#REF!,$D22&gt;=#REF!),IF($G22="","x","y"),"")))</f>
        <v>#REF!</v>
      </c>
      <c r="X22" s="271" t="e">
        <f>IF(#REF!="Yes","H",IF($B22="","",IF(AND($C22&lt;=#REF!,$D22&gt;=#REF!),IF($G22="","x","y"),"")))</f>
        <v>#REF!</v>
      </c>
      <c r="Y22" s="272" t="e">
        <f>IF(#REF!="Yes","H",IF($B22="","",IF(AND($C22&lt;=#REF!,$D22&gt;=#REF!),IF($G22="","x","y"),"")))</f>
        <v>#REF!</v>
      </c>
      <c r="Z22" s="270" t="e">
        <f>IF(#REF!="Yes","H",IF($B22="","",IF(AND($C22&lt;=#REF!,$D22&gt;=#REF!),IF($G22="","x","y"),"")))</f>
        <v>#REF!</v>
      </c>
      <c r="AA22" s="270" t="e">
        <f>IF(#REF!="Yes","H",IF($B22="","",IF(AND($C22&lt;=#REF!,$D22&gt;=#REF!),IF($G22="","x","y"),"")))</f>
        <v>#REF!</v>
      </c>
      <c r="AB22" s="270" t="e">
        <f>IF(#REF!="Yes","H",IF($B22="","",IF(AND($C22&lt;=#REF!,$D22&gt;=#REF!),IF($G22="","x","y"),"")))</f>
        <v>#REF!</v>
      </c>
      <c r="AC22" s="273" t="e">
        <f>IF(#REF!="Yes","H",IF($B22="","",IF(AND($C22&lt;=#REF!,$D22&gt;=#REF!),IF($G22="","x","y"),"")))</f>
        <v>#REF!</v>
      </c>
      <c r="AD22" s="274" t="e">
        <f>IF(#REF!="Yes","H",IF($B22="","",IF(AND($C22&lt;=#REF!,$D22&gt;=#REF!),IF($G22="","x","y"),"")))</f>
        <v>#REF!</v>
      </c>
      <c r="AE22" s="270" t="e">
        <f>IF(#REF!="Yes","H",IF($B22="","",IF(AND($C22&lt;=#REF!,$D22&gt;=#REF!),IF($G22="","x","y"),"")))</f>
        <v>#REF!</v>
      </c>
      <c r="AF22" s="270" t="e">
        <f>IF(#REF!="Yes","H",IF($B22="","",IF(AND($C22&lt;=#REF!,$D22&gt;=#REF!),IF($G22="","x","y"),"")))</f>
        <v>#REF!</v>
      </c>
      <c r="AG22" s="270" t="e">
        <f>IF(#REF!="Yes","H",IF($B22="","",IF(AND($C22&lt;=#REF!,$D22&gt;=#REF!),IF($G22="","x","y"),"")))</f>
        <v>#REF!</v>
      </c>
      <c r="AH22" s="271" t="e">
        <f>IF(#REF!="Yes","H",IF($B22="","",IF(AND($C22&lt;=#REF!,$D22&gt;=#REF!),IF($G22="","x","y"),"")))</f>
        <v>#REF!</v>
      </c>
      <c r="AI22" s="272" t="e">
        <f>IF(#REF!="Yes","H",IF($B22="","",IF(AND($C22&lt;=#REF!,$D22&gt;=#REF!),IF($G22="","x","y"),"")))</f>
        <v>#REF!</v>
      </c>
      <c r="AJ22" s="270" t="e">
        <f>IF(#REF!="Yes","H",IF($B22="","",IF(AND($C22&lt;=#REF!,$D22&gt;=#REF!),IF($G22="","x","y"),"")))</f>
        <v>#REF!</v>
      </c>
      <c r="AK22" s="270" t="e">
        <f>IF(#REF!="Yes","H",IF($B22="","",IF(AND($C22&lt;=#REF!,$D22&gt;=#REF!),IF($G22="","x","y"),"")))</f>
        <v>#REF!</v>
      </c>
      <c r="AL22" s="270" t="e">
        <f>IF(#REF!="Yes","H",IF($B22="","",IF(AND($C22&lt;=#REF!,$D22&gt;=#REF!),IF($G22="","x","y"),"")))</f>
        <v>#REF!</v>
      </c>
      <c r="AM22" s="273" t="e">
        <f>IF(#REF!="Yes","H",IF($B22="","",IF(AND($C22&lt;=#REF!,$D22&gt;=#REF!),IF($G22="","x","y"),"")))</f>
        <v>#REF!</v>
      </c>
      <c r="AN22" s="274" t="e">
        <f>IF(#REF!="Yes","H",IF($B22="","",IF(AND($C22&lt;=#REF!,$D22&gt;=#REF!),IF($G22="","x","y"),"")))</f>
        <v>#REF!</v>
      </c>
      <c r="AO22" s="270" t="e">
        <f>IF(#REF!="Yes","H",IF($B22="","",IF(AND($C22&lt;=#REF!,$D22&gt;=#REF!),IF($G22="","x","y"),"")))</f>
        <v>#REF!</v>
      </c>
      <c r="AP22" s="270" t="e">
        <f>IF(#REF!="Yes","H",IF($B22="","",IF(AND($C22&lt;=#REF!,$D22&gt;=#REF!),IF($G22="","x","y"),"")))</f>
        <v>#REF!</v>
      </c>
      <c r="AQ22" s="270" t="e">
        <f>IF(#REF!="Yes","H",IF($B22="","",IF(AND($C22&lt;=#REF!,$D22&gt;=#REF!),IF($G22="","x","y"),"")))</f>
        <v>#REF!</v>
      </c>
      <c r="AR22" s="271" t="e">
        <f>IF(#REF!="Yes","H",IF($B22="","",IF(AND($C22&lt;=#REF!,$D22&gt;=#REF!),IF($G22="","x","y"),"")))</f>
        <v>#REF!</v>
      </c>
      <c r="AS22" s="272" t="e">
        <f>IF(#REF!="Yes","H",IF($B22="","",IF(AND($C22&lt;=#REF!,$D22&gt;=#REF!),IF($G22="","x","y"),"")))</f>
        <v>#REF!</v>
      </c>
      <c r="AT22" s="270" t="e">
        <f>IF(#REF!="Yes","H",IF($B22="","",IF(AND($C22&lt;=#REF!,$D22&gt;=#REF!),IF($G22="","x","y"),"")))</f>
        <v>#REF!</v>
      </c>
      <c r="AU22" s="270" t="e">
        <f>IF(#REF!="Yes","H",IF($B22="","",IF(AND($C22&lt;=#REF!,$D22&gt;=#REF!),IF($G22="","x","y"),"")))</f>
        <v>#REF!</v>
      </c>
      <c r="AV22" s="270" t="e">
        <f>IF(#REF!="Yes","H",IF($B22="","",IF(AND($C22&lt;=#REF!,$D22&gt;=#REF!),IF($G22="","x","y"),"")))</f>
        <v>#REF!</v>
      </c>
      <c r="AW22" s="273" t="e">
        <f>IF(#REF!="Yes","H",IF($B22="","",IF(AND($C22&lt;=#REF!,$D22&gt;=#REF!),IF($G22="","x","y"),"")))</f>
        <v>#REF!</v>
      </c>
      <c r="AX22" s="274" t="e">
        <f>IF(#REF!="Yes","H",IF($B22="","",IF(AND($C22&lt;=#REF!,$D22&gt;=#REF!),IF($G22="","x","y"),"")))</f>
        <v>#REF!</v>
      </c>
      <c r="AY22" s="270" t="e">
        <f>IF(#REF!="Yes","H",IF($B22="","",IF(AND($C22&lt;=#REF!,$D22&gt;=#REF!),IF($G22="","x","y"),"")))</f>
        <v>#REF!</v>
      </c>
      <c r="AZ22" s="270" t="e">
        <f>IF(#REF!="Yes","H",IF($B22="","",IF(AND($C22&lt;=#REF!,$D22&gt;=#REF!),IF($G22="","x","y"),"")))</f>
        <v>#REF!</v>
      </c>
      <c r="BA22" s="270" t="e">
        <f>IF(#REF!="Yes","H",IF($B22="","",IF(AND($C22&lt;=#REF!,$D22&gt;=#REF!),IF($G22="","x","y"),"")))</f>
        <v>#REF!</v>
      </c>
      <c r="BB22" s="271" t="e">
        <f>IF(#REF!="Yes","H",IF($B22="","",IF(AND($C22&lt;=#REF!,$D22&gt;=#REF!),IF($G22="","x","y"),"")))</f>
        <v>#REF!</v>
      </c>
      <c r="BC22" s="272" t="e">
        <f>IF(#REF!="Yes","H",IF($B22="","",IF(AND($C22&lt;=#REF!,$D22&gt;=#REF!),IF($G22="","x","y"),"")))</f>
        <v>#REF!</v>
      </c>
      <c r="BD22" s="270" t="e">
        <f>IF(#REF!="Yes","H",IF($B22="","",IF(AND($C22&lt;=#REF!,$D22&gt;=#REF!),IF($G22="","x","y"),"")))</f>
        <v>#REF!</v>
      </c>
      <c r="BE22" s="270" t="e">
        <f>IF(#REF!="Yes","H",IF($B22="","",IF(AND($C22&lt;=#REF!,$D22&gt;=#REF!),IF($G22="","x","y"),"")))</f>
        <v>#REF!</v>
      </c>
      <c r="BF22" s="270" t="e">
        <f>IF(#REF!="Yes","H",IF($B22="","",IF(AND($C22&lt;=#REF!,$D22&gt;=#REF!),IF($G22="","x","y"),"")))</f>
        <v>#REF!</v>
      </c>
      <c r="BG22" s="273" t="e">
        <f>IF(#REF!="Yes","H",IF($B22="","",IF(AND($C22&lt;=#REF!,$D22&gt;=#REF!),IF($G22="","x","y"),"")))</f>
        <v>#REF!</v>
      </c>
      <c r="BH22" s="274" t="e">
        <f>IF(#REF!="Yes","H",IF($B22="","",IF(AND($C22&lt;=#REF!,$D22&gt;=#REF!),IF($G22="","x","y"),"")))</f>
        <v>#REF!</v>
      </c>
      <c r="BI22" s="270" t="e">
        <f>IF(#REF!="Yes","H",IF($B22="","",IF(AND($C22&lt;=#REF!,$D22&gt;=#REF!),IF($G22="","x","y"),"")))</f>
        <v>#REF!</v>
      </c>
      <c r="BJ22" s="270" t="e">
        <f>IF(#REF!="Yes","H",IF($B22="","",IF(AND($C22&lt;=#REF!,$D22&gt;=#REF!),IF($G22="","x","y"),"")))</f>
        <v>#REF!</v>
      </c>
      <c r="BK22" s="270" t="e">
        <f>IF(#REF!="Yes","H",IF($B22="","",IF(AND($C22&lt;=#REF!,$D22&gt;=#REF!),IF($G22="","x","y"),"")))</f>
        <v>#REF!</v>
      </c>
      <c r="BL22" s="271" t="e">
        <f>IF(#REF!="Yes","H",IF($B22="","",IF(AND($C22&lt;=#REF!,$D22&gt;=#REF!),IF($G22="","x","y"),"")))</f>
        <v>#REF!</v>
      </c>
      <c r="BM22" s="272" t="e">
        <f>IF(#REF!="Yes","H",IF($B22="","",IF(AND($C22&lt;=#REF!,$D22&gt;=#REF!),IF($G22="","x","y"),"")))</f>
        <v>#REF!</v>
      </c>
      <c r="BN22" s="270" t="e">
        <f>IF(#REF!="Yes","H",IF($B22="","",IF(AND($C22&lt;=#REF!,$D22&gt;=#REF!),IF($G22="","x","y"),"")))</f>
        <v>#REF!</v>
      </c>
      <c r="BO22" s="270" t="e">
        <f>IF(#REF!="Yes","H",IF($B22="","",IF(AND($C22&lt;=#REF!,$D22&gt;=#REF!),IF($G22="","x","y"),"")))</f>
        <v>#REF!</v>
      </c>
      <c r="BP22" s="270" t="e">
        <f>IF(#REF!="Yes","H",IF($B22="","",IF(AND($C22&lt;=#REF!,$D22&gt;=#REF!),IF($G22="","x","y"),"")))</f>
        <v>#REF!</v>
      </c>
      <c r="BQ22" s="273" t="e">
        <f>IF(#REF!="Yes","H",IF($B22="","",IF(AND($C22&lt;=#REF!,$D22&gt;=#REF!),IF($G22="","x","y"),"")))</f>
        <v>#REF!</v>
      </c>
      <c r="BR22" s="274" t="e">
        <f>IF(#REF!="Yes","H",IF($B22="","",IF(AND($C22&lt;=#REF!,$D22&gt;=#REF!),IF($G22="","x","y"),"")))</f>
        <v>#REF!</v>
      </c>
      <c r="BS22" s="270" t="e">
        <f>IF(#REF!="Yes","H",IF($B22="","",IF(AND($C22&lt;=#REF!,$D22&gt;=#REF!),IF($G22="","x","y"),"")))</f>
        <v>#REF!</v>
      </c>
      <c r="BT22" s="270" t="e">
        <f>IF(#REF!="Yes","H",IF($B22="","",IF(AND($C22&lt;=#REF!,$D22&gt;=#REF!),IF($G22="","x","y"),"")))</f>
        <v>#REF!</v>
      </c>
      <c r="BU22" s="270" t="e">
        <f>IF(#REF!="Yes","H",IF($B22="","",IF(AND($C22&lt;=#REF!,$D22&gt;=#REF!),IF($G22="","x","y"),"")))</f>
        <v>#REF!</v>
      </c>
      <c r="BV22" s="271" t="e">
        <f>IF(#REF!="Yes","H",IF($B22="","",IF(AND($C22&lt;=#REF!,$D22&gt;=#REF!),IF($G22="","x","y"),"")))</f>
        <v>#REF!</v>
      </c>
      <c r="BW22" s="272" t="e">
        <f>IF(#REF!="Yes","H",IF($B22="","",IF(AND($C22&lt;=#REF!,$D22&gt;=#REF!),IF($G22="","x","y"),"")))</f>
        <v>#REF!</v>
      </c>
      <c r="BX22" s="270" t="e">
        <f>IF(#REF!="Yes","H",IF($B22="","",IF(AND($C22&lt;=#REF!,$D22&gt;=#REF!),IF($G22="","x","y"),"")))</f>
        <v>#REF!</v>
      </c>
      <c r="BY22" s="270" t="e">
        <f>IF(#REF!="Yes","H",IF($B22="","",IF(AND($C22&lt;=#REF!,$D22&gt;=#REF!),IF($G22="","x","y"),"")))</f>
        <v>#REF!</v>
      </c>
      <c r="BZ22" s="270" t="e">
        <f>IF(#REF!="Yes","H",IF($B22="","",IF(AND($C22&lt;=#REF!,$D22&gt;=#REF!),IF($G22="","x","y"),"")))</f>
        <v>#REF!</v>
      </c>
      <c r="CA22" s="273" t="e">
        <f>IF(#REF!="Yes","H",IF($B22="","",IF(AND($C22&lt;=#REF!,$D22&gt;=#REF!),IF($G22="","x","y"),"")))</f>
        <v>#REF!</v>
      </c>
    </row>
    <row r="23" spans="1:79" ht="15" customHeight="1">
      <c r="B23" s="210" t="s">
        <v>128</v>
      </c>
      <c r="C23" s="260"/>
      <c r="D23" s="260"/>
      <c r="E23" s="260"/>
      <c r="F23" s="224"/>
      <c r="G23" s="224"/>
      <c r="H23" s="209"/>
      <c r="I23" s="211"/>
      <c r="J23" s="269" t="e">
        <f>IF(#REF!="Yes","H",IF($B23="","",IF(AND($C23&lt;=#REF!,$D23&gt;=#REF!),IF($G23="","x","y"),"")))</f>
        <v>#REF!</v>
      </c>
      <c r="K23" s="270" t="e">
        <f>IF(#REF!="Yes","H",IF($B23="","",IF(AND($C23&lt;=#REF!,$D23&gt;=#REF!),IF($G23="","x","y"),"")))</f>
        <v>#REF!</v>
      </c>
      <c r="L23" s="270" t="e">
        <f>IF(#REF!="Yes","H",IF($B23="","",IF(AND($C23&lt;=#REF!,$D23&gt;=#REF!),IF($G23="","x","y"),"")))</f>
        <v>#REF!</v>
      </c>
      <c r="M23" s="270" t="e">
        <f>IF(#REF!="Yes","H",IF($B23="","",IF(AND($C23&lt;=#REF!,$D23&gt;=#REF!),IF($G23="","x","y"),"")))</f>
        <v>#REF!</v>
      </c>
      <c r="N23" s="271" t="e">
        <f>IF(#REF!="Yes","H",IF($B23="","",IF(AND($C23&lt;=#REF!,$D23&gt;=#REF!),IF($G23="","x","y"),"")))</f>
        <v>#REF!</v>
      </c>
      <c r="O23" s="272" t="e">
        <f>IF(#REF!="Yes","H",IF($B23="","",IF(AND($C23&lt;=#REF!,$D23&gt;=#REF!),IF($G23="","x","y"),"")))</f>
        <v>#REF!</v>
      </c>
      <c r="P23" s="270" t="e">
        <f>IF(#REF!="Yes","H",IF($B23="","",IF(AND($C23&lt;=#REF!,$D23&gt;=#REF!),IF($G23="","x","y"),"")))</f>
        <v>#REF!</v>
      </c>
      <c r="Q23" s="270" t="e">
        <f>IF(#REF!="Yes","H",IF($B23="","",IF(AND($C23&lt;=#REF!,$D23&gt;=#REF!),IF($G23="","x","y"),"")))</f>
        <v>#REF!</v>
      </c>
      <c r="R23" s="270" t="e">
        <f>IF(#REF!="Yes","H",IF($B23="","",IF(AND($C23&lt;=#REF!,$D23&gt;=#REF!),IF($G23="","x","y"),"")))</f>
        <v>#REF!</v>
      </c>
      <c r="S23" s="273" t="e">
        <f>IF(#REF!="Yes","H",IF($B23="","",IF(AND($C23&lt;=#REF!,$D23&gt;=#REF!),IF($G23="","x","y"),"")))</f>
        <v>#REF!</v>
      </c>
      <c r="T23" s="274" t="e">
        <f>IF(#REF!="Yes","H",IF($B23="","",IF(AND($C23&lt;=#REF!,$D23&gt;=#REF!),IF($G23="","x","y"),"")))</f>
        <v>#REF!</v>
      </c>
      <c r="U23" s="270" t="e">
        <f>IF(#REF!="Yes","H",IF($B23="","",IF(AND($C23&lt;=#REF!,$D23&gt;=#REF!),IF($G23="","x","y"),"")))</f>
        <v>#REF!</v>
      </c>
      <c r="V23" s="270" t="e">
        <f>IF(#REF!="Yes","H",IF($B23="","",IF(AND($C23&lt;=#REF!,$D23&gt;=#REF!),IF($G23="","x","y"),"")))</f>
        <v>#REF!</v>
      </c>
      <c r="W23" s="270" t="e">
        <f>IF(#REF!="Yes","H",IF($B23="","",IF(AND($C23&lt;=#REF!,$D23&gt;=#REF!),IF($G23="","x","y"),"")))</f>
        <v>#REF!</v>
      </c>
      <c r="X23" s="271" t="e">
        <f>IF(#REF!="Yes","H",IF($B23="","",IF(AND($C23&lt;=#REF!,$D23&gt;=#REF!),IF($G23="","x","y"),"")))</f>
        <v>#REF!</v>
      </c>
      <c r="Y23" s="272" t="e">
        <f>IF(#REF!="Yes","H",IF($B23="","",IF(AND($C23&lt;=#REF!,$D23&gt;=#REF!),IF($G23="","x","y"),"")))</f>
        <v>#REF!</v>
      </c>
      <c r="Z23" s="270" t="e">
        <f>IF(#REF!="Yes","H",IF($B23="","",IF(AND($C23&lt;=#REF!,$D23&gt;=#REF!),IF($G23="","x","y"),"")))</f>
        <v>#REF!</v>
      </c>
      <c r="AA23" s="270" t="e">
        <f>IF(#REF!="Yes","H",IF($B23="","",IF(AND($C23&lt;=#REF!,$D23&gt;=#REF!),IF($G23="","x","y"),"")))</f>
        <v>#REF!</v>
      </c>
      <c r="AB23" s="270" t="e">
        <f>IF(#REF!="Yes","H",IF($B23="","",IF(AND($C23&lt;=#REF!,$D23&gt;=#REF!),IF($G23="","x","y"),"")))</f>
        <v>#REF!</v>
      </c>
      <c r="AC23" s="273" t="e">
        <f>IF(#REF!="Yes","H",IF($B23="","",IF(AND($C23&lt;=#REF!,$D23&gt;=#REF!),IF($G23="","x","y"),"")))</f>
        <v>#REF!</v>
      </c>
      <c r="AD23" s="274" t="e">
        <f>IF(#REF!="Yes","H",IF($B23="","",IF(AND($C23&lt;=#REF!,$D23&gt;=#REF!),IF($G23="","x","y"),"")))</f>
        <v>#REF!</v>
      </c>
      <c r="AE23" s="270" t="e">
        <f>IF(#REF!="Yes","H",IF($B23="","",IF(AND($C23&lt;=#REF!,$D23&gt;=#REF!),IF($G23="","x","y"),"")))</f>
        <v>#REF!</v>
      </c>
      <c r="AF23" s="270" t="e">
        <f>IF(#REF!="Yes","H",IF($B23="","",IF(AND($C23&lt;=#REF!,$D23&gt;=#REF!),IF($G23="","x","y"),"")))</f>
        <v>#REF!</v>
      </c>
      <c r="AG23" s="270" t="e">
        <f>IF(#REF!="Yes","H",IF($B23="","",IF(AND($C23&lt;=#REF!,$D23&gt;=#REF!),IF($G23="","x","y"),"")))</f>
        <v>#REF!</v>
      </c>
      <c r="AH23" s="271" t="e">
        <f>IF(#REF!="Yes","H",IF($B23="","",IF(AND($C23&lt;=#REF!,$D23&gt;=#REF!),IF($G23="","x","y"),"")))</f>
        <v>#REF!</v>
      </c>
      <c r="AI23" s="272" t="e">
        <f>IF(#REF!="Yes","H",IF($B23="","",IF(AND($C23&lt;=#REF!,$D23&gt;=#REF!),IF($G23="","x","y"),"")))</f>
        <v>#REF!</v>
      </c>
      <c r="AJ23" s="270" t="e">
        <f>IF(#REF!="Yes","H",IF($B23="","",IF(AND($C23&lt;=#REF!,$D23&gt;=#REF!),IF($G23="","x","y"),"")))</f>
        <v>#REF!</v>
      </c>
      <c r="AK23" s="270" t="e">
        <f>IF(#REF!="Yes","H",IF($B23="","",IF(AND($C23&lt;=#REF!,$D23&gt;=#REF!),IF($G23="","x","y"),"")))</f>
        <v>#REF!</v>
      </c>
      <c r="AL23" s="270" t="e">
        <f>IF(#REF!="Yes","H",IF($B23="","",IF(AND($C23&lt;=#REF!,$D23&gt;=#REF!),IF($G23="","x","y"),"")))</f>
        <v>#REF!</v>
      </c>
      <c r="AM23" s="273" t="e">
        <f>IF(#REF!="Yes","H",IF($B23="","",IF(AND($C23&lt;=#REF!,$D23&gt;=#REF!),IF($G23="","x","y"),"")))</f>
        <v>#REF!</v>
      </c>
      <c r="AN23" s="274" t="e">
        <f>IF(#REF!="Yes","H",IF($B23="","",IF(AND($C23&lt;=#REF!,$D23&gt;=#REF!),IF($G23="","x","y"),"")))</f>
        <v>#REF!</v>
      </c>
      <c r="AO23" s="270" t="e">
        <f>IF(#REF!="Yes","H",IF($B23="","",IF(AND($C23&lt;=#REF!,$D23&gt;=#REF!),IF($G23="","x","y"),"")))</f>
        <v>#REF!</v>
      </c>
      <c r="AP23" s="270" t="e">
        <f>IF(#REF!="Yes","H",IF($B23="","",IF(AND($C23&lt;=#REF!,$D23&gt;=#REF!),IF($G23="","x","y"),"")))</f>
        <v>#REF!</v>
      </c>
      <c r="AQ23" s="270" t="e">
        <f>IF(#REF!="Yes","H",IF($B23="","",IF(AND($C23&lt;=#REF!,$D23&gt;=#REF!),IF($G23="","x","y"),"")))</f>
        <v>#REF!</v>
      </c>
      <c r="AR23" s="271" t="e">
        <f>IF(#REF!="Yes","H",IF($B23="","",IF(AND($C23&lt;=#REF!,$D23&gt;=#REF!),IF($G23="","x","y"),"")))</f>
        <v>#REF!</v>
      </c>
      <c r="AS23" s="272" t="e">
        <f>IF(#REF!="Yes","H",IF($B23="","",IF(AND($C23&lt;=#REF!,$D23&gt;=#REF!),IF($G23="","x","y"),"")))</f>
        <v>#REF!</v>
      </c>
      <c r="AT23" s="270" t="e">
        <f>IF(#REF!="Yes","H",IF($B23="","",IF(AND($C23&lt;=#REF!,$D23&gt;=#REF!),IF($G23="","x","y"),"")))</f>
        <v>#REF!</v>
      </c>
      <c r="AU23" s="270" t="e">
        <f>IF(#REF!="Yes","H",IF($B23="","",IF(AND($C23&lt;=#REF!,$D23&gt;=#REF!),IF($G23="","x","y"),"")))</f>
        <v>#REF!</v>
      </c>
      <c r="AV23" s="270" t="e">
        <f>IF(#REF!="Yes","H",IF($B23="","",IF(AND($C23&lt;=#REF!,$D23&gt;=#REF!),IF($G23="","x","y"),"")))</f>
        <v>#REF!</v>
      </c>
      <c r="AW23" s="273" t="e">
        <f>IF(#REF!="Yes","H",IF($B23="","",IF(AND($C23&lt;=#REF!,$D23&gt;=#REF!),IF($G23="","x","y"),"")))</f>
        <v>#REF!</v>
      </c>
      <c r="AX23" s="274" t="e">
        <f>IF(#REF!="Yes","H",IF($B23="","",IF(AND($C23&lt;=#REF!,$D23&gt;=#REF!),IF($G23="","x","y"),"")))</f>
        <v>#REF!</v>
      </c>
      <c r="AY23" s="270" t="e">
        <f>IF(#REF!="Yes","H",IF($B23="","",IF(AND($C23&lt;=#REF!,$D23&gt;=#REF!),IF($G23="","x","y"),"")))</f>
        <v>#REF!</v>
      </c>
      <c r="AZ23" s="270" t="e">
        <f>IF(#REF!="Yes","H",IF($B23="","",IF(AND($C23&lt;=#REF!,$D23&gt;=#REF!),IF($G23="","x","y"),"")))</f>
        <v>#REF!</v>
      </c>
      <c r="BA23" s="270" t="e">
        <f>IF(#REF!="Yes","H",IF($B23="","",IF(AND($C23&lt;=#REF!,$D23&gt;=#REF!),IF($G23="","x","y"),"")))</f>
        <v>#REF!</v>
      </c>
      <c r="BB23" s="271" t="e">
        <f>IF(#REF!="Yes","H",IF($B23="","",IF(AND($C23&lt;=#REF!,$D23&gt;=#REF!),IF($G23="","x","y"),"")))</f>
        <v>#REF!</v>
      </c>
      <c r="BC23" s="272" t="e">
        <f>IF(#REF!="Yes","H",IF($B23="","",IF(AND($C23&lt;=#REF!,$D23&gt;=#REF!),IF($G23="","x","y"),"")))</f>
        <v>#REF!</v>
      </c>
      <c r="BD23" s="270" t="e">
        <f>IF(#REF!="Yes","H",IF($B23="","",IF(AND($C23&lt;=#REF!,$D23&gt;=#REF!),IF($G23="","x","y"),"")))</f>
        <v>#REF!</v>
      </c>
      <c r="BE23" s="270" t="e">
        <f>IF(#REF!="Yes","H",IF($B23="","",IF(AND($C23&lt;=#REF!,$D23&gt;=#REF!),IF($G23="","x","y"),"")))</f>
        <v>#REF!</v>
      </c>
      <c r="BF23" s="270" t="e">
        <f>IF(#REF!="Yes","H",IF($B23="","",IF(AND($C23&lt;=#REF!,$D23&gt;=#REF!),IF($G23="","x","y"),"")))</f>
        <v>#REF!</v>
      </c>
      <c r="BG23" s="273" t="e">
        <f>IF(#REF!="Yes","H",IF($B23="","",IF(AND($C23&lt;=#REF!,$D23&gt;=#REF!),IF($G23="","x","y"),"")))</f>
        <v>#REF!</v>
      </c>
      <c r="BH23" s="274" t="e">
        <f>IF(#REF!="Yes","H",IF($B23="","",IF(AND($C23&lt;=#REF!,$D23&gt;=#REF!),IF($G23="","x","y"),"")))</f>
        <v>#REF!</v>
      </c>
      <c r="BI23" s="270" t="e">
        <f>IF(#REF!="Yes","H",IF($B23="","",IF(AND($C23&lt;=#REF!,$D23&gt;=#REF!),IF($G23="","x","y"),"")))</f>
        <v>#REF!</v>
      </c>
      <c r="BJ23" s="270" t="e">
        <f>IF(#REF!="Yes","H",IF($B23="","",IF(AND($C23&lt;=#REF!,$D23&gt;=#REF!),IF($G23="","x","y"),"")))</f>
        <v>#REF!</v>
      </c>
      <c r="BK23" s="270" t="e">
        <f>IF(#REF!="Yes","H",IF($B23="","",IF(AND($C23&lt;=#REF!,$D23&gt;=#REF!),IF($G23="","x","y"),"")))</f>
        <v>#REF!</v>
      </c>
      <c r="BL23" s="271" t="e">
        <f>IF(#REF!="Yes","H",IF($B23="","",IF(AND($C23&lt;=#REF!,$D23&gt;=#REF!),IF($G23="","x","y"),"")))</f>
        <v>#REF!</v>
      </c>
      <c r="BM23" s="272" t="e">
        <f>IF(#REF!="Yes","H",IF($B23="","",IF(AND($C23&lt;=#REF!,$D23&gt;=#REF!),IF($G23="","x","y"),"")))</f>
        <v>#REF!</v>
      </c>
      <c r="BN23" s="270" t="e">
        <f>IF(#REF!="Yes","H",IF($B23="","",IF(AND($C23&lt;=#REF!,$D23&gt;=#REF!),IF($G23="","x","y"),"")))</f>
        <v>#REF!</v>
      </c>
      <c r="BO23" s="270" t="e">
        <f>IF(#REF!="Yes","H",IF($B23="","",IF(AND($C23&lt;=#REF!,$D23&gt;=#REF!),IF($G23="","x","y"),"")))</f>
        <v>#REF!</v>
      </c>
      <c r="BP23" s="270" t="e">
        <f>IF(#REF!="Yes","H",IF($B23="","",IF(AND($C23&lt;=#REF!,$D23&gt;=#REF!),IF($G23="","x","y"),"")))</f>
        <v>#REF!</v>
      </c>
      <c r="BQ23" s="273" t="e">
        <f>IF(#REF!="Yes","H",IF($B23="","",IF(AND($C23&lt;=#REF!,$D23&gt;=#REF!),IF($G23="","x","y"),"")))</f>
        <v>#REF!</v>
      </c>
      <c r="BR23" s="274" t="e">
        <f>IF(#REF!="Yes","H",IF($B23="","",IF(AND($C23&lt;=#REF!,$D23&gt;=#REF!),IF($G23="","x","y"),"")))</f>
        <v>#REF!</v>
      </c>
      <c r="BS23" s="270" t="e">
        <f>IF(#REF!="Yes","H",IF($B23="","",IF(AND($C23&lt;=#REF!,$D23&gt;=#REF!),IF($G23="","x","y"),"")))</f>
        <v>#REF!</v>
      </c>
      <c r="BT23" s="270" t="e">
        <f>IF(#REF!="Yes","H",IF($B23="","",IF(AND($C23&lt;=#REF!,$D23&gt;=#REF!),IF($G23="","x","y"),"")))</f>
        <v>#REF!</v>
      </c>
      <c r="BU23" s="270" t="e">
        <f>IF(#REF!="Yes","H",IF($B23="","",IF(AND($C23&lt;=#REF!,$D23&gt;=#REF!),IF($G23="","x","y"),"")))</f>
        <v>#REF!</v>
      </c>
      <c r="BV23" s="271" t="e">
        <f>IF(#REF!="Yes","H",IF($B23="","",IF(AND($C23&lt;=#REF!,$D23&gt;=#REF!),IF($G23="","x","y"),"")))</f>
        <v>#REF!</v>
      </c>
      <c r="BW23" s="272" t="e">
        <f>IF(#REF!="Yes","H",IF($B23="","",IF(AND($C23&lt;=#REF!,$D23&gt;=#REF!),IF($G23="","x","y"),"")))</f>
        <v>#REF!</v>
      </c>
      <c r="BX23" s="270" t="e">
        <f>IF(#REF!="Yes","H",IF($B23="","",IF(AND($C23&lt;=#REF!,$D23&gt;=#REF!),IF($G23="","x","y"),"")))</f>
        <v>#REF!</v>
      </c>
      <c r="BY23" s="270" t="e">
        <f>IF(#REF!="Yes","H",IF($B23="","",IF(AND($C23&lt;=#REF!,$D23&gt;=#REF!),IF($G23="","x","y"),"")))</f>
        <v>#REF!</v>
      </c>
      <c r="BZ23" s="270" t="e">
        <f>IF(#REF!="Yes","H",IF($B23="","",IF(AND($C23&lt;=#REF!,$D23&gt;=#REF!),IF($G23="","x","y"),"")))</f>
        <v>#REF!</v>
      </c>
      <c r="CA23" s="273" t="e">
        <f>IF(#REF!="Yes","H",IF($B23="","",IF(AND($C23&lt;=#REF!,$D23&gt;=#REF!),IF($G23="","x","y"),"")))</f>
        <v>#REF!</v>
      </c>
    </row>
    <row r="24" spans="1:79" ht="15" customHeight="1">
      <c r="A24" s="42" t="s">
        <v>300</v>
      </c>
      <c r="B24" s="210" t="s">
        <v>301</v>
      </c>
      <c r="C24" s="260"/>
      <c r="D24" s="260"/>
      <c r="E24" s="260"/>
      <c r="F24" s="224"/>
      <c r="G24" s="275"/>
      <c r="H24" s="209"/>
      <c r="I24" s="211"/>
      <c r="J24" s="269"/>
      <c r="K24" s="270"/>
      <c r="L24" s="270"/>
      <c r="M24" s="270"/>
      <c r="N24" s="271"/>
      <c r="O24" s="272"/>
      <c r="P24" s="270"/>
      <c r="Q24" s="270"/>
      <c r="R24" s="270"/>
      <c r="S24" s="273"/>
      <c r="T24" s="274"/>
      <c r="U24" s="270"/>
      <c r="V24" s="270"/>
      <c r="W24" s="270"/>
      <c r="X24" s="271"/>
      <c r="Y24" s="272"/>
      <c r="Z24" s="270"/>
      <c r="AA24" s="270"/>
      <c r="AB24" s="270"/>
      <c r="AC24" s="273"/>
      <c r="AD24" s="274"/>
      <c r="AE24" s="270"/>
      <c r="AF24" s="270"/>
      <c r="AG24" s="270"/>
      <c r="AH24" s="271"/>
      <c r="AI24" s="272"/>
      <c r="AJ24" s="270"/>
      <c r="AK24" s="270"/>
      <c r="AL24" s="270"/>
      <c r="AM24" s="273"/>
      <c r="AN24" s="274"/>
      <c r="AO24" s="270"/>
      <c r="AP24" s="270"/>
      <c r="AQ24" s="270"/>
      <c r="AR24" s="271"/>
      <c r="AS24" s="272"/>
      <c r="AT24" s="270"/>
      <c r="AU24" s="270"/>
      <c r="AV24" s="270"/>
      <c r="AW24" s="273"/>
      <c r="AX24" s="274"/>
      <c r="AY24" s="270"/>
      <c r="AZ24" s="270"/>
      <c r="BA24" s="270"/>
      <c r="BB24" s="271"/>
      <c r="BC24" s="272"/>
      <c r="BD24" s="270"/>
      <c r="BE24" s="270"/>
      <c r="BF24" s="270"/>
      <c r="BG24" s="273"/>
      <c r="BH24" s="274"/>
      <c r="BI24" s="270"/>
      <c r="BJ24" s="270"/>
      <c r="BK24" s="270"/>
      <c r="BL24" s="271"/>
      <c r="BM24" s="272"/>
      <c r="BN24" s="270"/>
      <c r="BO24" s="270"/>
      <c r="BP24" s="270"/>
      <c r="BQ24" s="273"/>
      <c r="BR24" s="274"/>
      <c r="BS24" s="270"/>
      <c r="BT24" s="270"/>
      <c r="BU24" s="270"/>
      <c r="BV24" s="271"/>
      <c r="BW24" s="272"/>
      <c r="BX24" s="270"/>
      <c r="BY24" s="270"/>
      <c r="BZ24" s="270"/>
      <c r="CA24" s="273"/>
    </row>
    <row r="25" spans="1:79" ht="15" customHeight="1">
      <c r="B25" s="210" t="s">
        <v>129</v>
      </c>
      <c r="C25" s="260"/>
      <c r="D25" s="260"/>
      <c r="E25" s="260"/>
      <c r="F25" s="224"/>
      <c r="G25" s="275"/>
      <c r="H25" s="209"/>
      <c r="I25" s="211"/>
      <c r="J25" s="269" t="e">
        <f>IF(#REF!="Yes","H",IF($B25="","",IF(AND($C25&lt;=#REF!,$D25&gt;=#REF!),IF($G25="","x","y"),"")))</f>
        <v>#REF!</v>
      </c>
      <c r="K25" s="270" t="e">
        <f>IF(#REF!="Yes","H",IF($B25="","",IF(AND($C25&lt;=#REF!,$D25&gt;=#REF!),IF($G25="","x","y"),"")))</f>
        <v>#REF!</v>
      </c>
      <c r="L25" s="270" t="e">
        <f>IF(#REF!="Yes","H",IF($B25="","",IF(AND($C25&lt;=#REF!,$D25&gt;=#REF!),IF($G25="","x","y"),"")))</f>
        <v>#REF!</v>
      </c>
      <c r="M25" s="270" t="e">
        <f>IF(#REF!="Yes","H",IF($B25="","",IF(AND($C25&lt;=#REF!,$D25&gt;=#REF!),IF($G25="","x","y"),"")))</f>
        <v>#REF!</v>
      </c>
      <c r="N25" s="271" t="e">
        <f>IF(#REF!="Yes","H",IF($B25="","",IF(AND($C25&lt;=#REF!,$D25&gt;=#REF!),IF($G25="","x","y"),"")))</f>
        <v>#REF!</v>
      </c>
      <c r="O25" s="272" t="e">
        <f>IF(#REF!="Yes","H",IF($B25="","",IF(AND($C25&lt;=#REF!,$D25&gt;=#REF!),IF($G25="","x","y"),"")))</f>
        <v>#REF!</v>
      </c>
      <c r="P25" s="270" t="e">
        <f>IF(#REF!="Yes","H",IF($B25="","",IF(AND($C25&lt;=#REF!,$D25&gt;=#REF!),IF($G25="","x","y"),"")))</f>
        <v>#REF!</v>
      </c>
      <c r="Q25" s="270" t="e">
        <f>IF(#REF!="Yes","H",IF($B25="","",IF(AND($C25&lt;=#REF!,$D25&gt;=#REF!),IF($G25="","x","y"),"")))</f>
        <v>#REF!</v>
      </c>
      <c r="R25" s="270" t="e">
        <f>IF(#REF!="Yes","H",IF($B25="","",IF(AND($C25&lt;=#REF!,$D25&gt;=#REF!),IF($G25="","x","y"),"")))</f>
        <v>#REF!</v>
      </c>
      <c r="S25" s="273" t="e">
        <f>IF(#REF!="Yes","H",IF($B25="","",IF(AND($C25&lt;=#REF!,$D25&gt;=#REF!),IF($G25="","x","y"),"")))</f>
        <v>#REF!</v>
      </c>
      <c r="T25" s="274" t="e">
        <f>IF(#REF!="Yes","H",IF($B25="","",IF(AND($C25&lt;=#REF!,$D25&gt;=#REF!),IF($G25="","x","y"),"")))</f>
        <v>#REF!</v>
      </c>
      <c r="U25" s="270" t="e">
        <f>IF(#REF!="Yes","H",IF($B25="","",IF(AND($C25&lt;=#REF!,$D25&gt;=#REF!),IF($G25="","x","y"),"")))</f>
        <v>#REF!</v>
      </c>
      <c r="V25" s="270" t="e">
        <f>IF(#REF!="Yes","H",IF($B25="","",IF(AND($C25&lt;=#REF!,$D25&gt;=#REF!),IF($G25="","x","y"),"")))</f>
        <v>#REF!</v>
      </c>
      <c r="W25" s="270" t="e">
        <f>IF(#REF!="Yes","H",IF($B25="","",IF(AND($C25&lt;=#REF!,$D25&gt;=#REF!),IF($G25="","x","y"),"")))</f>
        <v>#REF!</v>
      </c>
      <c r="X25" s="271" t="e">
        <f>IF(#REF!="Yes","H",IF($B25="","",IF(AND($C25&lt;=#REF!,$D25&gt;=#REF!),IF($G25="","x","y"),"")))</f>
        <v>#REF!</v>
      </c>
      <c r="Y25" s="272" t="e">
        <f>IF(#REF!="Yes","H",IF($B25="","",IF(AND($C25&lt;=#REF!,$D25&gt;=#REF!),IF($G25="","x","y"),"")))</f>
        <v>#REF!</v>
      </c>
      <c r="Z25" s="270" t="e">
        <f>IF(#REF!="Yes","H",IF($B25="","",IF(AND($C25&lt;=#REF!,$D25&gt;=#REF!),IF($G25="","x","y"),"")))</f>
        <v>#REF!</v>
      </c>
      <c r="AA25" s="270" t="e">
        <f>IF(#REF!="Yes","H",IF($B25="","",IF(AND($C25&lt;=#REF!,$D25&gt;=#REF!),IF($G25="","x","y"),"")))</f>
        <v>#REF!</v>
      </c>
      <c r="AB25" s="270" t="e">
        <f>IF(#REF!="Yes","H",IF($B25="","",IF(AND($C25&lt;=#REF!,$D25&gt;=#REF!),IF($G25="","x","y"),"")))</f>
        <v>#REF!</v>
      </c>
      <c r="AC25" s="273" t="e">
        <f>IF(#REF!="Yes","H",IF($B25="","",IF(AND($C25&lt;=#REF!,$D25&gt;=#REF!),IF($G25="","x","y"),"")))</f>
        <v>#REF!</v>
      </c>
      <c r="AD25" s="274" t="e">
        <f>IF(#REF!="Yes","H",IF($B25="","",IF(AND($C25&lt;=#REF!,$D25&gt;=#REF!),IF($G25="","x","y"),"")))</f>
        <v>#REF!</v>
      </c>
      <c r="AE25" s="270" t="e">
        <f>IF(#REF!="Yes","H",IF($B25="","",IF(AND($C25&lt;=#REF!,$D25&gt;=#REF!),IF($G25="","x","y"),"")))</f>
        <v>#REF!</v>
      </c>
      <c r="AF25" s="270" t="e">
        <f>IF(#REF!="Yes","H",IF($B25="","",IF(AND($C25&lt;=#REF!,$D25&gt;=#REF!),IF($G25="","x","y"),"")))</f>
        <v>#REF!</v>
      </c>
      <c r="AG25" s="270" t="e">
        <f>IF(#REF!="Yes","H",IF($B25="","",IF(AND($C25&lt;=#REF!,$D25&gt;=#REF!),IF($G25="","x","y"),"")))</f>
        <v>#REF!</v>
      </c>
      <c r="AH25" s="271" t="e">
        <f>IF(#REF!="Yes","H",IF($B25="","",IF(AND($C25&lt;=#REF!,$D25&gt;=#REF!),IF($G25="","x","y"),"")))</f>
        <v>#REF!</v>
      </c>
      <c r="AI25" s="272" t="e">
        <f>IF(#REF!="Yes","H",IF($B25="","",IF(AND($C25&lt;=#REF!,$D25&gt;=#REF!),IF($G25="","x","y"),"")))</f>
        <v>#REF!</v>
      </c>
      <c r="AJ25" s="270" t="e">
        <f>IF(#REF!="Yes","H",IF($B25="","",IF(AND($C25&lt;=#REF!,$D25&gt;=#REF!),IF($G25="","x","y"),"")))</f>
        <v>#REF!</v>
      </c>
      <c r="AK25" s="270" t="e">
        <f>IF(#REF!="Yes","H",IF($B25="","",IF(AND($C25&lt;=#REF!,$D25&gt;=#REF!),IF($G25="","x","y"),"")))</f>
        <v>#REF!</v>
      </c>
      <c r="AL25" s="270" t="e">
        <f>IF(#REF!="Yes","H",IF($B25="","",IF(AND($C25&lt;=#REF!,$D25&gt;=#REF!),IF($G25="","x","y"),"")))</f>
        <v>#REF!</v>
      </c>
      <c r="AM25" s="273" t="e">
        <f>IF(#REF!="Yes","H",IF($B25="","",IF(AND($C25&lt;=#REF!,$D25&gt;=#REF!),IF($G25="","x","y"),"")))</f>
        <v>#REF!</v>
      </c>
      <c r="AN25" s="274" t="e">
        <f>IF(#REF!="Yes","H",IF($B25="","",IF(AND($C25&lt;=#REF!,$D25&gt;=#REF!),IF($G25="","x","y"),"")))</f>
        <v>#REF!</v>
      </c>
      <c r="AO25" s="270" t="e">
        <f>IF(#REF!="Yes","H",IF($B25="","",IF(AND($C25&lt;=#REF!,$D25&gt;=#REF!),IF($G25="","x","y"),"")))</f>
        <v>#REF!</v>
      </c>
      <c r="AP25" s="270" t="e">
        <f>IF(#REF!="Yes","H",IF($B25="","",IF(AND($C25&lt;=#REF!,$D25&gt;=#REF!),IF($G25="","x","y"),"")))</f>
        <v>#REF!</v>
      </c>
      <c r="AQ25" s="270" t="e">
        <f>IF(#REF!="Yes","H",IF($B25="","",IF(AND($C25&lt;=#REF!,$D25&gt;=#REF!),IF($G25="","x","y"),"")))</f>
        <v>#REF!</v>
      </c>
      <c r="AR25" s="271" t="e">
        <f>IF(#REF!="Yes","H",IF($B25="","",IF(AND($C25&lt;=#REF!,$D25&gt;=#REF!),IF($G25="","x","y"),"")))</f>
        <v>#REF!</v>
      </c>
      <c r="AS25" s="272" t="e">
        <f>IF(#REF!="Yes","H",IF($B25="","",IF(AND($C25&lt;=#REF!,$D25&gt;=#REF!),IF($G25="","x","y"),"")))</f>
        <v>#REF!</v>
      </c>
      <c r="AT25" s="270" t="e">
        <f>IF(#REF!="Yes","H",IF($B25="","",IF(AND($C25&lt;=#REF!,$D25&gt;=#REF!),IF($G25="","x","y"),"")))</f>
        <v>#REF!</v>
      </c>
      <c r="AU25" s="270" t="e">
        <f>IF(#REF!="Yes","H",IF($B25="","",IF(AND($C25&lt;=#REF!,$D25&gt;=#REF!),IF($G25="","x","y"),"")))</f>
        <v>#REF!</v>
      </c>
      <c r="AV25" s="270" t="e">
        <f>IF(#REF!="Yes","H",IF($B25="","",IF(AND($C25&lt;=#REF!,$D25&gt;=#REF!),IF($G25="","x","y"),"")))</f>
        <v>#REF!</v>
      </c>
      <c r="AW25" s="273" t="e">
        <f>IF(#REF!="Yes","H",IF($B25="","",IF(AND($C25&lt;=#REF!,$D25&gt;=#REF!),IF($G25="","x","y"),"")))</f>
        <v>#REF!</v>
      </c>
      <c r="AX25" s="274" t="e">
        <f>IF(#REF!="Yes","H",IF($B25="","",IF(AND($C25&lt;=#REF!,$D25&gt;=#REF!),IF($G25="","x","y"),"")))</f>
        <v>#REF!</v>
      </c>
      <c r="AY25" s="270" t="e">
        <f>IF(#REF!="Yes","H",IF($B25="","",IF(AND($C25&lt;=#REF!,$D25&gt;=#REF!),IF($G25="","x","y"),"")))</f>
        <v>#REF!</v>
      </c>
      <c r="AZ25" s="270" t="e">
        <f>IF(#REF!="Yes","H",IF($B25="","",IF(AND($C25&lt;=#REF!,$D25&gt;=#REF!),IF($G25="","x","y"),"")))</f>
        <v>#REF!</v>
      </c>
      <c r="BA25" s="270" t="e">
        <f>IF(#REF!="Yes","H",IF($B25="","",IF(AND($C25&lt;=#REF!,$D25&gt;=#REF!),IF($G25="","x","y"),"")))</f>
        <v>#REF!</v>
      </c>
      <c r="BB25" s="271" t="e">
        <f>IF(#REF!="Yes","H",IF($B25="","",IF(AND($C25&lt;=#REF!,$D25&gt;=#REF!),IF($G25="","x","y"),"")))</f>
        <v>#REF!</v>
      </c>
      <c r="BC25" s="272" t="e">
        <f>IF(#REF!="Yes","H",IF($B25="","",IF(AND($C25&lt;=#REF!,$D25&gt;=#REF!),IF($G25="","x","y"),"")))</f>
        <v>#REF!</v>
      </c>
      <c r="BD25" s="270" t="e">
        <f>IF(#REF!="Yes","H",IF($B25="","",IF(AND($C25&lt;=#REF!,$D25&gt;=#REF!),IF($G25="","x","y"),"")))</f>
        <v>#REF!</v>
      </c>
      <c r="BE25" s="270" t="e">
        <f>IF(#REF!="Yes","H",IF($B25="","",IF(AND($C25&lt;=#REF!,$D25&gt;=#REF!),IF($G25="","x","y"),"")))</f>
        <v>#REF!</v>
      </c>
      <c r="BF25" s="270" t="e">
        <f>IF(#REF!="Yes","H",IF($B25="","",IF(AND($C25&lt;=#REF!,$D25&gt;=#REF!),IF($G25="","x","y"),"")))</f>
        <v>#REF!</v>
      </c>
      <c r="BG25" s="273" t="e">
        <f>IF(#REF!="Yes","H",IF($B25="","",IF(AND($C25&lt;=#REF!,$D25&gt;=#REF!),IF($G25="","x","y"),"")))</f>
        <v>#REF!</v>
      </c>
      <c r="BH25" s="274" t="e">
        <f>IF(#REF!="Yes","H",IF($B25="","",IF(AND($C25&lt;=#REF!,$D25&gt;=#REF!),IF($G25="","x","y"),"")))</f>
        <v>#REF!</v>
      </c>
      <c r="BI25" s="270" t="e">
        <f>IF(#REF!="Yes","H",IF($B25="","",IF(AND($C25&lt;=#REF!,$D25&gt;=#REF!),IF($G25="","x","y"),"")))</f>
        <v>#REF!</v>
      </c>
      <c r="BJ25" s="270" t="e">
        <f>IF(#REF!="Yes","H",IF($B25="","",IF(AND($C25&lt;=#REF!,$D25&gt;=#REF!),IF($G25="","x","y"),"")))</f>
        <v>#REF!</v>
      </c>
      <c r="BK25" s="270" t="e">
        <f>IF(#REF!="Yes","H",IF($B25="","",IF(AND($C25&lt;=#REF!,$D25&gt;=#REF!),IF($G25="","x","y"),"")))</f>
        <v>#REF!</v>
      </c>
      <c r="BL25" s="271" t="e">
        <f>IF(#REF!="Yes","H",IF($B25="","",IF(AND($C25&lt;=#REF!,$D25&gt;=#REF!),IF($G25="","x","y"),"")))</f>
        <v>#REF!</v>
      </c>
      <c r="BM25" s="272" t="e">
        <f>IF(#REF!="Yes","H",IF($B25="","",IF(AND($C25&lt;=#REF!,$D25&gt;=#REF!),IF($G25="","x","y"),"")))</f>
        <v>#REF!</v>
      </c>
      <c r="BN25" s="270" t="e">
        <f>IF(#REF!="Yes","H",IF($B25="","",IF(AND($C25&lt;=#REF!,$D25&gt;=#REF!),IF($G25="","x","y"),"")))</f>
        <v>#REF!</v>
      </c>
      <c r="BO25" s="270" t="e">
        <f>IF(#REF!="Yes","H",IF($B25="","",IF(AND($C25&lt;=#REF!,$D25&gt;=#REF!),IF($G25="","x","y"),"")))</f>
        <v>#REF!</v>
      </c>
      <c r="BP25" s="270" t="e">
        <f>IF(#REF!="Yes","H",IF($B25="","",IF(AND($C25&lt;=#REF!,$D25&gt;=#REF!),IF($G25="","x","y"),"")))</f>
        <v>#REF!</v>
      </c>
      <c r="BQ25" s="273" t="e">
        <f>IF(#REF!="Yes","H",IF($B25="","",IF(AND($C25&lt;=#REF!,$D25&gt;=#REF!),IF($G25="","x","y"),"")))</f>
        <v>#REF!</v>
      </c>
      <c r="BR25" s="274" t="e">
        <f>IF(#REF!="Yes","H",IF($B25="","",IF(AND($C25&lt;=#REF!,$D25&gt;=#REF!),IF($G25="","x","y"),"")))</f>
        <v>#REF!</v>
      </c>
      <c r="BS25" s="270" t="e">
        <f>IF(#REF!="Yes","H",IF($B25="","",IF(AND($C25&lt;=#REF!,$D25&gt;=#REF!),IF($G25="","x","y"),"")))</f>
        <v>#REF!</v>
      </c>
      <c r="BT25" s="270" t="e">
        <f>IF(#REF!="Yes","H",IF($B25="","",IF(AND($C25&lt;=#REF!,$D25&gt;=#REF!),IF($G25="","x","y"),"")))</f>
        <v>#REF!</v>
      </c>
      <c r="BU25" s="270" t="e">
        <f>IF(#REF!="Yes","H",IF($B25="","",IF(AND($C25&lt;=#REF!,$D25&gt;=#REF!),IF($G25="","x","y"),"")))</f>
        <v>#REF!</v>
      </c>
      <c r="BV25" s="271" t="e">
        <f>IF(#REF!="Yes","H",IF($B25="","",IF(AND($C25&lt;=#REF!,$D25&gt;=#REF!),IF($G25="","x","y"),"")))</f>
        <v>#REF!</v>
      </c>
      <c r="BW25" s="272" t="e">
        <f>IF(#REF!="Yes","H",IF($B25="","",IF(AND($C25&lt;=#REF!,$D25&gt;=#REF!),IF($G25="","x","y"),"")))</f>
        <v>#REF!</v>
      </c>
      <c r="BX25" s="270" t="e">
        <f>IF(#REF!="Yes","H",IF($B25="","",IF(AND($C25&lt;=#REF!,$D25&gt;=#REF!),IF($G25="","x","y"),"")))</f>
        <v>#REF!</v>
      </c>
      <c r="BY25" s="270" t="e">
        <f>IF(#REF!="Yes","H",IF($B25="","",IF(AND($C25&lt;=#REF!,$D25&gt;=#REF!),IF($G25="","x","y"),"")))</f>
        <v>#REF!</v>
      </c>
      <c r="BZ25" s="270" t="e">
        <f>IF(#REF!="Yes","H",IF($B25="","",IF(AND($C25&lt;=#REF!,$D25&gt;=#REF!),IF($G25="","x","y"),"")))</f>
        <v>#REF!</v>
      </c>
      <c r="CA25" s="273" t="e">
        <f>IF(#REF!="Yes","H",IF($B25="","",IF(AND($C25&lt;=#REF!,$D25&gt;=#REF!),IF($G25="","x","y"),"")))</f>
        <v>#REF!</v>
      </c>
    </row>
    <row r="26" spans="1:79" ht="36" customHeight="1">
      <c r="B26" s="210" t="s">
        <v>302</v>
      </c>
      <c r="C26" s="260"/>
      <c r="D26" s="260"/>
      <c r="E26" s="260"/>
      <c r="F26" s="224"/>
      <c r="G26" s="275"/>
      <c r="H26" s="209"/>
      <c r="I26" s="211"/>
      <c r="J26" s="269"/>
      <c r="K26" s="270"/>
      <c r="L26" s="270"/>
      <c r="M26" s="270"/>
      <c r="N26" s="271"/>
      <c r="O26" s="272"/>
      <c r="P26" s="270"/>
      <c r="Q26" s="270"/>
      <c r="R26" s="270"/>
      <c r="S26" s="273"/>
      <c r="T26" s="274"/>
      <c r="U26" s="270"/>
      <c r="V26" s="270"/>
      <c r="W26" s="270"/>
      <c r="X26" s="271"/>
      <c r="Y26" s="272"/>
      <c r="Z26" s="270"/>
      <c r="AA26" s="270"/>
      <c r="AB26" s="270"/>
      <c r="AC26" s="273"/>
      <c r="AD26" s="274"/>
      <c r="AE26" s="270"/>
      <c r="AF26" s="270"/>
      <c r="AG26" s="270"/>
      <c r="AH26" s="271"/>
      <c r="AI26" s="272"/>
      <c r="AJ26" s="270"/>
      <c r="AK26" s="270"/>
      <c r="AL26" s="270"/>
      <c r="AM26" s="273"/>
      <c r="AN26" s="274"/>
      <c r="AO26" s="270"/>
      <c r="AP26" s="270"/>
      <c r="AQ26" s="270"/>
      <c r="AR26" s="271"/>
      <c r="AS26" s="272"/>
      <c r="AT26" s="270"/>
      <c r="AU26" s="270"/>
      <c r="AV26" s="270"/>
      <c r="AW26" s="273"/>
      <c r="AX26" s="274"/>
      <c r="AY26" s="270"/>
      <c r="AZ26" s="270"/>
      <c r="BA26" s="270"/>
      <c r="BB26" s="271"/>
      <c r="BC26" s="272"/>
      <c r="BD26" s="270"/>
      <c r="BE26" s="270"/>
      <c r="BF26" s="270"/>
      <c r="BG26" s="273"/>
      <c r="BH26" s="274"/>
      <c r="BI26" s="270"/>
      <c r="BJ26" s="270"/>
      <c r="BK26" s="270"/>
      <c r="BL26" s="271"/>
      <c r="BM26" s="272"/>
      <c r="BN26" s="270"/>
      <c r="BO26" s="270"/>
      <c r="BP26" s="270"/>
      <c r="BQ26" s="273"/>
      <c r="BR26" s="274"/>
      <c r="BS26" s="270"/>
      <c r="BT26" s="270"/>
      <c r="BU26" s="270"/>
      <c r="BV26" s="271"/>
      <c r="BW26" s="272"/>
      <c r="BX26" s="270"/>
      <c r="BY26" s="270"/>
      <c r="BZ26" s="270"/>
      <c r="CA26" s="273"/>
    </row>
    <row r="27" spans="1:79" ht="17.25" customHeight="1">
      <c r="B27" s="210" t="s">
        <v>130</v>
      </c>
      <c r="C27" s="260"/>
      <c r="D27" s="260"/>
      <c r="E27" s="260"/>
      <c r="F27" s="225"/>
      <c r="G27" s="275"/>
      <c r="H27" s="209"/>
      <c r="I27" s="211"/>
      <c r="J27" s="269" t="e">
        <f>IF(#REF!="Yes","H",IF($B27="","",IF(AND($C27&lt;=#REF!,$D27&gt;=#REF!),IF($G27="","x","y"),"")))</f>
        <v>#REF!</v>
      </c>
      <c r="K27" s="270" t="e">
        <f>IF(#REF!="Yes","H",IF($B27="","",IF(AND($C27&lt;=#REF!,$D27&gt;=#REF!),IF($G27="","x","y"),"")))</f>
        <v>#REF!</v>
      </c>
      <c r="L27" s="270" t="e">
        <f>IF(#REF!="Yes","H",IF($B27="","",IF(AND($C27&lt;=#REF!,$D27&gt;=#REF!),IF($G27="","x","y"),"")))</f>
        <v>#REF!</v>
      </c>
      <c r="M27" s="270" t="e">
        <f>IF(#REF!="Yes","H",IF($B27="","",IF(AND($C27&lt;=#REF!,$D27&gt;=#REF!),IF($G27="","x","y"),"")))</f>
        <v>#REF!</v>
      </c>
      <c r="N27" s="271" t="e">
        <f>IF(#REF!="Yes","H",IF($B27="","",IF(AND($C27&lt;=#REF!,$D27&gt;=#REF!),IF($G27="","x","y"),"")))</f>
        <v>#REF!</v>
      </c>
      <c r="O27" s="272" t="e">
        <f>IF(#REF!="Yes","H",IF($B27="","",IF(AND($C27&lt;=#REF!,$D27&gt;=#REF!),IF($G27="","x","y"),"")))</f>
        <v>#REF!</v>
      </c>
      <c r="P27" s="270" t="e">
        <f>IF(#REF!="Yes","H",IF($B27="","",IF(AND($C27&lt;=#REF!,$D27&gt;=#REF!),IF($G27="","x","y"),"")))</f>
        <v>#REF!</v>
      </c>
      <c r="Q27" s="270" t="e">
        <f>IF(#REF!="Yes","H",IF($B27="","",IF(AND($C27&lt;=#REF!,$D27&gt;=#REF!),IF($G27="","x","y"),"")))</f>
        <v>#REF!</v>
      </c>
      <c r="R27" s="270" t="e">
        <f>IF(#REF!="Yes","H",IF($B27="","",IF(AND($C27&lt;=#REF!,$D27&gt;=#REF!),IF($G27="","x","y"),"")))</f>
        <v>#REF!</v>
      </c>
      <c r="S27" s="273" t="e">
        <f>IF(#REF!="Yes","H",IF($B27="","",IF(AND($C27&lt;=#REF!,$D27&gt;=#REF!),IF($G27="","x","y"),"")))</f>
        <v>#REF!</v>
      </c>
      <c r="T27" s="274" t="e">
        <f>IF(#REF!="Yes","H",IF($B27="","",IF(AND($C27&lt;=#REF!,$D27&gt;=#REF!),IF($G27="","x","y"),"")))</f>
        <v>#REF!</v>
      </c>
      <c r="U27" s="270" t="e">
        <f>IF(#REF!="Yes","H",IF($B27="","",IF(AND($C27&lt;=#REF!,$D27&gt;=#REF!),IF($G27="","x","y"),"")))</f>
        <v>#REF!</v>
      </c>
      <c r="V27" s="270" t="e">
        <f>IF(#REF!="Yes","H",IF($B27="","",IF(AND($C27&lt;=#REF!,$D27&gt;=#REF!),IF($G27="","x","y"),"")))</f>
        <v>#REF!</v>
      </c>
      <c r="W27" s="270" t="e">
        <f>IF(#REF!="Yes","H",IF($B27="","",IF(AND($C27&lt;=#REF!,$D27&gt;=#REF!),IF($G27="","x","y"),"")))</f>
        <v>#REF!</v>
      </c>
      <c r="X27" s="271" t="e">
        <f>IF(#REF!="Yes","H",IF($B27="","",IF(AND($C27&lt;=#REF!,$D27&gt;=#REF!),IF($G27="","x","y"),"")))</f>
        <v>#REF!</v>
      </c>
      <c r="Y27" s="272" t="e">
        <f>IF(#REF!="Yes","H",IF($B27="","",IF(AND($C27&lt;=#REF!,$D27&gt;=#REF!),IF($G27="","x","y"),"")))</f>
        <v>#REF!</v>
      </c>
      <c r="Z27" s="270" t="e">
        <f>IF(#REF!="Yes","H",IF($B27="","",IF(AND($C27&lt;=#REF!,$D27&gt;=#REF!),IF($G27="","x","y"),"")))</f>
        <v>#REF!</v>
      </c>
      <c r="AA27" s="270" t="e">
        <f>IF(#REF!="Yes","H",IF($B27="","",IF(AND($C27&lt;=#REF!,$D27&gt;=#REF!),IF($G27="","x","y"),"")))</f>
        <v>#REF!</v>
      </c>
      <c r="AB27" s="270" t="e">
        <f>IF(#REF!="Yes","H",IF($B27="","",IF(AND($C27&lt;=#REF!,$D27&gt;=#REF!),IF($G27="","x","y"),"")))</f>
        <v>#REF!</v>
      </c>
      <c r="AC27" s="273" t="e">
        <f>IF(#REF!="Yes","H",IF($B27="","",IF(AND($C27&lt;=#REF!,$D27&gt;=#REF!),IF($G27="","x","y"),"")))</f>
        <v>#REF!</v>
      </c>
      <c r="AD27" s="274" t="e">
        <f>IF(#REF!="Yes","H",IF($B27="","",IF(AND($C27&lt;=#REF!,$D27&gt;=#REF!),IF($G27="","x","y"),"")))</f>
        <v>#REF!</v>
      </c>
      <c r="AE27" s="270" t="e">
        <f>IF(#REF!="Yes","H",IF($B27="","",IF(AND($C27&lt;=#REF!,$D27&gt;=#REF!),IF($G27="","x","y"),"")))</f>
        <v>#REF!</v>
      </c>
      <c r="AF27" s="270" t="e">
        <f>IF(#REF!="Yes","H",IF($B27="","",IF(AND($C27&lt;=#REF!,$D27&gt;=#REF!),IF($G27="","x","y"),"")))</f>
        <v>#REF!</v>
      </c>
      <c r="AG27" s="270" t="e">
        <f>IF(#REF!="Yes","H",IF($B27="","",IF(AND($C27&lt;=#REF!,$D27&gt;=#REF!),IF($G27="","x","y"),"")))</f>
        <v>#REF!</v>
      </c>
      <c r="AH27" s="271" t="e">
        <f>IF(#REF!="Yes","H",IF($B27="","",IF(AND($C27&lt;=#REF!,$D27&gt;=#REF!),IF($G27="","x","y"),"")))</f>
        <v>#REF!</v>
      </c>
      <c r="AI27" s="272" t="e">
        <f>IF(#REF!="Yes","H",IF($B27="","",IF(AND($C27&lt;=#REF!,$D27&gt;=#REF!),IF($G27="","x","y"),"")))</f>
        <v>#REF!</v>
      </c>
      <c r="AJ27" s="270" t="e">
        <f>IF(#REF!="Yes","H",IF($B27="","",IF(AND($C27&lt;=#REF!,$D27&gt;=#REF!),IF($G27="","x","y"),"")))</f>
        <v>#REF!</v>
      </c>
      <c r="AK27" s="270" t="e">
        <f>IF(#REF!="Yes","H",IF($B27="","",IF(AND($C27&lt;=#REF!,$D27&gt;=#REF!),IF($G27="","x","y"),"")))</f>
        <v>#REF!</v>
      </c>
      <c r="AL27" s="270" t="e">
        <f>IF(#REF!="Yes","H",IF($B27="","",IF(AND($C27&lt;=#REF!,$D27&gt;=#REF!),IF($G27="","x","y"),"")))</f>
        <v>#REF!</v>
      </c>
      <c r="AM27" s="273" t="e">
        <f>IF(#REF!="Yes","H",IF($B27="","",IF(AND($C27&lt;=#REF!,$D27&gt;=#REF!),IF($G27="","x","y"),"")))</f>
        <v>#REF!</v>
      </c>
      <c r="AN27" s="274" t="e">
        <f>IF(#REF!="Yes","H",IF($B27="","",IF(AND($C27&lt;=#REF!,$D27&gt;=#REF!),IF($G27="","x","y"),"")))</f>
        <v>#REF!</v>
      </c>
      <c r="AO27" s="270" t="e">
        <f>IF(#REF!="Yes","H",IF($B27="","",IF(AND($C27&lt;=#REF!,$D27&gt;=#REF!),IF($G27="","x","y"),"")))</f>
        <v>#REF!</v>
      </c>
      <c r="AP27" s="270" t="e">
        <f>IF(#REF!="Yes","H",IF($B27="","",IF(AND($C27&lt;=#REF!,$D27&gt;=#REF!),IF($G27="","x","y"),"")))</f>
        <v>#REF!</v>
      </c>
      <c r="AQ27" s="270" t="e">
        <f>IF(#REF!="Yes","H",IF($B27="","",IF(AND($C27&lt;=#REF!,$D27&gt;=#REF!),IF($G27="","x","y"),"")))</f>
        <v>#REF!</v>
      </c>
      <c r="AR27" s="271" t="e">
        <f>IF(#REF!="Yes","H",IF($B27="","",IF(AND($C27&lt;=#REF!,$D27&gt;=#REF!),IF($G27="","x","y"),"")))</f>
        <v>#REF!</v>
      </c>
      <c r="AS27" s="272" t="e">
        <f>IF(#REF!="Yes","H",IF($B27="","",IF(AND($C27&lt;=#REF!,$D27&gt;=#REF!),IF($G27="","x","y"),"")))</f>
        <v>#REF!</v>
      </c>
      <c r="AT27" s="270" t="e">
        <f>IF(#REF!="Yes","H",IF($B27="","",IF(AND($C27&lt;=#REF!,$D27&gt;=#REF!),IF($G27="","x","y"),"")))</f>
        <v>#REF!</v>
      </c>
      <c r="AU27" s="270" t="e">
        <f>IF(#REF!="Yes","H",IF($B27="","",IF(AND($C27&lt;=#REF!,$D27&gt;=#REF!),IF($G27="","x","y"),"")))</f>
        <v>#REF!</v>
      </c>
      <c r="AV27" s="270" t="e">
        <f>IF(#REF!="Yes","H",IF($B27="","",IF(AND($C27&lt;=#REF!,$D27&gt;=#REF!),IF($G27="","x","y"),"")))</f>
        <v>#REF!</v>
      </c>
      <c r="AW27" s="273" t="e">
        <f>IF(#REF!="Yes","H",IF($B27="","",IF(AND($C27&lt;=#REF!,$D27&gt;=#REF!),IF($G27="","x","y"),"")))</f>
        <v>#REF!</v>
      </c>
      <c r="AX27" s="274" t="e">
        <f>IF(#REF!="Yes","H",IF($B27="","",IF(AND($C27&lt;=#REF!,$D27&gt;=#REF!),IF($G27="","x","y"),"")))</f>
        <v>#REF!</v>
      </c>
      <c r="AY27" s="270" t="e">
        <f>IF(#REF!="Yes","H",IF($B27="","",IF(AND($C27&lt;=#REF!,$D27&gt;=#REF!),IF($G27="","x","y"),"")))</f>
        <v>#REF!</v>
      </c>
      <c r="AZ27" s="270" t="e">
        <f>IF(#REF!="Yes","H",IF($B27="","",IF(AND($C27&lt;=#REF!,$D27&gt;=#REF!),IF($G27="","x","y"),"")))</f>
        <v>#REF!</v>
      </c>
      <c r="BA27" s="270" t="e">
        <f>IF(#REF!="Yes","H",IF($B27="","",IF(AND($C27&lt;=#REF!,$D27&gt;=#REF!),IF($G27="","x","y"),"")))</f>
        <v>#REF!</v>
      </c>
      <c r="BB27" s="271" t="e">
        <f>IF(#REF!="Yes","H",IF($B27="","",IF(AND($C27&lt;=#REF!,$D27&gt;=#REF!),IF($G27="","x","y"),"")))</f>
        <v>#REF!</v>
      </c>
      <c r="BC27" s="272" t="e">
        <f>IF(#REF!="Yes","H",IF($B27="","",IF(AND($C27&lt;=#REF!,$D27&gt;=#REF!),IF($G27="","x","y"),"")))</f>
        <v>#REF!</v>
      </c>
      <c r="BD27" s="270" t="e">
        <f>IF(#REF!="Yes","H",IF($B27="","",IF(AND($C27&lt;=#REF!,$D27&gt;=#REF!),IF($G27="","x","y"),"")))</f>
        <v>#REF!</v>
      </c>
      <c r="BE27" s="270" t="e">
        <f>IF(#REF!="Yes","H",IF($B27="","",IF(AND($C27&lt;=#REF!,$D27&gt;=#REF!),IF($G27="","x","y"),"")))</f>
        <v>#REF!</v>
      </c>
      <c r="BF27" s="270" t="e">
        <f>IF(#REF!="Yes","H",IF($B27="","",IF(AND($C27&lt;=#REF!,$D27&gt;=#REF!),IF($G27="","x","y"),"")))</f>
        <v>#REF!</v>
      </c>
      <c r="BG27" s="273" t="e">
        <f>IF(#REF!="Yes","H",IF($B27="","",IF(AND($C27&lt;=#REF!,$D27&gt;=#REF!),IF($G27="","x","y"),"")))</f>
        <v>#REF!</v>
      </c>
      <c r="BH27" s="274" t="e">
        <f>IF(#REF!="Yes","H",IF($B27="","",IF(AND($C27&lt;=#REF!,$D27&gt;=#REF!),IF($G27="","x","y"),"")))</f>
        <v>#REF!</v>
      </c>
      <c r="BI27" s="270" t="e">
        <f>IF(#REF!="Yes","H",IF($B27="","",IF(AND($C27&lt;=#REF!,$D27&gt;=#REF!),IF($G27="","x","y"),"")))</f>
        <v>#REF!</v>
      </c>
      <c r="BJ27" s="270" t="e">
        <f>IF(#REF!="Yes","H",IF($B27="","",IF(AND($C27&lt;=#REF!,$D27&gt;=#REF!),IF($G27="","x","y"),"")))</f>
        <v>#REF!</v>
      </c>
      <c r="BK27" s="270" t="e">
        <f>IF(#REF!="Yes","H",IF($B27="","",IF(AND($C27&lt;=#REF!,$D27&gt;=#REF!),IF($G27="","x","y"),"")))</f>
        <v>#REF!</v>
      </c>
      <c r="BL27" s="271" t="e">
        <f>IF(#REF!="Yes","H",IF($B27="","",IF(AND($C27&lt;=#REF!,$D27&gt;=#REF!),IF($G27="","x","y"),"")))</f>
        <v>#REF!</v>
      </c>
      <c r="BM27" s="272" t="e">
        <f>IF(#REF!="Yes","H",IF($B27="","",IF(AND($C27&lt;=#REF!,$D27&gt;=#REF!),IF($G27="","x","y"),"")))</f>
        <v>#REF!</v>
      </c>
      <c r="BN27" s="270" t="e">
        <f>IF(#REF!="Yes","H",IF($B27="","",IF(AND($C27&lt;=#REF!,$D27&gt;=#REF!),IF($G27="","x","y"),"")))</f>
        <v>#REF!</v>
      </c>
      <c r="BO27" s="270" t="e">
        <f>IF(#REF!="Yes","H",IF($B27="","",IF(AND($C27&lt;=#REF!,$D27&gt;=#REF!),IF($G27="","x","y"),"")))</f>
        <v>#REF!</v>
      </c>
      <c r="BP27" s="270" t="e">
        <f>IF(#REF!="Yes","H",IF($B27="","",IF(AND($C27&lt;=#REF!,$D27&gt;=#REF!),IF($G27="","x","y"),"")))</f>
        <v>#REF!</v>
      </c>
      <c r="BQ27" s="273" t="e">
        <f>IF(#REF!="Yes","H",IF($B27="","",IF(AND($C27&lt;=#REF!,$D27&gt;=#REF!),IF($G27="","x","y"),"")))</f>
        <v>#REF!</v>
      </c>
      <c r="BR27" s="274" t="e">
        <f>IF(#REF!="Yes","H",IF($B27="","",IF(AND($C27&lt;=#REF!,$D27&gt;=#REF!),IF($G27="","x","y"),"")))</f>
        <v>#REF!</v>
      </c>
      <c r="BS27" s="270" t="e">
        <f>IF(#REF!="Yes","H",IF($B27="","",IF(AND($C27&lt;=#REF!,$D27&gt;=#REF!),IF($G27="","x","y"),"")))</f>
        <v>#REF!</v>
      </c>
      <c r="BT27" s="270" t="e">
        <f>IF(#REF!="Yes","H",IF($B27="","",IF(AND($C27&lt;=#REF!,$D27&gt;=#REF!),IF($G27="","x","y"),"")))</f>
        <v>#REF!</v>
      </c>
      <c r="BU27" s="270" t="e">
        <f>IF(#REF!="Yes","H",IF($B27="","",IF(AND($C27&lt;=#REF!,$D27&gt;=#REF!),IF($G27="","x","y"),"")))</f>
        <v>#REF!</v>
      </c>
      <c r="BV27" s="271" t="e">
        <f>IF(#REF!="Yes","H",IF($B27="","",IF(AND($C27&lt;=#REF!,$D27&gt;=#REF!),IF($G27="","x","y"),"")))</f>
        <v>#REF!</v>
      </c>
      <c r="BW27" s="272" t="e">
        <f>IF(#REF!="Yes","H",IF($B27="","",IF(AND($C27&lt;=#REF!,$D27&gt;=#REF!),IF($G27="","x","y"),"")))</f>
        <v>#REF!</v>
      </c>
      <c r="BX27" s="270" t="e">
        <f>IF(#REF!="Yes","H",IF($B27="","",IF(AND($C27&lt;=#REF!,$D27&gt;=#REF!),IF($G27="","x","y"),"")))</f>
        <v>#REF!</v>
      </c>
      <c r="BY27" s="270" t="e">
        <f>IF(#REF!="Yes","H",IF($B27="","",IF(AND($C27&lt;=#REF!,$D27&gt;=#REF!),IF($G27="","x","y"),"")))</f>
        <v>#REF!</v>
      </c>
      <c r="BZ27" s="270" t="e">
        <f>IF(#REF!="Yes","H",IF($B27="","",IF(AND($C27&lt;=#REF!,$D27&gt;=#REF!),IF($G27="","x","y"),"")))</f>
        <v>#REF!</v>
      </c>
      <c r="CA27" s="273" t="e">
        <f>IF(#REF!="Yes","H",IF($B27="","",IF(AND($C27&lt;=#REF!,$D27&gt;=#REF!),IF($G27="","x","y"),"")))</f>
        <v>#REF!</v>
      </c>
    </row>
    <row r="28" spans="1:79" ht="25.5" customHeight="1">
      <c r="B28" s="210" t="s">
        <v>303</v>
      </c>
      <c r="C28" s="260"/>
      <c r="D28" s="260"/>
      <c r="E28" s="260"/>
      <c r="F28" s="225"/>
      <c r="G28" s="275"/>
      <c r="H28" s="209"/>
      <c r="I28" s="211"/>
      <c r="J28" s="269"/>
      <c r="K28" s="270"/>
      <c r="L28" s="270"/>
      <c r="M28" s="270"/>
      <c r="N28" s="271"/>
      <c r="O28" s="272"/>
      <c r="P28" s="270"/>
      <c r="Q28" s="270"/>
      <c r="R28" s="270"/>
      <c r="S28" s="273"/>
      <c r="T28" s="274"/>
      <c r="U28" s="270"/>
      <c r="V28" s="270"/>
      <c r="W28" s="270"/>
      <c r="X28" s="271"/>
      <c r="Y28" s="272"/>
      <c r="Z28" s="270"/>
      <c r="AA28" s="270"/>
      <c r="AB28" s="270"/>
      <c r="AC28" s="273"/>
      <c r="AD28" s="274"/>
      <c r="AE28" s="270"/>
      <c r="AF28" s="270"/>
      <c r="AG28" s="270"/>
      <c r="AH28" s="271"/>
      <c r="AI28" s="272"/>
      <c r="AJ28" s="270"/>
      <c r="AK28" s="270"/>
      <c r="AL28" s="270"/>
      <c r="AM28" s="273"/>
      <c r="AN28" s="274"/>
      <c r="AO28" s="270"/>
      <c r="AP28" s="270"/>
      <c r="AQ28" s="270"/>
      <c r="AR28" s="271"/>
      <c r="AS28" s="272"/>
      <c r="AT28" s="270"/>
      <c r="AU28" s="270"/>
      <c r="AV28" s="270"/>
      <c r="AW28" s="273"/>
      <c r="AX28" s="274"/>
      <c r="AY28" s="270"/>
      <c r="AZ28" s="270"/>
      <c r="BA28" s="270"/>
      <c r="BB28" s="271"/>
      <c r="BC28" s="272"/>
      <c r="BD28" s="270"/>
      <c r="BE28" s="270"/>
      <c r="BF28" s="270"/>
      <c r="BG28" s="273"/>
      <c r="BH28" s="274"/>
      <c r="BI28" s="270"/>
      <c r="BJ28" s="270"/>
      <c r="BK28" s="270"/>
      <c r="BL28" s="271"/>
      <c r="BM28" s="272"/>
      <c r="BN28" s="270"/>
      <c r="BO28" s="270"/>
      <c r="BP28" s="270"/>
      <c r="BQ28" s="273"/>
      <c r="BR28" s="274"/>
      <c r="BS28" s="270"/>
      <c r="BT28" s="270"/>
      <c r="BU28" s="270"/>
      <c r="BV28" s="271"/>
      <c r="BW28" s="272"/>
      <c r="BX28" s="270"/>
      <c r="BY28" s="270"/>
      <c r="BZ28" s="270"/>
      <c r="CA28" s="273"/>
    </row>
    <row r="29" spans="1:79" ht="15" customHeight="1">
      <c r="B29" s="210" t="s">
        <v>304</v>
      </c>
      <c r="C29" s="260"/>
      <c r="D29" s="260"/>
      <c r="E29" s="260"/>
      <c r="F29" s="225"/>
      <c r="G29" s="275"/>
      <c r="H29" s="209"/>
      <c r="I29" s="211"/>
      <c r="J29" s="269"/>
      <c r="K29" s="270"/>
      <c r="L29" s="270"/>
      <c r="M29" s="270"/>
      <c r="N29" s="271"/>
      <c r="O29" s="272"/>
      <c r="P29" s="270"/>
      <c r="Q29" s="270"/>
      <c r="R29" s="270"/>
      <c r="S29" s="273"/>
      <c r="T29" s="274"/>
      <c r="U29" s="270"/>
      <c r="V29" s="270"/>
      <c r="W29" s="270"/>
      <c r="X29" s="271"/>
      <c r="Y29" s="272"/>
      <c r="Z29" s="270"/>
      <c r="AA29" s="270"/>
      <c r="AB29" s="270"/>
      <c r="AC29" s="273"/>
      <c r="AD29" s="274"/>
      <c r="AE29" s="270"/>
      <c r="AF29" s="270"/>
      <c r="AG29" s="270"/>
      <c r="AH29" s="271"/>
      <c r="AI29" s="272"/>
      <c r="AJ29" s="270"/>
      <c r="AK29" s="270"/>
      <c r="AL29" s="270"/>
      <c r="AM29" s="273"/>
      <c r="AN29" s="274"/>
      <c r="AO29" s="270"/>
      <c r="AP29" s="270"/>
      <c r="AQ29" s="270"/>
      <c r="AR29" s="271"/>
      <c r="AS29" s="272"/>
      <c r="AT29" s="270"/>
      <c r="AU29" s="270"/>
      <c r="AV29" s="270"/>
      <c r="AW29" s="273"/>
      <c r="AX29" s="274"/>
      <c r="AY29" s="270"/>
      <c r="AZ29" s="270"/>
      <c r="BA29" s="270"/>
      <c r="BB29" s="271"/>
      <c r="BC29" s="272"/>
      <c r="BD29" s="270"/>
      <c r="BE29" s="270"/>
      <c r="BF29" s="270"/>
      <c r="BG29" s="273"/>
      <c r="BH29" s="274"/>
      <c r="BI29" s="270"/>
      <c r="BJ29" s="270"/>
      <c r="BK29" s="270"/>
      <c r="BL29" s="271"/>
      <c r="BM29" s="272"/>
      <c r="BN29" s="270"/>
      <c r="BO29" s="270"/>
      <c r="BP29" s="270"/>
      <c r="BQ29" s="273"/>
      <c r="BR29" s="274"/>
      <c r="BS29" s="270"/>
      <c r="BT29" s="270"/>
      <c r="BU29" s="270"/>
      <c r="BV29" s="271"/>
      <c r="BW29" s="272"/>
      <c r="BX29" s="270"/>
      <c r="BY29" s="270"/>
      <c r="BZ29" s="270"/>
      <c r="CA29" s="273"/>
    </row>
    <row r="30" spans="1:79" ht="30" customHeight="1">
      <c r="B30" s="210" t="s">
        <v>305</v>
      </c>
      <c r="C30" s="260"/>
      <c r="D30" s="260"/>
      <c r="E30" s="260"/>
      <c r="F30" s="225"/>
      <c r="G30" s="275"/>
      <c r="H30" s="209"/>
      <c r="I30" s="211"/>
      <c r="J30" s="269"/>
      <c r="K30" s="270"/>
      <c r="L30" s="270"/>
      <c r="M30" s="270"/>
      <c r="N30" s="271"/>
      <c r="O30" s="272"/>
      <c r="P30" s="270"/>
      <c r="Q30" s="270"/>
      <c r="R30" s="270"/>
      <c r="S30" s="273"/>
      <c r="T30" s="274"/>
      <c r="U30" s="270"/>
      <c r="V30" s="270"/>
      <c r="W30" s="270"/>
      <c r="X30" s="271"/>
      <c r="Y30" s="272"/>
      <c r="Z30" s="270"/>
      <c r="AA30" s="270"/>
      <c r="AB30" s="270"/>
      <c r="AC30" s="273"/>
      <c r="AD30" s="274"/>
      <c r="AE30" s="270"/>
      <c r="AF30" s="270"/>
      <c r="AG30" s="270"/>
      <c r="AH30" s="271"/>
      <c r="AI30" s="272"/>
      <c r="AJ30" s="270"/>
      <c r="AK30" s="270"/>
      <c r="AL30" s="270"/>
      <c r="AM30" s="273"/>
      <c r="AN30" s="274"/>
      <c r="AO30" s="270"/>
      <c r="AP30" s="270"/>
      <c r="AQ30" s="270"/>
      <c r="AR30" s="271"/>
      <c r="AS30" s="272"/>
      <c r="AT30" s="270"/>
      <c r="AU30" s="270"/>
      <c r="AV30" s="270"/>
      <c r="AW30" s="273"/>
      <c r="AX30" s="274"/>
      <c r="AY30" s="270"/>
      <c r="AZ30" s="270"/>
      <c r="BA30" s="270"/>
      <c r="BB30" s="271"/>
      <c r="BC30" s="272"/>
      <c r="BD30" s="270"/>
      <c r="BE30" s="270"/>
      <c r="BF30" s="270"/>
      <c r="BG30" s="273"/>
      <c r="BH30" s="274"/>
      <c r="BI30" s="270"/>
      <c r="BJ30" s="270"/>
      <c r="BK30" s="270"/>
      <c r="BL30" s="271"/>
      <c r="BM30" s="272"/>
      <c r="BN30" s="270"/>
      <c r="BO30" s="270"/>
      <c r="BP30" s="270"/>
      <c r="BQ30" s="273"/>
      <c r="BR30" s="274"/>
      <c r="BS30" s="270"/>
      <c r="BT30" s="270"/>
      <c r="BU30" s="270"/>
      <c r="BV30" s="271"/>
      <c r="BW30" s="272"/>
      <c r="BX30" s="270"/>
      <c r="BY30" s="270"/>
      <c r="BZ30" s="270"/>
      <c r="CA30" s="273"/>
    </row>
    <row r="31" spans="1:79" ht="30.75" customHeight="1">
      <c r="B31" s="210" t="s">
        <v>306</v>
      </c>
      <c r="C31" s="260"/>
      <c r="D31" s="260"/>
      <c r="E31" s="260"/>
      <c r="F31" s="225"/>
      <c r="G31" s="275"/>
      <c r="H31" s="209"/>
      <c r="I31" s="211"/>
      <c r="J31" s="269"/>
      <c r="K31" s="270"/>
      <c r="L31" s="270"/>
      <c r="M31" s="270"/>
      <c r="N31" s="271"/>
      <c r="O31" s="272"/>
      <c r="P31" s="270"/>
      <c r="Q31" s="270"/>
      <c r="R31" s="270"/>
      <c r="S31" s="273"/>
      <c r="T31" s="274"/>
      <c r="U31" s="270"/>
      <c r="V31" s="270"/>
      <c r="W31" s="270"/>
      <c r="X31" s="271"/>
      <c r="Y31" s="272"/>
      <c r="Z31" s="270"/>
      <c r="AA31" s="270"/>
      <c r="AB31" s="270"/>
      <c r="AC31" s="273"/>
      <c r="AD31" s="274"/>
      <c r="AE31" s="270"/>
      <c r="AF31" s="270"/>
      <c r="AG31" s="270"/>
      <c r="AH31" s="271"/>
      <c r="AI31" s="272"/>
      <c r="AJ31" s="270"/>
      <c r="AK31" s="270"/>
      <c r="AL31" s="270"/>
      <c r="AM31" s="273"/>
      <c r="AN31" s="274"/>
      <c r="AO31" s="270"/>
      <c r="AP31" s="270"/>
      <c r="AQ31" s="270"/>
      <c r="AR31" s="271"/>
      <c r="AS31" s="272"/>
      <c r="AT31" s="270"/>
      <c r="AU31" s="270"/>
      <c r="AV31" s="270"/>
      <c r="AW31" s="273"/>
      <c r="AX31" s="274"/>
      <c r="AY31" s="270"/>
      <c r="AZ31" s="270"/>
      <c r="BA31" s="270"/>
      <c r="BB31" s="271"/>
      <c r="BC31" s="272"/>
      <c r="BD31" s="270"/>
      <c r="BE31" s="270"/>
      <c r="BF31" s="270"/>
      <c r="BG31" s="273"/>
      <c r="BH31" s="274"/>
      <c r="BI31" s="270"/>
      <c r="BJ31" s="270"/>
      <c r="BK31" s="270"/>
      <c r="BL31" s="271"/>
      <c r="BM31" s="272"/>
      <c r="BN31" s="270"/>
      <c r="BO31" s="270"/>
      <c r="BP31" s="270"/>
      <c r="BQ31" s="273"/>
      <c r="BR31" s="274"/>
      <c r="BS31" s="270"/>
      <c r="BT31" s="270"/>
      <c r="BU31" s="270"/>
      <c r="BV31" s="271"/>
      <c r="BW31" s="272"/>
      <c r="BX31" s="270"/>
      <c r="BY31" s="270"/>
      <c r="BZ31" s="270"/>
      <c r="CA31" s="273"/>
    </row>
    <row r="32" spans="1:79" ht="15" customHeight="1">
      <c r="B32" s="210" t="s">
        <v>307</v>
      </c>
      <c r="C32" s="260"/>
      <c r="D32" s="260"/>
      <c r="E32" s="260"/>
      <c r="F32" s="225"/>
      <c r="G32" s="275"/>
      <c r="H32" s="209"/>
      <c r="I32" s="211"/>
      <c r="J32" s="269"/>
      <c r="K32" s="270"/>
      <c r="L32" s="270"/>
      <c r="M32" s="270"/>
      <c r="N32" s="271"/>
      <c r="O32" s="272"/>
      <c r="P32" s="270"/>
      <c r="Q32" s="270"/>
      <c r="R32" s="270"/>
      <c r="S32" s="273"/>
      <c r="T32" s="274"/>
      <c r="U32" s="270"/>
      <c r="V32" s="270"/>
      <c r="W32" s="270"/>
      <c r="X32" s="271"/>
      <c r="Y32" s="272"/>
      <c r="Z32" s="270"/>
      <c r="AA32" s="270"/>
      <c r="AB32" s="270"/>
      <c r="AC32" s="273"/>
      <c r="AD32" s="274"/>
      <c r="AE32" s="270"/>
      <c r="AF32" s="270"/>
      <c r="AG32" s="270"/>
      <c r="AH32" s="271"/>
      <c r="AI32" s="272"/>
      <c r="AJ32" s="270"/>
      <c r="AK32" s="270"/>
      <c r="AL32" s="270"/>
      <c r="AM32" s="273"/>
      <c r="AN32" s="274"/>
      <c r="AO32" s="270"/>
      <c r="AP32" s="270"/>
      <c r="AQ32" s="270"/>
      <c r="AR32" s="271"/>
      <c r="AS32" s="272"/>
      <c r="AT32" s="270"/>
      <c r="AU32" s="270"/>
      <c r="AV32" s="270"/>
      <c r="AW32" s="273"/>
      <c r="AX32" s="274"/>
      <c r="AY32" s="270"/>
      <c r="AZ32" s="270"/>
      <c r="BA32" s="270"/>
      <c r="BB32" s="271"/>
      <c r="BC32" s="272"/>
      <c r="BD32" s="270"/>
      <c r="BE32" s="270"/>
      <c r="BF32" s="270"/>
      <c r="BG32" s="273"/>
      <c r="BH32" s="274"/>
      <c r="BI32" s="270"/>
      <c r="BJ32" s="270"/>
      <c r="BK32" s="270"/>
      <c r="BL32" s="271"/>
      <c r="BM32" s="272"/>
      <c r="BN32" s="270"/>
      <c r="BO32" s="270"/>
      <c r="BP32" s="270"/>
      <c r="BQ32" s="273"/>
      <c r="BR32" s="274"/>
      <c r="BS32" s="270"/>
      <c r="BT32" s="270"/>
      <c r="BU32" s="270"/>
      <c r="BV32" s="271"/>
      <c r="BW32" s="272"/>
      <c r="BX32" s="270"/>
      <c r="BY32" s="270"/>
      <c r="BZ32" s="270"/>
      <c r="CA32" s="273"/>
    </row>
    <row r="33" spans="2:79" ht="15" customHeight="1">
      <c r="B33" s="210" t="s">
        <v>132</v>
      </c>
      <c r="C33" s="260"/>
      <c r="D33" s="260"/>
      <c r="E33" s="260"/>
      <c r="F33" s="224"/>
      <c r="G33" s="275"/>
      <c r="H33" s="209"/>
      <c r="I33" s="211"/>
      <c r="J33" s="269" t="e">
        <f>IF(#REF!="Yes","H",IF($B33="","",IF(AND($C33&lt;=#REF!,$D33&gt;=#REF!),IF($G33="","x","y"),"")))</f>
        <v>#REF!</v>
      </c>
      <c r="K33" s="270" t="e">
        <f>IF(#REF!="Yes","H",IF($B33="","",IF(AND($C33&lt;=#REF!,$D33&gt;=#REF!),IF($G33="","x","y"),"")))</f>
        <v>#REF!</v>
      </c>
      <c r="L33" s="270" t="e">
        <f>IF(#REF!="Yes","H",IF($B33="","",IF(AND($C33&lt;=#REF!,$D33&gt;=#REF!),IF($G33="","x","y"),"")))</f>
        <v>#REF!</v>
      </c>
      <c r="M33" s="270" t="e">
        <f>IF(#REF!="Yes","H",IF($B33="","",IF(AND($C33&lt;=#REF!,$D33&gt;=#REF!),IF($G33="","x","y"),"")))</f>
        <v>#REF!</v>
      </c>
      <c r="N33" s="271" t="e">
        <f>IF(#REF!="Yes","H",IF($B33="","",IF(AND($C33&lt;=#REF!,$D33&gt;=#REF!),IF($G33="","x","y"),"")))</f>
        <v>#REF!</v>
      </c>
      <c r="O33" s="272" t="e">
        <f>IF(#REF!="Yes","H",IF($B33="","",IF(AND($C33&lt;=#REF!,$D33&gt;=#REF!),IF($G33="","x","y"),"")))</f>
        <v>#REF!</v>
      </c>
      <c r="P33" s="270" t="e">
        <f>IF(#REF!="Yes","H",IF($B33="","",IF(AND($C33&lt;=#REF!,$D33&gt;=#REF!),IF($G33="","x","y"),"")))</f>
        <v>#REF!</v>
      </c>
      <c r="Q33" s="270" t="e">
        <f>IF(#REF!="Yes","H",IF($B33="","",IF(AND($C33&lt;=#REF!,$D33&gt;=#REF!),IF($G33="","x","y"),"")))</f>
        <v>#REF!</v>
      </c>
      <c r="R33" s="270" t="e">
        <f>IF(#REF!="Yes","H",IF($B33="","",IF(AND($C33&lt;=#REF!,$D33&gt;=#REF!),IF($G33="","x","y"),"")))</f>
        <v>#REF!</v>
      </c>
      <c r="S33" s="273" t="e">
        <f>IF(#REF!="Yes","H",IF($B33="","",IF(AND($C33&lt;=#REF!,$D33&gt;=#REF!),IF($G33="","x","y"),"")))</f>
        <v>#REF!</v>
      </c>
      <c r="T33" s="274" t="e">
        <f>IF(#REF!="Yes","H",IF($B33="","",IF(AND($C33&lt;=#REF!,$D33&gt;=#REF!),IF($G33="","x","y"),"")))</f>
        <v>#REF!</v>
      </c>
      <c r="U33" s="270" t="e">
        <f>IF(#REF!="Yes","H",IF($B33="","",IF(AND($C33&lt;=#REF!,$D33&gt;=#REF!),IF($G33="","x","y"),"")))</f>
        <v>#REF!</v>
      </c>
      <c r="V33" s="270" t="e">
        <f>IF(#REF!="Yes","H",IF($B33="","",IF(AND($C33&lt;=#REF!,$D33&gt;=#REF!),IF($G33="","x","y"),"")))</f>
        <v>#REF!</v>
      </c>
      <c r="W33" s="270" t="e">
        <f>IF(#REF!="Yes","H",IF($B33="","",IF(AND($C33&lt;=#REF!,$D33&gt;=#REF!),IF($G33="","x","y"),"")))</f>
        <v>#REF!</v>
      </c>
      <c r="X33" s="271" t="e">
        <f>IF(#REF!="Yes","H",IF($B33="","",IF(AND($C33&lt;=#REF!,$D33&gt;=#REF!),IF($G33="","x","y"),"")))</f>
        <v>#REF!</v>
      </c>
      <c r="Y33" s="272" t="e">
        <f>IF(#REF!="Yes","H",IF($B33="","",IF(AND($C33&lt;=#REF!,$D33&gt;=#REF!),IF($G33="","x","y"),"")))</f>
        <v>#REF!</v>
      </c>
      <c r="Z33" s="270" t="e">
        <f>IF(#REF!="Yes","H",IF($B33="","",IF(AND($C33&lt;=#REF!,$D33&gt;=#REF!),IF($G33="","x","y"),"")))</f>
        <v>#REF!</v>
      </c>
      <c r="AA33" s="270" t="e">
        <f>IF(#REF!="Yes","H",IF($B33="","",IF(AND($C33&lt;=#REF!,$D33&gt;=#REF!),IF($G33="","x","y"),"")))</f>
        <v>#REF!</v>
      </c>
      <c r="AB33" s="270" t="e">
        <f>IF(#REF!="Yes","H",IF($B33="","",IF(AND($C33&lt;=#REF!,$D33&gt;=#REF!),IF($G33="","x","y"),"")))</f>
        <v>#REF!</v>
      </c>
      <c r="AC33" s="273" t="e">
        <f>IF(#REF!="Yes","H",IF($B33="","",IF(AND($C33&lt;=#REF!,$D33&gt;=#REF!),IF($G33="","x","y"),"")))</f>
        <v>#REF!</v>
      </c>
      <c r="AD33" s="274" t="e">
        <f>IF(#REF!="Yes","H",IF($B33="","",IF(AND($C33&lt;=#REF!,$D33&gt;=#REF!),IF($G33="","x","y"),"")))</f>
        <v>#REF!</v>
      </c>
      <c r="AE33" s="270" t="e">
        <f>IF(#REF!="Yes","H",IF($B33="","",IF(AND($C33&lt;=#REF!,$D33&gt;=#REF!),IF($G33="","x","y"),"")))</f>
        <v>#REF!</v>
      </c>
      <c r="AF33" s="270" t="e">
        <f>IF(#REF!="Yes","H",IF($B33="","",IF(AND($C33&lt;=#REF!,$D33&gt;=#REF!),IF($G33="","x","y"),"")))</f>
        <v>#REF!</v>
      </c>
      <c r="AG33" s="270" t="e">
        <f>IF(#REF!="Yes","H",IF($B33="","",IF(AND($C33&lt;=#REF!,$D33&gt;=#REF!),IF($G33="","x","y"),"")))</f>
        <v>#REF!</v>
      </c>
      <c r="AH33" s="271" t="e">
        <f>IF(#REF!="Yes","H",IF($B33="","",IF(AND($C33&lt;=#REF!,$D33&gt;=#REF!),IF($G33="","x","y"),"")))</f>
        <v>#REF!</v>
      </c>
      <c r="AI33" s="272" t="e">
        <f>IF(#REF!="Yes","H",IF($B33="","",IF(AND($C33&lt;=#REF!,$D33&gt;=#REF!),IF($G33="","x","y"),"")))</f>
        <v>#REF!</v>
      </c>
      <c r="AJ33" s="270" t="e">
        <f>IF(#REF!="Yes","H",IF($B33="","",IF(AND($C33&lt;=#REF!,$D33&gt;=#REF!),IF($G33="","x","y"),"")))</f>
        <v>#REF!</v>
      </c>
      <c r="AK33" s="270" t="e">
        <f>IF(#REF!="Yes","H",IF($B33="","",IF(AND($C33&lt;=#REF!,$D33&gt;=#REF!),IF($G33="","x","y"),"")))</f>
        <v>#REF!</v>
      </c>
      <c r="AL33" s="270" t="e">
        <f>IF(#REF!="Yes","H",IF($B33="","",IF(AND($C33&lt;=#REF!,$D33&gt;=#REF!),IF($G33="","x","y"),"")))</f>
        <v>#REF!</v>
      </c>
      <c r="AM33" s="273" t="e">
        <f>IF(#REF!="Yes","H",IF($B33="","",IF(AND($C33&lt;=#REF!,$D33&gt;=#REF!),IF($G33="","x","y"),"")))</f>
        <v>#REF!</v>
      </c>
      <c r="AN33" s="274" t="e">
        <f>IF(#REF!="Yes","H",IF($B33="","",IF(AND($C33&lt;=#REF!,$D33&gt;=#REF!),IF($G33="","x","y"),"")))</f>
        <v>#REF!</v>
      </c>
      <c r="AO33" s="270" t="e">
        <f>IF(#REF!="Yes","H",IF($B33="","",IF(AND($C33&lt;=#REF!,$D33&gt;=#REF!),IF($G33="","x","y"),"")))</f>
        <v>#REF!</v>
      </c>
      <c r="AP33" s="270" t="e">
        <f>IF(#REF!="Yes","H",IF($B33="","",IF(AND($C33&lt;=#REF!,$D33&gt;=#REF!),IF($G33="","x","y"),"")))</f>
        <v>#REF!</v>
      </c>
      <c r="AQ33" s="270" t="e">
        <f>IF(#REF!="Yes","H",IF($B33="","",IF(AND($C33&lt;=#REF!,$D33&gt;=#REF!),IF($G33="","x","y"),"")))</f>
        <v>#REF!</v>
      </c>
      <c r="AR33" s="271" t="e">
        <f>IF(#REF!="Yes","H",IF($B33="","",IF(AND($C33&lt;=#REF!,$D33&gt;=#REF!),IF($G33="","x","y"),"")))</f>
        <v>#REF!</v>
      </c>
      <c r="AS33" s="272" t="e">
        <f>IF(#REF!="Yes","H",IF($B33="","",IF(AND($C33&lt;=#REF!,$D33&gt;=#REF!),IF($G33="","x","y"),"")))</f>
        <v>#REF!</v>
      </c>
      <c r="AT33" s="270" t="e">
        <f>IF(#REF!="Yes","H",IF($B33="","",IF(AND($C33&lt;=#REF!,$D33&gt;=#REF!),IF($G33="","x","y"),"")))</f>
        <v>#REF!</v>
      </c>
      <c r="AU33" s="270" t="e">
        <f>IF(#REF!="Yes","H",IF($B33="","",IF(AND($C33&lt;=#REF!,$D33&gt;=#REF!),IF($G33="","x","y"),"")))</f>
        <v>#REF!</v>
      </c>
      <c r="AV33" s="270" t="e">
        <f>IF(#REF!="Yes","H",IF($B33="","",IF(AND($C33&lt;=#REF!,$D33&gt;=#REF!),IF($G33="","x","y"),"")))</f>
        <v>#REF!</v>
      </c>
      <c r="AW33" s="273" t="e">
        <f>IF(#REF!="Yes","H",IF($B33="","",IF(AND($C33&lt;=#REF!,$D33&gt;=#REF!),IF($G33="","x","y"),"")))</f>
        <v>#REF!</v>
      </c>
      <c r="AX33" s="274" t="e">
        <f>IF(#REF!="Yes","H",IF($B33="","",IF(AND($C33&lt;=#REF!,$D33&gt;=#REF!),IF($G33="","x","y"),"")))</f>
        <v>#REF!</v>
      </c>
      <c r="AY33" s="270" t="e">
        <f>IF(#REF!="Yes","H",IF($B33="","",IF(AND($C33&lt;=#REF!,$D33&gt;=#REF!),IF($G33="","x","y"),"")))</f>
        <v>#REF!</v>
      </c>
      <c r="AZ33" s="270" t="e">
        <f>IF(#REF!="Yes","H",IF($B33="","",IF(AND($C33&lt;=#REF!,$D33&gt;=#REF!),IF($G33="","x","y"),"")))</f>
        <v>#REF!</v>
      </c>
      <c r="BA33" s="270" t="e">
        <f>IF(#REF!="Yes","H",IF($B33="","",IF(AND($C33&lt;=#REF!,$D33&gt;=#REF!),IF($G33="","x","y"),"")))</f>
        <v>#REF!</v>
      </c>
      <c r="BB33" s="271" t="e">
        <f>IF(#REF!="Yes","H",IF($B33="","",IF(AND($C33&lt;=#REF!,$D33&gt;=#REF!),IF($G33="","x","y"),"")))</f>
        <v>#REF!</v>
      </c>
      <c r="BC33" s="272" t="e">
        <f>IF(#REF!="Yes","H",IF($B33="","",IF(AND($C33&lt;=#REF!,$D33&gt;=#REF!),IF($G33="","x","y"),"")))</f>
        <v>#REF!</v>
      </c>
      <c r="BD33" s="270" t="e">
        <f>IF(#REF!="Yes","H",IF($B33="","",IF(AND($C33&lt;=#REF!,$D33&gt;=#REF!),IF($G33="","x","y"),"")))</f>
        <v>#REF!</v>
      </c>
      <c r="BE33" s="270" t="e">
        <f>IF(#REF!="Yes","H",IF($B33="","",IF(AND($C33&lt;=#REF!,$D33&gt;=#REF!),IF($G33="","x","y"),"")))</f>
        <v>#REF!</v>
      </c>
      <c r="BF33" s="270" t="e">
        <f>IF(#REF!="Yes","H",IF($B33="","",IF(AND($C33&lt;=#REF!,$D33&gt;=#REF!),IF($G33="","x","y"),"")))</f>
        <v>#REF!</v>
      </c>
      <c r="BG33" s="273" t="e">
        <f>IF(#REF!="Yes","H",IF($B33="","",IF(AND($C33&lt;=#REF!,$D33&gt;=#REF!),IF($G33="","x","y"),"")))</f>
        <v>#REF!</v>
      </c>
      <c r="BH33" s="274" t="e">
        <f>IF(#REF!="Yes","H",IF($B33="","",IF(AND($C33&lt;=#REF!,$D33&gt;=#REF!),IF($G33="","x","y"),"")))</f>
        <v>#REF!</v>
      </c>
      <c r="BI33" s="270" t="e">
        <f>IF(#REF!="Yes","H",IF($B33="","",IF(AND($C33&lt;=#REF!,$D33&gt;=#REF!),IF($G33="","x","y"),"")))</f>
        <v>#REF!</v>
      </c>
      <c r="BJ33" s="270" t="e">
        <f>IF(#REF!="Yes","H",IF($B33="","",IF(AND($C33&lt;=#REF!,$D33&gt;=#REF!),IF($G33="","x","y"),"")))</f>
        <v>#REF!</v>
      </c>
      <c r="BK33" s="270" t="e">
        <f>IF(#REF!="Yes","H",IF($B33="","",IF(AND($C33&lt;=#REF!,$D33&gt;=#REF!),IF($G33="","x","y"),"")))</f>
        <v>#REF!</v>
      </c>
      <c r="BL33" s="271" t="e">
        <f>IF(#REF!="Yes","H",IF($B33="","",IF(AND($C33&lt;=#REF!,$D33&gt;=#REF!),IF($G33="","x","y"),"")))</f>
        <v>#REF!</v>
      </c>
      <c r="BM33" s="272" t="e">
        <f>IF(#REF!="Yes","H",IF($B33="","",IF(AND($C33&lt;=#REF!,$D33&gt;=#REF!),IF($G33="","x","y"),"")))</f>
        <v>#REF!</v>
      </c>
      <c r="BN33" s="270" t="e">
        <f>IF(#REF!="Yes","H",IF($B33="","",IF(AND($C33&lt;=#REF!,$D33&gt;=#REF!),IF($G33="","x","y"),"")))</f>
        <v>#REF!</v>
      </c>
      <c r="BO33" s="270" t="e">
        <f>IF(#REF!="Yes","H",IF($B33="","",IF(AND($C33&lt;=#REF!,$D33&gt;=#REF!),IF($G33="","x","y"),"")))</f>
        <v>#REF!</v>
      </c>
      <c r="BP33" s="270" t="e">
        <f>IF(#REF!="Yes","H",IF($B33="","",IF(AND($C33&lt;=#REF!,$D33&gt;=#REF!),IF($G33="","x","y"),"")))</f>
        <v>#REF!</v>
      </c>
      <c r="BQ33" s="273" t="e">
        <f>IF(#REF!="Yes","H",IF($B33="","",IF(AND($C33&lt;=#REF!,$D33&gt;=#REF!),IF($G33="","x","y"),"")))</f>
        <v>#REF!</v>
      </c>
      <c r="BR33" s="274" t="e">
        <f>IF(#REF!="Yes","H",IF($B33="","",IF(AND($C33&lt;=#REF!,$D33&gt;=#REF!),IF($G33="","x","y"),"")))</f>
        <v>#REF!</v>
      </c>
      <c r="BS33" s="270" t="e">
        <f>IF(#REF!="Yes","H",IF($B33="","",IF(AND($C33&lt;=#REF!,$D33&gt;=#REF!),IF($G33="","x","y"),"")))</f>
        <v>#REF!</v>
      </c>
      <c r="BT33" s="270" t="e">
        <f>IF(#REF!="Yes","H",IF($B33="","",IF(AND($C33&lt;=#REF!,$D33&gt;=#REF!),IF($G33="","x","y"),"")))</f>
        <v>#REF!</v>
      </c>
      <c r="BU33" s="270" t="e">
        <f>IF(#REF!="Yes","H",IF($B33="","",IF(AND($C33&lt;=#REF!,$D33&gt;=#REF!),IF($G33="","x","y"),"")))</f>
        <v>#REF!</v>
      </c>
      <c r="BV33" s="271" t="e">
        <f>IF(#REF!="Yes","H",IF($B33="","",IF(AND($C33&lt;=#REF!,$D33&gt;=#REF!),IF($G33="","x","y"),"")))</f>
        <v>#REF!</v>
      </c>
      <c r="BW33" s="272" t="e">
        <f>IF(#REF!="Yes","H",IF($B33="","",IF(AND($C33&lt;=#REF!,$D33&gt;=#REF!),IF($G33="","x","y"),"")))</f>
        <v>#REF!</v>
      </c>
      <c r="BX33" s="270" t="e">
        <f>IF(#REF!="Yes","H",IF($B33="","",IF(AND($C33&lt;=#REF!,$D33&gt;=#REF!),IF($G33="","x","y"),"")))</f>
        <v>#REF!</v>
      </c>
      <c r="BY33" s="270" t="e">
        <f>IF(#REF!="Yes","H",IF($B33="","",IF(AND($C33&lt;=#REF!,$D33&gt;=#REF!),IF($G33="","x","y"),"")))</f>
        <v>#REF!</v>
      </c>
      <c r="BZ33" s="270" t="e">
        <f>IF(#REF!="Yes","H",IF($B33="","",IF(AND($C33&lt;=#REF!,$D33&gt;=#REF!),IF($G33="","x","y"),"")))</f>
        <v>#REF!</v>
      </c>
      <c r="CA33" s="273" t="e">
        <f>IF(#REF!="Yes","H",IF($B33="","",IF(AND($C33&lt;=#REF!,$D33&gt;=#REF!),IF($G33="","x","y"),"")))</f>
        <v>#REF!</v>
      </c>
    </row>
    <row r="34" spans="2:79" ht="15" customHeight="1">
      <c r="B34" s="210" t="s">
        <v>135</v>
      </c>
      <c r="C34" s="260"/>
      <c r="D34" s="260"/>
      <c r="E34" s="260"/>
      <c r="F34" s="224"/>
      <c r="G34" s="275"/>
      <c r="H34" s="209"/>
      <c r="I34" s="211"/>
      <c r="J34" s="269" t="e">
        <f>IF(#REF!="Yes","H",IF($B34="","",IF(AND($C34&lt;=#REF!,$D34&gt;=#REF!),IF($G34="","x","y"),"")))</f>
        <v>#REF!</v>
      </c>
      <c r="K34" s="270" t="e">
        <f>IF(#REF!="Yes","H",IF($B34="","",IF(AND($C34&lt;=#REF!,$D34&gt;=#REF!),IF($G34="","x","y"),"")))</f>
        <v>#REF!</v>
      </c>
      <c r="L34" s="270" t="e">
        <f>IF(#REF!="Yes","H",IF($B34="","",IF(AND($C34&lt;=#REF!,$D34&gt;=#REF!),IF($G34="","x","y"),"")))</f>
        <v>#REF!</v>
      </c>
      <c r="M34" s="270" t="e">
        <f>IF(#REF!="Yes","H",IF($B34="","",IF(AND($C34&lt;=#REF!,$D34&gt;=#REF!),IF($G34="","x","y"),"")))</f>
        <v>#REF!</v>
      </c>
      <c r="N34" s="271" t="e">
        <f>IF(#REF!="Yes","H",IF($B34="","",IF(AND($C34&lt;=#REF!,$D34&gt;=#REF!),IF($G34="","x","y"),"")))</f>
        <v>#REF!</v>
      </c>
      <c r="O34" s="272" t="e">
        <f>IF(#REF!="Yes","H",IF($B34="","",IF(AND($C34&lt;=#REF!,$D34&gt;=#REF!),IF($G34="","x","y"),"")))</f>
        <v>#REF!</v>
      </c>
      <c r="P34" s="270" t="e">
        <f>IF(#REF!="Yes","H",IF($B34="","",IF(AND($C34&lt;=#REF!,$D34&gt;=#REF!),IF($G34="","x","y"),"")))</f>
        <v>#REF!</v>
      </c>
      <c r="Q34" s="270" t="e">
        <f>IF(#REF!="Yes","H",IF($B34="","",IF(AND($C34&lt;=#REF!,$D34&gt;=#REF!),IF($G34="","x","y"),"")))</f>
        <v>#REF!</v>
      </c>
      <c r="R34" s="270" t="e">
        <f>IF(#REF!="Yes","H",IF($B34="","",IF(AND($C34&lt;=#REF!,$D34&gt;=#REF!),IF($G34="","x","y"),"")))</f>
        <v>#REF!</v>
      </c>
      <c r="S34" s="273" t="e">
        <f>IF(#REF!="Yes","H",IF($B34="","",IF(AND($C34&lt;=#REF!,$D34&gt;=#REF!),IF($G34="","x","y"),"")))</f>
        <v>#REF!</v>
      </c>
      <c r="T34" s="274" t="e">
        <f>IF(#REF!="Yes","H",IF($B34="","",IF(AND($C34&lt;=#REF!,$D34&gt;=#REF!),IF($G34="","x","y"),"")))</f>
        <v>#REF!</v>
      </c>
      <c r="U34" s="270" t="e">
        <f>IF(#REF!="Yes","H",IF($B34="","",IF(AND($C34&lt;=#REF!,$D34&gt;=#REF!),IF($G34="","x","y"),"")))</f>
        <v>#REF!</v>
      </c>
      <c r="V34" s="270" t="e">
        <f>IF(#REF!="Yes","H",IF($B34="","",IF(AND($C34&lt;=#REF!,$D34&gt;=#REF!),IF($G34="","x","y"),"")))</f>
        <v>#REF!</v>
      </c>
      <c r="W34" s="270" t="e">
        <f>IF(#REF!="Yes","H",IF($B34="","",IF(AND($C34&lt;=#REF!,$D34&gt;=#REF!),IF($G34="","x","y"),"")))</f>
        <v>#REF!</v>
      </c>
      <c r="X34" s="271" t="e">
        <f>IF(#REF!="Yes","H",IF($B34="","",IF(AND($C34&lt;=#REF!,$D34&gt;=#REF!),IF($G34="","x","y"),"")))</f>
        <v>#REF!</v>
      </c>
      <c r="Y34" s="272" t="e">
        <f>IF(#REF!="Yes","H",IF($B34="","",IF(AND($C34&lt;=#REF!,$D34&gt;=#REF!),IF($G34="","x","y"),"")))</f>
        <v>#REF!</v>
      </c>
      <c r="Z34" s="270" t="e">
        <f>IF(#REF!="Yes","H",IF($B34="","",IF(AND($C34&lt;=#REF!,$D34&gt;=#REF!),IF($G34="","x","y"),"")))</f>
        <v>#REF!</v>
      </c>
      <c r="AA34" s="270" t="e">
        <f>IF(#REF!="Yes","H",IF($B34="","",IF(AND($C34&lt;=#REF!,$D34&gt;=#REF!),IF($G34="","x","y"),"")))</f>
        <v>#REF!</v>
      </c>
      <c r="AB34" s="270" t="e">
        <f>IF(#REF!="Yes","H",IF($B34="","",IF(AND($C34&lt;=#REF!,$D34&gt;=#REF!),IF($G34="","x","y"),"")))</f>
        <v>#REF!</v>
      </c>
      <c r="AC34" s="273" t="e">
        <f>IF(#REF!="Yes","H",IF($B34="","",IF(AND($C34&lt;=#REF!,$D34&gt;=#REF!),IF($G34="","x","y"),"")))</f>
        <v>#REF!</v>
      </c>
      <c r="AD34" s="274" t="e">
        <f>IF(#REF!="Yes","H",IF($B34="","",IF(AND($C34&lt;=#REF!,$D34&gt;=#REF!),IF($G34="","x","y"),"")))</f>
        <v>#REF!</v>
      </c>
      <c r="AE34" s="270" t="e">
        <f>IF(#REF!="Yes","H",IF($B34="","",IF(AND($C34&lt;=#REF!,$D34&gt;=#REF!),IF($G34="","x","y"),"")))</f>
        <v>#REF!</v>
      </c>
      <c r="AF34" s="270" t="e">
        <f>IF(#REF!="Yes","H",IF($B34="","",IF(AND($C34&lt;=#REF!,$D34&gt;=#REF!),IF($G34="","x","y"),"")))</f>
        <v>#REF!</v>
      </c>
      <c r="AG34" s="270" t="e">
        <f>IF(#REF!="Yes","H",IF($B34="","",IF(AND($C34&lt;=#REF!,$D34&gt;=#REF!),IF($G34="","x","y"),"")))</f>
        <v>#REF!</v>
      </c>
      <c r="AH34" s="271" t="e">
        <f>IF(#REF!="Yes","H",IF($B34="","",IF(AND($C34&lt;=#REF!,$D34&gt;=#REF!),IF($G34="","x","y"),"")))</f>
        <v>#REF!</v>
      </c>
      <c r="AI34" s="272" t="e">
        <f>IF(#REF!="Yes","H",IF($B34="","",IF(AND($C34&lt;=#REF!,$D34&gt;=#REF!),IF($G34="","x","y"),"")))</f>
        <v>#REF!</v>
      </c>
      <c r="AJ34" s="270" t="e">
        <f>IF(#REF!="Yes","H",IF($B34="","",IF(AND($C34&lt;=#REF!,$D34&gt;=#REF!),IF($G34="","x","y"),"")))</f>
        <v>#REF!</v>
      </c>
      <c r="AK34" s="270" t="e">
        <f>IF(#REF!="Yes","H",IF($B34="","",IF(AND($C34&lt;=#REF!,$D34&gt;=#REF!),IF($G34="","x","y"),"")))</f>
        <v>#REF!</v>
      </c>
      <c r="AL34" s="270" t="e">
        <f>IF(#REF!="Yes","H",IF($B34="","",IF(AND($C34&lt;=#REF!,$D34&gt;=#REF!),IF($G34="","x","y"),"")))</f>
        <v>#REF!</v>
      </c>
      <c r="AM34" s="273" t="e">
        <f>IF(#REF!="Yes","H",IF($B34="","",IF(AND($C34&lt;=#REF!,$D34&gt;=#REF!),IF($G34="","x","y"),"")))</f>
        <v>#REF!</v>
      </c>
      <c r="AN34" s="274" t="e">
        <f>IF(#REF!="Yes","H",IF($B34="","",IF(AND($C34&lt;=#REF!,$D34&gt;=#REF!),IF($G34="","x","y"),"")))</f>
        <v>#REF!</v>
      </c>
      <c r="AO34" s="270" t="e">
        <f>IF(#REF!="Yes","H",IF($B34="","",IF(AND($C34&lt;=#REF!,$D34&gt;=#REF!),IF($G34="","x","y"),"")))</f>
        <v>#REF!</v>
      </c>
      <c r="AP34" s="270" t="e">
        <f>IF(#REF!="Yes","H",IF($B34="","",IF(AND($C34&lt;=#REF!,$D34&gt;=#REF!),IF($G34="","x","y"),"")))</f>
        <v>#REF!</v>
      </c>
      <c r="AQ34" s="270" t="e">
        <f>IF(#REF!="Yes","H",IF($B34="","",IF(AND($C34&lt;=#REF!,$D34&gt;=#REF!),IF($G34="","x","y"),"")))</f>
        <v>#REF!</v>
      </c>
      <c r="AR34" s="271" t="e">
        <f>IF(#REF!="Yes","H",IF($B34="","",IF(AND($C34&lt;=#REF!,$D34&gt;=#REF!),IF($G34="","x","y"),"")))</f>
        <v>#REF!</v>
      </c>
      <c r="AS34" s="272" t="e">
        <f>IF(#REF!="Yes","H",IF($B34="","",IF(AND($C34&lt;=#REF!,$D34&gt;=#REF!),IF($G34="","x","y"),"")))</f>
        <v>#REF!</v>
      </c>
      <c r="AT34" s="270" t="e">
        <f>IF(#REF!="Yes","H",IF($B34="","",IF(AND($C34&lt;=#REF!,$D34&gt;=#REF!),IF($G34="","x","y"),"")))</f>
        <v>#REF!</v>
      </c>
      <c r="AU34" s="270" t="e">
        <f>IF(#REF!="Yes","H",IF($B34="","",IF(AND($C34&lt;=#REF!,$D34&gt;=#REF!),IF($G34="","x","y"),"")))</f>
        <v>#REF!</v>
      </c>
      <c r="AV34" s="270" t="e">
        <f>IF(#REF!="Yes","H",IF($B34="","",IF(AND($C34&lt;=#REF!,$D34&gt;=#REF!),IF($G34="","x","y"),"")))</f>
        <v>#REF!</v>
      </c>
      <c r="AW34" s="273" t="e">
        <f>IF(#REF!="Yes","H",IF($B34="","",IF(AND($C34&lt;=#REF!,$D34&gt;=#REF!),IF($G34="","x","y"),"")))</f>
        <v>#REF!</v>
      </c>
      <c r="AX34" s="274" t="e">
        <f>IF(#REF!="Yes","H",IF($B34="","",IF(AND($C34&lt;=#REF!,$D34&gt;=#REF!),IF($G34="","x","y"),"")))</f>
        <v>#REF!</v>
      </c>
      <c r="AY34" s="270" t="e">
        <f>IF(#REF!="Yes","H",IF($B34="","",IF(AND($C34&lt;=#REF!,$D34&gt;=#REF!),IF($G34="","x","y"),"")))</f>
        <v>#REF!</v>
      </c>
      <c r="AZ34" s="270" t="e">
        <f>IF(#REF!="Yes","H",IF($B34="","",IF(AND($C34&lt;=#REF!,$D34&gt;=#REF!),IF($G34="","x","y"),"")))</f>
        <v>#REF!</v>
      </c>
      <c r="BA34" s="270" t="e">
        <f>IF(#REF!="Yes","H",IF($B34="","",IF(AND($C34&lt;=#REF!,$D34&gt;=#REF!),IF($G34="","x","y"),"")))</f>
        <v>#REF!</v>
      </c>
      <c r="BB34" s="271" t="e">
        <f>IF(#REF!="Yes","H",IF($B34="","",IF(AND($C34&lt;=#REF!,$D34&gt;=#REF!),IF($G34="","x","y"),"")))</f>
        <v>#REF!</v>
      </c>
      <c r="BC34" s="272" t="e">
        <f>IF(#REF!="Yes","H",IF($B34="","",IF(AND($C34&lt;=#REF!,$D34&gt;=#REF!),IF($G34="","x","y"),"")))</f>
        <v>#REF!</v>
      </c>
      <c r="BD34" s="270" t="e">
        <f>IF(#REF!="Yes","H",IF($B34="","",IF(AND($C34&lt;=#REF!,$D34&gt;=#REF!),IF($G34="","x","y"),"")))</f>
        <v>#REF!</v>
      </c>
      <c r="BE34" s="270" t="e">
        <f>IF(#REF!="Yes","H",IF($B34="","",IF(AND($C34&lt;=#REF!,$D34&gt;=#REF!),IF($G34="","x","y"),"")))</f>
        <v>#REF!</v>
      </c>
      <c r="BF34" s="270" t="e">
        <f>IF(#REF!="Yes","H",IF($B34="","",IF(AND($C34&lt;=#REF!,$D34&gt;=#REF!),IF($G34="","x","y"),"")))</f>
        <v>#REF!</v>
      </c>
      <c r="BG34" s="273" t="e">
        <f>IF(#REF!="Yes","H",IF($B34="","",IF(AND($C34&lt;=#REF!,$D34&gt;=#REF!),IF($G34="","x","y"),"")))</f>
        <v>#REF!</v>
      </c>
      <c r="BH34" s="274" t="e">
        <f>IF(#REF!="Yes","H",IF($B34="","",IF(AND($C34&lt;=#REF!,$D34&gt;=#REF!),IF($G34="","x","y"),"")))</f>
        <v>#REF!</v>
      </c>
      <c r="BI34" s="270" t="e">
        <f>IF(#REF!="Yes","H",IF($B34="","",IF(AND($C34&lt;=#REF!,$D34&gt;=#REF!),IF($G34="","x","y"),"")))</f>
        <v>#REF!</v>
      </c>
      <c r="BJ34" s="270" t="e">
        <f>IF(#REF!="Yes","H",IF($B34="","",IF(AND($C34&lt;=#REF!,$D34&gt;=#REF!),IF($G34="","x","y"),"")))</f>
        <v>#REF!</v>
      </c>
      <c r="BK34" s="270" t="e">
        <f>IF(#REF!="Yes","H",IF($B34="","",IF(AND($C34&lt;=#REF!,$D34&gt;=#REF!),IF($G34="","x","y"),"")))</f>
        <v>#REF!</v>
      </c>
      <c r="BL34" s="271" t="e">
        <f>IF(#REF!="Yes","H",IF($B34="","",IF(AND($C34&lt;=#REF!,$D34&gt;=#REF!),IF($G34="","x","y"),"")))</f>
        <v>#REF!</v>
      </c>
      <c r="BM34" s="272" t="e">
        <f>IF(#REF!="Yes","H",IF($B34="","",IF(AND($C34&lt;=#REF!,$D34&gt;=#REF!),IF($G34="","x","y"),"")))</f>
        <v>#REF!</v>
      </c>
      <c r="BN34" s="270" t="e">
        <f>IF(#REF!="Yes","H",IF($B34="","",IF(AND($C34&lt;=#REF!,$D34&gt;=#REF!),IF($G34="","x","y"),"")))</f>
        <v>#REF!</v>
      </c>
      <c r="BO34" s="270" t="e">
        <f>IF(#REF!="Yes","H",IF($B34="","",IF(AND($C34&lt;=#REF!,$D34&gt;=#REF!),IF($G34="","x","y"),"")))</f>
        <v>#REF!</v>
      </c>
      <c r="BP34" s="270" t="e">
        <f>IF(#REF!="Yes","H",IF($B34="","",IF(AND($C34&lt;=#REF!,$D34&gt;=#REF!),IF($G34="","x","y"),"")))</f>
        <v>#REF!</v>
      </c>
      <c r="BQ34" s="273" t="e">
        <f>IF(#REF!="Yes","H",IF($B34="","",IF(AND($C34&lt;=#REF!,$D34&gt;=#REF!),IF($G34="","x","y"),"")))</f>
        <v>#REF!</v>
      </c>
      <c r="BR34" s="274" t="e">
        <f>IF(#REF!="Yes","H",IF($B34="","",IF(AND($C34&lt;=#REF!,$D34&gt;=#REF!),IF($G34="","x","y"),"")))</f>
        <v>#REF!</v>
      </c>
      <c r="BS34" s="270" t="e">
        <f>IF(#REF!="Yes","H",IF($B34="","",IF(AND($C34&lt;=#REF!,$D34&gt;=#REF!),IF($G34="","x","y"),"")))</f>
        <v>#REF!</v>
      </c>
      <c r="BT34" s="270" t="e">
        <f>IF(#REF!="Yes","H",IF($B34="","",IF(AND($C34&lt;=#REF!,$D34&gt;=#REF!),IF($G34="","x","y"),"")))</f>
        <v>#REF!</v>
      </c>
      <c r="BU34" s="270" t="e">
        <f>IF(#REF!="Yes","H",IF($B34="","",IF(AND($C34&lt;=#REF!,$D34&gt;=#REF!),IF($G34="","x","y"),"")))</f>
        <v>#REF!</v>
      </c>
      <c r="BV34" s="271" t="e">
        <f>IF(#REF!="Yes","H",IF($B34="","",IF(AND($C34&lt;=#REF!,$D34&gt;=#REF!),IF($G34="","x","y"),"")))</f>
        <v>#REF!</v>
      </c>
      <c r="BW34" s="272" t="e">
        <f>IF(#REF!="Yes","H",IF($B34="","",IF(AND($C34&lt;=#REF!,$D34&gt;=#REF!),IF($G34="","x","y"),"")))</f>
        <v>#REF!</v>
      </c>
      <c r="BX34" s="270" t="e">
        <f>IF(#REF!="Yes","H",IF($B34="","",IF(AND($C34&lt;=#REF!,$D34&gt;=#REF!),IF($G34="","x","y"),"")))</f>
        <v>#REF!</v>
      </c>
      <c r="BY34" s="270" t="e">
        <f>IF(#REF!="Yes","H",IF($B34="","",IF(AND($C34&lt;=#REF!,$D34&gt;=#REF!),IF($G34="","x","y"),"")))</f>
        <v>#REF!</v>
      </c>
      <c r="BZ34" s="270" t="e">
        <f>IF(#REF!="Yes","H",IF($B34="","",IF(AND($C34&lt;=#REF!,$D34&gt;=#REF!),IF($G34="","x","y"),"")))</f>
        <v>#REF!</v>
      </c>
      <c r="CA34" s="273" t="e">
        <f>IF(#REF!="Yes","H",IF($B34="","",IF(AND($C34&lt;=#REF!,$D34&gt;=#REF!),IF($G34="","x","y"),"")))</f>
        <v>#REF!</v>
      </c>
    </row>
    <row r="35" spans="2:79" ht="15" customHeight="1">
      <c r="B35" s="210" t="s">
        <v>136</v>
      </c>
      <c r="C35" s="260"/>
      <c r="D35" s="260"/>
      <c r="E35" s="260"/>
      <c r="F35" s="224"/>
      <c r="G35" s="275"/>
      <c r="H35" s="209"/>
      <c r="I35" s="211"/>
      <c r="J35" s="269" t="e">
        <f>IF(#REF!="Yes","H",IF($B35="","",IF(AND($C35&lt;=#REF!,$D35&gt;=#REF!),IF($G35="","x","y"),"")))</f>
        <v>#REF!</v>
      </c>
      <c r="K35" s="270" t="e">
        <f>IF(#REF!="Yes","H",IF($B35="","",IF(AND($C35&lt;=#REF!,$D35&gt;=#REF!),IF($G35="","x","y"),"")))</f>
        <v>#REF!</v>
      </c>
      <c r="L35" s="270" t="e">
        <f>IF(#REF!="Yes","H",IF($B35="","",IF(AND($C35&lt;=#REF!,$D35&gt;=#REF!),IF($G35="","x","y"),"")))</f>
        <v>#REF!</v>
      </c>
      <c r="M35" s="270" t="e">
        <f>IF(#REF!="Yes","H",IF($B35="","",IF(AND($C35&lt;=#REF!,$D35&gt;=#REF!),IF($G35="","x","y"),"")))</f>
        <v>#REF!</v>
      </c>
      <c r="N35" s="271" t="e">
        <f>IF(#REF!="Yes","H",IF($B35="","",IF(AND($C35&lt;=#REF!,$D35&gt;=#REF!),IF($G35="","x","y"),"")))</f>
        <v>#REF!</v>
      </c>
      <c r="O35" s="272" t="e">
        <f>IF(#REF!="Yes","H",IF($B35="","",IF(AND($C35&lt;=#REF!,$D35&gt;=#REF!),IF($G35="","x","y"),"")))</f>
        <v>#REF!</v>
      </c>
      <c r="P35" s="270" t="e">
        <f>IF(#REF!="Yes","H",IF($B35="","",IF(AND($C35&lt;=#REF!,$D35&gt;=#REF!),IF($G35="","x","y"),"")))</f>
        <v>#REF!</v>
      </c>
      <c r="Q35" s="270" t="e">
        <f>IF(#REF!="Yes","H",IF($B35="","",IF(AND($C35&lt;=#REF!,$D35&gt;=#REF!),IF($G35="","x","y"),"")))</f>
        <v>#REF!</v>
      </c>
      <c r="R35" s="270" t="e">
        <f>IF(#REF!="Yes","H",IF($B35="","",IF(AND($C35&lt;=#REF!,$D35&gt;=#REF!),IF($G35="","x","y"),"")))</f>
        <v>#REF!</v>
      </c>
      <c r="S35" s="273" t="e">
        <f>IF(#REF!="Yes","H",IF($B35="","",IF(AND($C35&lt;=#REF!,$D35&gt;=#REF!),IF($G35="","x","y"),"")))</f>
        <v>#REF!</v>
      </c>
      <c r="T35" s="274" t="e">
        <f>IF(#REF!="Yes","H",IF($B35="","",IF(AND($C35&lt;=#REF!,$D35&gt;=#REF!),IF($G35="","x","y"),"")))</f>
        <v>#REF!</v>
      </c>
      <c r="U35" s="270" t="e">
        <f>IF(#REF!="Yes","H",IF($B35="","",IF(AND($C35&lt;=#REF!,$D35&gt;=#REF!),IF($G35="","x","y"),"")))</f>
        <v>#REF!</v>
      </c>
      <c r="V35" s="270" t="e">
        <f>IF(#REF!="Yes","H",IF($B35="","",IF(AND($C35&lt;=#REF!,$D35&gt;=#REF!),IF($G35="","x","y"),"")))</f>
        <v>#REF!</v>
      </c>
      <c r="W35" s="270" t="e">
        <f>IF(#REF!="Yes","H",IF($B35="","",IF(AND($C35&lt;=#REF!,$D35&gt;=#REF!),IF($G35="","x","y"),"")))</f>
        <v>#REF!</v>
      </c>
      <c r="X35" s="271" t="e">
        <f>IF(#REF!="Yes","H",IF($B35="","",IF(AND($C35&lt;=#REF!,$D35&gt;=#REF!),IF($G35="","x","y"),"")))</f>
        <v>#REF!</v>
      </c>
      <c r="Y35" s="272" t="e">
        <f>IF(#REF!="Yes","H",IF($B35="","",IF(AND($C35&lt;=#REF!,$D35&gt;=#REF!),IF($G35="","x","y"),"")))</f>
        <v>#REF!</v>
      </c>
      <c r="Z35" s="270" t="e">
        <f>IF(#REF!="Yes","H",IF($B35="","",IF(AND($C35&lt;=#REF!,$D35&gt;=#REF!),IF($G35="","x","y"),"")))</f>
        <v>#REF!</v>
      </c>
      <c r="AA35" s="270" t="e">
        <f>IF(#REF!="Yes","H",IF($B35="","",IF(AND($C35&lt;=#REF!,$D35&gt;=#REF!),IF($G35="","x","y"),"")))</f>
        <v>#REF!</v>
      </c>
      <c r="AB35" s="270" t="e">
        <f>IF(#REF!="Yes","H",IF($B35="","",IF(AND($C35&lt;=#REF!,$D35&gt;=#REF!),IF($G35="","x","y"),"")))</f>
        <v>#REF!</v>
      </c>
      <c r="AC35" s="273" t="e">
        <f>IF(#REF!="Yes","H",IF($B35="","",IF(AND($C35&lt;=#REF!,$D35&gt;=#REF!),IF($G35="","x","y"),"")))</f>
        <v>#REF!</v>
      </c>
      <c r="AD35" s="274" t="e">
        <f>IF(#REF!="Yes","H",IF($B35="","",IF(AND($C35&lt;=#REF!,$D35&gt;=#REF!),IF($G35="","x","y"),"")))</f>
        <v>#REF!</v>
      </c>
      <c r="AE35" s="270" t="e">
        <f>IF(#REF!="Yes","H",IF($B35="","",IF(AND($C35&lt;=#REF!,$D35&gt;=#REF!),IF($G35="","x","y"),"")))</f>
        <v>#REF!</v>
      </c>
      <c r="AF35" s="270" t="e">
        <f>IF(#REF!="Yes","H",IF($B35="","",IF(AND($C35&lt;=#REF!,$D35&gt;=#REF!),IF($G35="","x","y"),"")))</f>
        <v>#REF!</v>
      </c>
      <c r="AG35" s="270" t="e">
        <f>IF(#REF!="Yes","H",IF($B35="","",IF(AND($C35&lt;=#REF!,$D35&gt;=#REF!),IF($G35="","x","y"),"")))</f>
        <v>#REF!</v>
      </c>
      <c r="AH35" s="271" t="e">
        <f>IF(#REF!="Yes","H",IF($B35="","",IF(AND($C35&lt;=#REF!,$D35&gt;=#REF!),IF($G35="","x","y"),"")))</f>
        <v>#REF!</v>
      </c>
      <c r="AI35" s="272" t="e">
        <f>IF(#REF!="Yes","H",IF($B35="","",IF(AND($C35&lt;=#REF!,$D35&gt;=#REF!),IF($G35="","x","y"),"")))</f>
        <v>#REF!</v>
      </c>
      <c r="AJ35" s="270" t="e">
        <f>IF(#REF!="Yes","H",IF($B35="","",IF(AND($C35&lt;=#REF!,$D35&gt;=#REF!),IF($G35="","x","y"),"")))</f>
        <v>#REF!</v>
      </c>
      <c r="AK35" s="270" t="e">
        <f>IF(#REF!="Yes","H",IF($B35="","",IF(AND($C35&lt;=#REF!,$D35&gt;=#REF!),IF($G35="","x","y"),"")))</f>
        <v>#REF!</v>
      </c>
      <c r="AL35" s="270" t="e">
        <f>IF(#REF!="Yes","H",IF($B35="","",IF(AND($C35&lt;=#REF!,$D35&gt;=#REF!),IF($G35="","x","y"),"")))</f>
        <v>#REF!</v>
      </c>
      <c r="AM35" s="273" t="e">
        <f>IF(#REF!="Yes","H",IF($B35="","",IF(AND($C35&lt;=#REF!,$D35&gt;=#REF!),IF($G35="","x","y"),"")))</f>
        <v>#REF!</v>
      </c>
      <c r="AN35" s="274" t="e">
        <f>IF(#REF!="Yes","H",IF($B35="","",IF(AND($C35&lt;=#REF!,$D35&gt;=#REF!),IF($G35="","x","y"),"")))</f>
        <v>#REF!</v>
      </c>
      <c r="AO35" s="270" t="e">
        <f>IF(#REF!="Yes","H",IF($B35="","",IF(AND($C35&lt;=#REF!,$D35&gt;=#REF!),IF($G35="","x","y"),"")))</f>
        <v>#REF!</v>
      </c>
      <c r="AP35" s="270" t="e">
        <f>IF(#REF!="Yes","H",IF($B35="","",IF(AND($C35&lt;=#REF!,$D35&gt;=#REF!),IF($G35="","x","y"),"")))</f>
        <v>#REF!</v>
      </c>
      <c r="AQ35" s="270" t="e">
        <f>IF(#REF!="Yes","H",IF($B35="","",IF(AND($C35&lt;=#REF!,$D35&gt;=#REF!),IF($G35="","x","y"),"")))</f>
        <v>#REF!</v>
      </c>
      <c r="AR35" s="271" t="e">
        <f>IF(#REF!="Yes","H",IF($B35="","",IF(AND($C35&lt;=#REF!,$D35&gt;=#REF!),IF($G35="","x","y"),"")))</f>
        <v>#REF!</v>
      </c>
      <c r="AS35" s="272" t="e">
        <f>IF(#REF!="Yes","H",IF($B35="","",IF(AND($C35&lt;=#REF!,$D35&gt;=#REF!),IF($G35="","x","y"),"")))</f>
        <v>#REF!</v>
      </c>
      <c r="AT35" s="270" t="e">
        <f>IF(#REF!="Yes","H",IF($B35="","",IF(AND($C35&lt;=#REF!,$D35&gt;=#REF!),IF($G35="","x","y"),"")))</f>
        <v>#REF!</v>
      </c>
      <c r="AU35" s="270" t="e">
        <f>IF(#REF!="Yes","H",IF($B35="","",IF(AND($C35&lt;=#REF!,$D35&gt;=#REF!),IF($G35="","x","y"),"")))</f>
        <v>#REF!</v>
      </c>
      <c r="AV35" s="270" t="e">
        <f>IF(#REF!="Yes","H",IF($B35="","",IF(AND($C35&lt;=#REF!,$D35&gt;=#REF!),IF($G35="","x","y"),"")))</f>
        <v>#REF!</v>
      </c>
      <c r="AW35" s="273" t="e">
        <f>IF(#REF!="Yes","H",IF($B35="","",IF(AND($C35&lt;=#REF!,$D35&gt;=#REF!),IF($G35="","x","y"),"")))</f>
        <v>#REF!</v>
      </c>
      <c r="AX35" s="274" t="e">
        <f>IF(#REF!="Yes","H",IF($B35="","",IF(AND($C35&lt;=#REF!,$D35&gt;=#REF!),IF($G35="","x","y"),"")))</f>
        <v>#REF!</v>
      </c>
      <c r="AY35" s="270" t="e">
        <f>IF(#REF!="Yes","H",IF($B35="","",IF(AND($C35&lt;=#REF!,$D35&gt;=#REF!),IF($G35="","x","y"),"")))</f>
        <v>#REF!</v>
      </c>
      <c r="AZ35" s="270" t="e">
        <f>IF(#REF!="Yes","H",IF($B35="","",IF(AND($C35&lt;=#REF!,$D35&gt;=#REF!),IF($G35="","x","y"),"")))</f>
        <v>#REF!</v>
      </c>
      <c r="BA35" s="270" t="e">
        <f>IF(#REF!="Yes","H",IF($B35="","",IF(AND($C35&lt;=#REF!,$D35&gt;=#REF!),IF($G35="","x","y"),"")))</f>
        <v>#REF!</v>
      </c>
      <c r="BB35" s="271" t="e">
        <f>IF(#REF!="Yes","H",IF($B35="","",IF(AND($C35&lt;=#REF!,$D35&gt;=#REF!),IF($G35="","x","y"),"")))</f>
        <v>#REF!</v>
      </c>
      <c r="BC35" s="272" t="e">
        <f>IF(#REF!="Yes","H",IF($B35="","",IF(AND($C35&lt;=#REF!,$D35&gt;=#REF!),IF($G35="","x","y"),"")))</f>
        <v>#REF!</v>
      </c>
      <c r="BD35" s="270" t="e">
        <f>IF(#REF!="Yes","H",IF($B35="","",IF(AND($C35&lt;=#REF!,$D35&gt;=#REF!),IF($G35="","x","y"),"")))</f>
        <v>#REF!</v>
      </c>
      <c r="BE35" s="270" t="e">
        <f>IF(#REF!="Yes","H",IF($B35="","",IF(AND($C35&lt;=#REF!,$D35&gt;=#REF!),IF($G35="","x","y"),"")))</f>
        <v>#REF!</v>
      </c>
      <c r="BF35" s="270" t="e">
        <f>IF(#REF!="Yes","H",IF($B35="","",IF(AND($C35&lt;=#REF!,$D35&gt;=#REF!),IF($G35="","x","y"),"")))</f>
        <v>#REF!</v>
      </c>
      <c r="BG35" s="273" t="e">
        <f>IF(#REF!="Yes","H",IF($B35="","",IF(AND($C35&lt;=#REF!,$D35&gt;=#REF!),IF($G35="","x","y"),"")))</f>
        <v>#REF!</v>
      </c>
      <c r="BH35" s="274" t="e">
        <f>IF(#REF!="Yes","H",IF($B35="","",IF(AND($C35&lt;=#REF!,$D35&gt;=#REF!),IF($G35="","x","y"),"")))</f>
        <v>#REF!</v>
      </c>
      <c r="BI35" s="270" t="e">
        <f>IF(#REF!="Yes","H",IF($B35="","",IF(AND($C35&lt;=#REF!,$D35&gt;=#REF!),IF($G35="","x","y"),"")))</f>
        <v>#REF!</v>
      </c>
      <c r="BJ35" s="270" t="e">
        <f>IF(#REF!="Yes","H",IF($B35="","",IF(AND($C35&lt;=#REF!,$D35&gt;=#REF!),IF($G35="","x","y"),"")))</f>
        <v>#REF!</v>
      </c>
      <c r="BK35" s="270" t="e">
        <f>IF(#REF!="Yes","H",IF($B35="","",IF(AND($C35&lt;=#REF!,$D35&gt;=#REF!),IF($G35="","x","y"),"")))</f>
        <v>#REF!</v>
      </c>
      <c r="BL35" s="271" t="e">
        <f>IF(#REF!="Yes","H",IF($B35="","",IF(AND($C35&lt;=#REF!,$D35&gt;=#REF!),IF($G35="","x","y"),"")))</f>
        <v>#REF!</v>
      </c>
      <c r="BM35" s="272" t="e">
        <f>IF(#REF!="Yes","H",IF($B35="","",IF(AND($C35&lt;=#REF!,$D35&gt;=#REF!),IF($G35="","x","y"),"")))</f>
        <v>#REF!</v>
      </c>
      <c r="BN35" s="270" t="e">
        <f>IF(#REF!="Yes","H",IF($B35="","",IF(AND($C35&lt;=#REF!,$D35&gt;=#REF!),IF($G35="","x","y"),"")))</f>
        <v>#REF!</v>
      </c>
      <c r="BO35" s="270" t="e">
        <f>IF(#REF!="Yes","H",IF($B35="","",IF(AND($C35&lt;=#REF!,$D35&gt;=#REF!),IF($G35="","x","y"),"")))</f>
        <v>#REF!</v>
      </c>
      <c r="BP35" s="270" t="e">
        <f>IF(#REF!="Yes","H",IF($B35="","",IF(AND($C35&lt;=#REF!,$D35&gt;=#REF!),IF($G35="","x","y"),"")))</f>
        <v>#REF!</v>
      </c>
      <c r="BQ35" s="273" t="e">
        <f>IF(#REF!="Yes","H",IF($B35="","",IF(AND($C35&lt;=#REF!,$D35&gt;=#REF!),IF($G35="","x","y"),"")))</f>
        <v>#REF!</v>
      </c>
      <c r="BR35" s="274" t="e">
        <f>IF(#REF!="Yes","H",IF($B35="","",IF(AND($C35&lt;=#REF!,$D35&gt;=#REF!),IF($G35="","x","y"),"")))</f>
        <v>#REF!</v>
      </c>
      <c r="BS35" s="270" t="e">
        <f>IF(#REF!="Yes","H",IF($B35="","",IF(AND($C35&lt;=#REF!,$D35&gt;=#REF!),IF($G35="","x","y"),"")))</f>
        <v>#REF!</v>
      </c>
      <c r="BT35" s="270" t="e">
        <f>IF(#REF!="Yes","H",IF($B35="","",IF(AND($C35&lt;=#REF!,$D35&gt;=#REF!),IF($G35="","x","y"),"")))</f>
        <v>#REF!</v>
      </c>
      <c r="BU35" s="270" t="e">
        <f>IF(#REF!="Yes","H",IF($B35="","",IF(AND($C35&lt;=#REF!,$D35&gt;=#REF!),IF($G35="","x","y"),"")))</f>
        <v>#REF!</v>
      </c>
      <c r="BV35" s="271" t="e">
        <f>IF(#REF!="Yes","H",IF($B35="","",IF(AND($C35&lt;=#REF!,$D35&gt;=#REF!),IF($G35="","x","y"),"")))</f>
        <v>#REF!</v>
      </c>
      <c r="BW35" s="272" t="e">
        <f>IF(#REF!="Yes","H",IF($B35="","",IF(AND($C35&lt;=#REF!,$D35&gt;=#REF!),IF($G35="","x","y"),"")))</f>
        <v>#REF!</v>
      </c>
      <c r="BX35" s="270" t="e">
        <f>IF(#REF!="Yes","H",IF($B35="","",IF(AND($C35&lt;=#REF!,$D35&gt;=#REF!),IF($G35="","x","y"),"")))</f>
        <v>#REF!</v>
      </c>
      <c r="BY35" s="270" t="e">
        <f>IF(#REF!="Yes","H",IF($B35="","",IF(AND($C35&lt;=#REF!,$D35&gt;=#REF!),IF($G35="","x","y"),"")))</f>
        <v>#REF!</v>
      </c>
      <c r="BZ35" s="270" t="e">
        <f>IF(#REF!="Yes","H",IF($B35="","",IF(AND($C35&lt;=#REF!,$D35&gt;=#REF!),IF($G35="","x","y"),"")))</f>
        <v>#REF!</v>
      </c>
      <c r="CA35" s="273" t="e">
        <f>IF(#REF!="Yes","H",IF($B35="","",IF(AND($C35&lt;=#REF!,$D35&gt;=#REF!),IF($G35="","x","y"),"")))</f>
        <v>#REF!</v>
      </c>
    </row>
    <row r="36" spans="2:79" ht="15" customHeight="1">
      <c r="B36" s="210" t="s">
        <v>137</v>
      </c>
      <c r="C36" s="260"/>
      <c r="D36" s="260"/>
      <c r="E36" s="260"/>
      <c r="F36" s="224"/>
      <c r="G36" s="275"/>
      <c r="H36" s="209"/>
      <c r="I36" s="211"/>
      <c r="J36" s="269" t="e">
        <f>IF(#REF!="Yes","H",IF($B36="","",IF(AND($C36&lt;=#REF!,$D36&gt;=#REF!),IF($G36="","x","y"),"")))</f>
        <v>#REF!</v>
      </c>
      <c r="K36" s="270" t="e">
        <f>IF(#REF!="Yes","H",IF($B36="","",IF(AND($C36&lt;=#REF!,$D36&gt;=#REF!),IF($G36="","x","y"),"")))</f>
        <v>#REF!</v>
      </c>
      <c r="L36" s="270" t="e">
        <f>IF(#REF!="Yes","H",IF($B36="","",IF(AND($C36&lt;=#REF!,$D36&gt;=#REF!),IF($G36="","x","y"),"")))</f>
        <v>#REF!</v>
      </c>
      <c r="M36" s="270" t="e">
        <f>IF(#REF!="Yes","H",IF($B36="","",IF(AND($C36&lt;=#REF!,$D36&gt;=#REF!),IF($G36="","x","y"),"")))</f>
        <v>#REF!</v>
      </c>
      <c r="N36" s="271" t="e">
        <f>IF(#REF!="Yes","H",IF($B36="","",IF(AND($C36&lt;=#REF!,$D36&gt;=#REF!),IF($G36="","x","y"),"")))</f>
        <v>#REF!</v>
      </c>
      <c r="O36" s="272" t="e">
        <f>IF(#REF!="Yes","H",IF($B36="","",IF(AND($C36&lt;=#REF!,$D36&gt;=#REF!),IF($G36="","x","y"),"")))</f>
        <v>#REF!</v>
      </c>
      <c r="P36" s="270" t="e">
        <f>IF(#REF!="Yes","H",IF($B36="","",IF(AND($C36&lt;=#REF!,$D36&gt;=#REF!),IF($G36="","x","y"),"")))</f>
        <v>#REF!</v>
      </c>
      <c r="Q36" s="270" t="e">
        <f>IF(#REF!="Yes","H",IF($B36="","",IF(AND($C36&lt;=#REF!,$D36&gt;=#REF!),IF($G36="","x","y"),"")))</f>
        <v>#REF!</v>
      </c>
      <c r="R36" s="270" t="e">
        <f>IF(#REF!="Yes","H",IF($B36="","",IF(AND($C36&lt;=#REF!,$D36&gt;=#REF!),IF($G36="","x","y"),"")))</f>
        <v>#REF!</v>
      </c>
      <c r="S36" s="273" t="e">
        <f>IF(#REF!="Yes","H",IF($B36="","",IF(AND($C36&lt;=#REF!,$D36&gt;=#REF!),IF($G36="","x","y"),"")))</f>
        <v>#REF!</v>
      </c>
      <c r="T36" s="274" t="e">
        <f>IF(#REF!="Yes","H",IF($B36="","",IF(AND($C36&lt;=#REF!,$D36&gt;=#REF!),IF($G36="","x","y"),"")))</f>
        <v>#REF!</v>
      </c>
      <c r="U36" s="270" t="e">
        <f>IF(#REF!="Yes","H",IF($B36="","",IF(AND($C36&lt;=#REF!,$D36&gt;=#REF!),IF($G36="","x","y"),"")))</f>
        <v>#REF!</v>
      </c>
      <c r="V36" s="270" t="e">
        <f>IF(#REF!="Yes","H",IF($B36="","",IF(AND($C36&lt;=#REF!,$D36&gt;=#REF!),IF($G36="","x","y"),"")))</f>
        <v>#REF!</v>
      </c>
      <c r="W36" s="270" t="e">
        <f>IF(#REF!="Yes","H",IF($B36="","",IF(AND($C36&lt;=#REF!,$D36&gt;=#REF!),IF($G36="","x","y"),"")))</f>
        <v>#REF!</v>
      </c>
      <c r="X36" s="271" t="e">
        <f>IF(#REF!="Yes","H",IF($B36="","",IF(AND($C36&lt;=#REF!,$D36&gt;=#REF!),IF($G36="","x","y"),"")))</f>
        <v>#REF!</v>
      </c>
      <c r="Y36" s="272" t="e">
        <f>IF(#REF!="Yes","H",IF($B36="","",IF(AND($C36&lt;=#REF!,$D36&gt;=#REF!),IF($G36="","x","y"),"")))</f>
        <v>#REF!</v>
      </c>
      <c r="Z36" s="270" t="e">
        <f>IF(#REF!="Yes","H",IF($B36="","",IF(AND($C36&lt;=#REF!,$D36&gt;=#REF!),IF($G36="","x","y"),"")))</f>
        <v>#REF!</v>
      </c>
      <c r="AA36" s="270" t="e">
        <f>IF(#REF!="Yes","H",IF($B36="","",IF(AND($C36&lt;=#REF!,$D36&gt;=#REF!),IF($G36="","x","y"),"")))</f>
        <v>#REF!</v>
      </c>
      <c r="AB36" s="270" t="e">
        <f>IF(#REF!="Yes","H",IF($B36="","",IF(AND($C36&lt;=#REF!,$D36&gt;=#REF!),IF($G36="","x","y"),"")))</f>
        <v>#REF!</v>
      </c>
      <c r="AC36" s="273" t="e">
        <f>IF(#REF!="Yes","H",IF($B36="","",IF(AND($C36&lt;=#REF!,$D36&gt;=#REF!),IF($G36="","x","y"),"")))</f>
        <v>#REF!</v>
      </c>
      <c r="AD36" s="274" t="e">
        <f>IF(#REF!="Yes","H",IF($B36="","",IF(AND($C36&lt;=#REF!,$D36&gt;=#REF!),IF($G36="","x","y"),"")))</f>
        <v>#REF!</v>
      </c>
      <c r="AE36" s="270" t="e">
        <f>IF(#REF!="Yes","H",IF($B36="","",IF(AND($C36&lt;=#REF!,$D36&gt;=#REF!),IF($G36="","x","y"),"")))</f>
        <v>#REF!</v>
      </c>
      <c r="AF36" s="270" t="e">
        <f>IF(#REF!="Yes","H",IF($B36="","",IF(AND($C36&lt;=#REF!,$D36&gt;=#REF!),IF($G36="","x","y"),"")))</f>
        <v>#REF!</v>
      </c>
      <c r="AG36" s="270" t="e">
        <f>IF(#REF!="Yes","H",IF($B36="","",IF(AND($C36&lt;=#REF!,$D36&gt;=#REF!),IF($G36="","x","y"),"")))</f>
        <v>#REF!</v>
      </c>
      <c r="AH36" s="271" t="e">
        <f>IF(#REF!="Yes","H",IF($B36="","",IF(AND($C36&lt;=#REF!,$D36&gt;=#REF!),IF($G36="","x","y"),"")))</f>
        <v>#REF!</v>
      </c>
      <c r="AI36" s="272" t="e">
        <f>IF(#REF!="Yes","H",IF($B36="","",IF(AND($C36&lt;=#REF!,$D36&gt;=#REF!),IF($G36="","x","y"),"")))</f>
        <v>#REF!</v>
      </c>
      <c r="AJ36" s="270" t="e">
        <f>IF(#REF!="Yes","H",IF($B36="","",IF(AND($C36&lt;=#REF!,$D36&gt;=#REF!),IF($G36="","x","y"),"")))</f>
        <v>#REF!</v>
      </c>
      <c r="AK36" s="270" t="e">
        <f>IF(#REF!="Yes","H",IF($B36="","",IF(AND($C36&lt;=#REF!,$D36&gt;=#REF!),IF($G36="","x","y"),"")))</f>
        <v>#REF!</v>
      </c>
      <c r="AL36" s="270" t="e">
        <f>IF(#REF!="Yes","H",IF($B36="","",IF(AND($C36&lt;=#REF!,$D36&gt;=#REF!),IF($G36="","x","y"),"")))</f>
        <v>#REF!</v>
      </c>
      <c r="AM36" s="273" t="e">
        <f>IF(#REF!="Yes","H",IF($B36="","",IF(AND($C36&lt;=#REF!,$D36&gt;=#REF!),IF($G36="","x","y"),"")))</f>
        <v>#REF!</v>
      </c>
      <c r="AN36" s="274" t="e">
        <f>IF(#REF!="Yes","H",IF($B36="","",IF(AND($C36&lt;=#REF!,$D36&gt;=#REF!),IF($G36="","x","y"),"")))</f>
        <v>#REF!</v>
      </c>
      <c r="AO36" s="270" t="e">
        <f>IF(#REF!="Yes","H",IF($B36="","",IF(AND($C36&lt;=#REF!,$D36&gt;=#REF!),IF($G36="","x","y"),"")))</f>
        <v>#REF!</v>
      </c>
      <c r="AP36" s="270" t="e">
        <f>IF(#REF!="Yes","H",IF($B36="","",IF(AND($C36&lt;=#REF!,$D36&gt;=#REF!),IF($G36="","x","y"),"")))</f>
        <v>#REF!</v>
      </c>
      <c r="AQ36" s="270" t="e">
        <f>IF(#REF!="Yes","H",IF($B36="","",IF(AND($C36&lt;=#REF!,$D36&gt;=#REF!),IF($G36="","x","y"),"")))</f>
        <v>#REF!</v>
      </c>
      <c r="AR36" s="271" t="e">
        <f>IF(#REF!="Yes","H",IF($B36="","",IF(AND($C36&lt;=#REF!,$D36&gt;=#REF!),IF($G36="","x","y"),"")))</f>
        <v>#REF!</v>
      </c>
      <c r="AS36" s="272" t="e">
        <f>IF(#REF!="Yes","H",IF($B36="","",IF(AND($C36&lt;=#REF!,$D36&gt;=#REF!),IF($G36="","x","y"),"")))</f>
        <v>#REF!</v>
      </c>
      <c r="AT36" s="270" t="e">
        <f>IF(#REF!="Yes","H",IF($B36="","",IF(AND($C36&lt;=#REF!,$D36&gt;=#REF!),IF($G36="","x","y"),"")))</f>
        <v>#REF!</v>
      </c>
      <c r="AU36" s="270" t="e">
        <f>IF(#REF!="Yes","H",IF($B36="","",IF(AND($C36&lt;=#REF!,$D36&gt;=#REF!),IF($G36="","x","y"),"")))</f>
        <v>#REF!</v>
      </c>
      <c r="AV36" s="270" t="e">
        <f>IF(#REF!="Yes","H",IF($B36="","",IF(AND($C36&lt;=#REF!,$D36&gt;=#REF!),IF($G36="","x","y"),"")))</f>
        <v>#REF!</v>
      </c>
      <c r="AW36" s="273" t="e">
        <f>IF(#REF!="Yes","H",IF($B36="","",IF(AND($C36&lt;=#REF!,$D36&gt;=#REF!),IF($G36="","x","y"),"")))</f>
        <v>#REF!</v>
      </c>
      <c r="AX36" s="274" t="e">
        <f>IF(#REF!="Yes","H",IF($B36="","",IF(AND($C36&lt;=#REF!,$D36&gt;=#REF!),IF($G36="","x","y"),"")))</f>
        <v>#REF!</v>
      </c>
      <c r="AY36" s="270" t="e">
        <f>IF(#REF!="Yes","H",IF($B36="","",IF(AND($C36&lt;=#REF!,$D36&gt;=#REF!),IF($G36="","x","y"),"")))</f>
        <v>#REF!</v>
      </c>
      <c r="AZ36" s="270" t="e">
        <f>IF(#REF!="Yes","H",IF($B36="","",IF(AND($C36&lt;=#REF!,$D36&gt;=#REF!),IF($G36="","x","y"),"")))</f>
        <v>#REF!</v>
      </c>
      <c r="BA36" s="270" t="e">
        <f>IF(#REF!="Yes","H",IF($B36="","",IF(AND($C36&lt;=#REF!,$D36&gt;=#REF!),IF($G36="","x","y"),"")))</f>
        <v>#REF!</v>
      </c>
      <c r="BB36" s="271" t="e">
        <f>IF(#REF!="Yes","H",IF($B36="","",IF(AND($C36&lt;=#REF!,$D36&gt;=#REF!),IF($G36="","x","y"),"")))</f>
        <v>#REF!</v>
      </c>
      <c r="BC36" s="272" t="e">
        <f>IF(#REF!="Yes","H",IF($B36="","",IF(AND($C36&lt;=#REF!,$D36&gt;=#REF!),IF($G36="","x","y"),"")))</f>
        <v>#REF!</v>
      </c>
      <c r="BD36" s="270" t="e">
        <f>IF(#REF!="Yes","H",IF($B36="","",IF(AND($C36&lt;=#REF!,$D36&gt;=#REF!),IF($G36="","x","y"),"")))</f>
        <v>#REF!</v>
      </c>
      <c r="BE36" s="270" t="e">
        <f>IF(#REF!="Yes","H",IF($B36="","",IF(AND($C36&lt;=#REF!,$D36&gt;=#REF!),IF($G36="","x","y"),"")))</f>
        <v>#REF!</v>
      </c>
      <c r="BF36" s="270" t="e">
        <f>IF(#REF!="Yes","H",IF($B36="","",IF(AND($C36&lt;=#REF!,$D36&gt;=#REF!),IF($G36="","x","y"),"")))</f>
        <v>#REF!</v>
      </c>
      <c r="BG36" s="273" t="e">
        <f>IF(#REF!="Yes","H",IF($B36="","",IF(AND($C36&lt;=#REF!,$D36&gt;=#REF!),IF($G36="","x","y"),"")))</f>
        <v>#REF!</v>
      </c>
      <c r="BH36" s="274" t="e">
        <f>IF(#REF!="Yes","H",IF($B36="","",IF(AND($C36&lt;=#REF!,$D36&gt;=#REF!),IF($G36="","x","y"),"")))</f>
        <v>#REF!</v>
      </c>
      <c r="BI36" s="270" t="e">
        <f>IF(#REF!="Yes","H",IF($B36="","",IF(AND($C36&lt;=#REF!,$D36&gt;=#REF!),IF($G36="","x","y"),"")))</f>
        <v>#REF!</v>
      </c>
      <c r="BJ36" s="270" t="e">
        <f>IF(#REF!="Yes","H",IF($B36="","",IF(AND($C36&lt;=#REF!,$D36&gt;=#REF!),IF($G36="","x","y"),"")))</f>
        <v>#REF!</v>
      </c>
      <c r="BK36" s="270" t="e">
        <f>IF(#REF!="Yes","H",IF($B36="","",IF(AND($C36&lt;=#REF!,$D36&gt;=#REF!),IF($G36="","x","y"),"")))</f>
        <v>#REF!</v>
      </c>
      <c r="BL36" s="271" t="e">
        <f>IF(#REF!="Yes","H",IF($B36="","",IF(AND($C36&lt;=#REF!,$D36&gt;=#REF!),IF($G36="","x","y"),"")))</f>
        <v>#REF!</v>
      </c>
      <c r="BM36" s="272" t="e">
        <f>IF(#REF!="Yes","H",IF($B36="","",IF(AND($C36&lt;=#REF!,$D36&gt;=#REF!),IF($G36="","x","y"),"")))</f>
        <v>#REF!</v>
      </c>
      <c r="BN36" s="270" t="e">
        <f>IF(#REF!="Yes","H",IF($B36="","",IF(AND($C36&lt;=#REF!,$D36&gt;=#REF!),IF($G36="","x","y"),"")))</f>
        <v>#REF!</v>
      </c>
      <c r="BO36" s="270" t="e">
        <f>IF(#REF!="Yes","H",IF($B36="","",IF(AND($C36&lt;=#REF!,$D36&gt;=#REF!),IF($G36="","x","y"),"")))</f>
        <v>#REF!</v>
      </c>
      <c r="BP36" s="270" t="e">
        <f>IF(#REF!="Yes","H",IF($B36="","",IF(AND($C36&lt;=#REF!,$D36&gt;=#REF!),IF($G36="","x","y"),"")))</f>
        <v>#REF!</v>
      </c>
      <c r="BQ36" s="273" t="e">
        <f>IF(#REF!="Yes","H",IF($B36="","",IF(AND($C36&lt;=#REF!,$D36&gt;=#REF!),IF($G36="","x","y"),"")))</f>
        <v>#REF!</v>
      </c>
      <c r="BR36" s="274" t="e">
        <f>IF(#REF!="Yes","H",IF($B36="","",IF(AND($C36&lt;=#REF!,$D36&gt;=#REF!),IF($G36="","x","y"),"")))</f>
        <v>#REF!</v>
      </c>
      <c r="BS36" s="270" t="e">
        <f>IF(#REF!="Yes","H",IF($B36="","",IF(AND($C36&lt;=#REF!,$D36&gt;=#REF!),IF($G36="","x","y"),"")))</f>
        <v>#REF!</v>
      </c>
      <c r="BT36" s="270" t="e">
        <f>IF(#REF!="Yes","H",IF($B36="","",IF(AND($C36&lt;=#REF!,$D36&gt;=#REF!),IF($G36="","x","y"),"")))</f>
        <v>#REF!</v>
      </c>
      <c r="BU36" s="270" t="e">
        <f>IF(#REF!="Yes","H",IF($B36="","",IF(AND($C36&lt;=#REF!,$D36&gt;=#REF!),IF($G36="","x","y"),"")))</f>
        <v>#REF!</v>
      </c>
      <c r="BV36" s="271" t="e">
        <f>IF(#REF!="Yes","H",IF($B36="","",IF(AND($C36&lt;=#REF!,$D36&gt;=#REF!),IF($G36="","x","y"),"")))</f>
        <v>#REF!</v>
      </c>
      <c r="BW36" s="272" t="e">
        <f>IF(#REF!="Yes","H",IF($B36="","",IF(AND($C36&lt;=#REF!,$D36&gt;=#REF!),IF($G36="","x","y"),"")))</f>
        <v>#REF!</v>
      </c>
      <c r="BX36" s="270" t="e">
        <f>IF(#REF!="Yes","H",IF($B36="","",IF(AND($C36&lt;=#REF!,$D36&gt;=#REF!),IF($G36="","x","y"),"")))</f>
        <v>#REF!</v>
      </c>
      <c r="BY36" s="270" t="e">
        <f>IF(#REF!="Yes","H",IF($B36="","",IF(AND($C36&lt;=#REF!,$D36&gt;=#REF!),IF($G36="","x","y"),"")))</f>
        <v>#REF!</v>
      </c>
      <c r="BZ36" s="270" t="e">
        <f>IF(#REF!="Yes","H",IF($B36="","",IF(AND($C36&lt;=#REF!,$D36&gt;=#REF!),IF($G36="","x","y"),"")))</f>
        <v>#REF!</v>
      </c>
      <c r="CA36" s="273" t="e">
        <f>IF(#REF!="Yes","H",IF($B36="","",IF(AND($C36&lt;=#REF!,$D36&gt;=#REF!),IF($G36="","x","y"),"")))</f>
        <v>#REF!</v>
      </c>
    </row>
    <row r="37" spans="2:79" ht="15" customHeight="1">
      <c r="B37" s="210" t="s">
        <v>138</v>
      </c>
      <c r="C37" s="260"/>
      <c r="D37" s="260"/>
      <c r="E37" s="260"/>
      <c r="F37" s="224"/>
      <c r="G37" s="276"/>
      <c r="H37" s="277"/>
      <c r="I37" s="211"/>
      <c r="J37" s="269" t="e">
        <f>IF(#REF!="Yes","H",IF($B37="","",IF(AND($C37&lt;=#REF!,$D37&gt;=#REF!),IF($G37="","x","y"),"")))</f>
        <v>#REF!</v>
      </c>
      <c r="K37" s="270" t="e">
        <f>IF(#REF!="Yes","H",IF($B37="","",IF(AND($C37&lt;=#REF!,$D37&gt;=#REF!),IF($G37="","x","y"),"")))</f>
        <v>#REF!</v>
      </c>
      <c r="L37" s="270" t="e">
        <f>IF(#REF!="Yes","H",IF($B37="","",IF(AND($C37&lt;=#REF!,$D37&gt;=#REF!),IF($G37="","x","y"),"")))</f>
        <v>#REF!</v>
      </c>
      <c r="M37" s="270" t="e">
        <f>IF(#REF!="Yes","H",IF($B37="","",IF(AND($C37&lt;=#REF!,$D37&gt;=#REF!),IF($G37="","x","y"),"")))</f>
        <v>#REF!</v>
      </c>
      <c r="N37" s="271" t="e">
        <f>IF(#REF!="Yes","H",IF($B37="","",IF(AND($C37&lt;=#REF!,$D37&gt;=#REF!),IF($G37="","x","y"),"")))</f>
        <v>#REF!</v>
      </c>
      <c r="O37" s="272" t="e">
        <f>IF(#REF!="Yes","H",IF($B37="","",IF(AND($C37&lt;=#REF!,$D37&gt;=#REF!),IF($G37="","x","y"),"")))</f>
        <v>#REF!</v>
      </c>
      <c r="P37" s="270" t="e">
        <f>IF(#REF!="Yes","H",IF($B37="","",IF(AND($C37&lt;=#REF!,$D37&gt;=#REF!),IF($G37="","x","y"),"")))</f>
        <v>#REF!</v>
      </c>
      <c r="Q37" s="270" t="e">
        <f>IF(#REF!="Yes","H",IF($B37="","",IF(AND($C37&lt;=#REF!,$D37&gt;=#REF!),IF($G37="","x","y"),"")))</f>
        <v>#REF!</v>
      </c>
      <c r="R37" s="270" t="e">
        <f>IF(#REF!="Yes","H",IF($B37="","",IF(AND($C37&lt;=#REF!,$D37&gt;=#REF!),IF($G37="","x","y"),"")))</f>
        <v>#REF!</v>
      </c>
      <c r="S37" s="273" t="e">
        <f>IF(#REF!="Yes","H",IF($B37="","",IF(AND($C37&lt;=#REF!,$D37&gt;=#REF!),IF($G37="","x","y"),"")))</f>
        <v>#REF!</v>
      </c>
      <c r="T37" s="274" t="e">
        <f>IF(#REF!="Yes","H",IF($B37="","",IF(AND($C37&lt;=#REF!,$D37&gt;=#REF!),IF($G37="","x","y"),"")))</f>
        <v>#REF!</v>
      </c>
      <c r="U37" s="270" t="e">
        <f>IF(#REF!="Yes","H",IF($B37="","",IF(AND($C37&lt;=#REF!,$D37&gt;=#REF!),IF($G37="","x","y"),"")))</f>
        <v>#REF!</v>
      </c>
      <c r="V37" s="270" t="e">
        <f>IF(#REF!="Yes","H",IF($B37="","",IF(AND($C37&lt;=#REF!,$D37&gt;=#REF!),IF($G37="","x","y"),"")))</f>
        <v>#REF!</v>
      </c>
      <c r="W37" s="270" t="e">
        <f>IF(#REF!="Yes","H",IF($B37="","",IF(AND($C37&lt;=#REF!,$D37&gt;=#REF!),IF($G37="","x","y"),"")))</f>
        <v>#REF!</v>
      </c>
      <c r="X37" s="271" t="e">
        <f>IF(#REF!="Yes","H",IF($B37="","",IF(AND($C37&lt;=#REF!,$D37&gt;=#REF!),IF($G37="","x","y"),"")))</f>
        <v>#REF!</v>
      </c>
      <c r="Y37" s="272" t="e">
        <f>IF(#REF!="Yes","H",IF($B37="","",IF(AND($C37&lt;=#REF!,$D37&gt;=#REF!),IF($G37="","x","y"),"")))</f>
        <v>#REF!</v>
      </c>
      <c r="Z37" s="270" t="e">
        <f>IF(#REF!="Yes","H",IF($B37="","",IF(AND($C37&lt;=#REF!,$D37&gt;=#REF!),IF($G37="","x","y"),"")))</f>
        <v>#REF!</v>
      </c>
      <c r="AA37" s="270" t="e">
        <f>IF(#REF!="Yes","H",IF($B37="","",IF(AND($C37&lt;=#REF!,$D37&gt;=#REF!),IF($G37="","x","y"),"")))</f>
        <v>#REF!</v>
      </c>
      <c r="AB37" s="270" t="e">
        <f>IF(#REF!="Yes","H",IF($B37="","",IF(AND($C37&lt;=#REF!,$D37&gt;=#REF!),IF($G37="","x","y"),"")))</f>
        <v>#REF!</v>
      </c>
      <c r="AC37" s="273" t="e">
        <f>IF(#REF!="Yes","H",IF($B37="","",IF(AND($C37&lt;=#REF!,$D37&gt;=#REF!),IF($G37="","x","y"),"")))</f>
        <v>#REF!</v>
      </c>
      <c r="AD37" s="274" t="e">
        <f>IF(#REF!="Yes","H",IF($B37="","",IF(AND($C37&lt;=#REF!,$D37&gt;=#REF!),IF($G37="","x","y"),"")))</f>
        <v>#REF!</v>
      </c>
      <c r="AE37" s="270" t="e">
        <f>IF(#REF!="Yes","H",IF($B37="","",IF(AND($C37&lt;=#REF!,$D37&gt;=#REF!),IF($G37="","x","y"),"")))</f>
        <v>#REF!</v>
      </c>
      <c r="AF37" s="270" t="e">
        <f>IF(#REF!="Yes","H",IF($B37="","",IF(AND($C37&lt;=#REF!,$D37&gt;=#REF!),IF($G37="","x","y"),"")))</f>
        <v>#REF!</v>
      </c>
      <c r="AG37" s="270" t="e">
        <f>IF(#REF!="Yes","H",IF($B37="","",IF(AND($C37&lt;=#REF!,$D37&gt;=#REF!),IF($G37="","x","y"),"")))</f>
        <v>#REF!</v>
      </c>
      <c r="AH37" s="271" t="e">
        <f>IF(#REF!="Yes","H",IF($B37="","",IF(AND($C37&lt;=#REF!,$D37&gt;=#REF!),IF($G37="","x","y"),"")))</f>
        <v>#REF!</v>
      </c>
      <c r="AI37" s="272" t="e">
        <f>IF(#REF!="Yes","H",IF($B37="","",IF(AND($C37&lt;=#REF!,$D37&gt;=#REF!),IF($G37="","x","y"),"")))</f>
        <v>#REF!</v>
      </c>
      <c r="AJ37" s="270" t="e">
        <f>IF(#REF!="Yes","H",IF($B37="","",IF(AND($C37&lt;=#REF!,$D37&gt;=#REF!),IF($G37="","x","y"),"")))</f>
        <v>#REF!</v>
      </c>
      <c r="AK37" s="270" t="e">
        <f>IF(#REF!="Yes","H",IF($B37="","",IF(AND($C37&lt;=#REF!,$D37&gt;=#REF!),IF($G37="","x","y"),"")))</f>
        <v>#REF!</v>
      </c>
      <c r="AL37" s="270" t="e">
        <f>IF(#REF!="Yes","H",IF($B37="","",IF(AND($C37&lt;=#REF!,$D37&gt;=#REF!),IF($G37="","x","y"),"")))</f>
        <v>#REF!</v>
      </c>
      <c r="AM37" s="273" t="e">
        <f>IF(#REF!="Yes","H",IF($B37="","",IF(AND($C37&lt;=#REF!,$D37&gt;=#REF!),IF($G37="","x","y"),"")))</f>
        <v>#REF!</v>
      </c>
      <c r="AN37" s="274" t="e">
        <f>IF(#REF!="Yes","H",IF($B37="","",IF(AND($C37&lt;=#REF!,$D37&gt;=#REF!),IF($G37="","x","y"),"")))</f>
        <v>#REF!</v>
      </c>
      <c r="AO37" s="270" t="e">
        <f>IF(#REF!="Yes","H",IF($B37="","",IF(AND($C37&lt;=#REF!,$D37&gt;=#REF!),IF($G37="","x","y"),"")))</f>
        <v>#REF!</v>
      </c>
      <c r="AP37" s="270" t="e">
        <f>IF(#REF!="Yes","H",IF($B37="","",IF(AND($C37&lt;=#REF!,$D37&gt;=#REF!),IF($G37="","x","y"),"")))</f>
        <v>#REF!</v>
      </c>
      <c r="AQ37" s="270" t="e">
        <f>IF(#REF!="Yes","H",IF($B37="","",IF(AND($C37&lt;=#REF!,$D37&gt;=#REF!),IF($G37="","x","y"),"")))</f>
        <v>#REF!</v>
      </c>
      <c r="AR37" s="271" t="e">
        <f>IF(#REF!="Yes","H",IF($B37="","",IF(AND($C37&lt;=#REF!,$D37&gt;=#REF!),IF($G37="","x","y"),"")))</f>
        <v>#REF!</v>
      </c>
      <c r="AS37" s="272" t="e">
        <f>IF(#REF!="Yes","H",IF($B37="","",IF(AND($C37&lt;=#REF!,$D37&gt;=#REF!),IF($G37="","x","y"),"")))</f>
        <v>#REF!</v>
      </c>
      <c r="AT37" s="270" t="e">
        <f>IF(#REF!="Yes","H",IF($B37="","",IF(AND($C37&lt;=#REF!,$D37&gt;=#REF!),IF($G37="","x","y"),"")))</f>
        <v>#REF!</v>
      </c>
      <c r="AU37" s="270" t="e">
        <f>IF(#REF!="Yes","H",IF($B37="","",IF(AND($C37&lt;=#REF!,$D37&gt;=#REF!),IF($G37="","x","y"),"")))</f>
        <v>#REF!</v>
      </c>
      <c r="AV37" s="270" t="e">
        <f>IF(#REF!="Yes","H",IF($B37="","",IF(AND($C37&lt;=#REF!,$D37&gt;=#REF!),IF($G37="","x","y"),"")))</f>
        <v>#REF!</v>
      </c>
      <c r="AW37" s="273" t="e">
        <f>IF(#REF!="Yes","H",IF($B37="","",IF(AND($C37&lt;=#REF!,$D37&gt;=#REF!),IF($G37="","x","y"),"")))</f>
        <v>#REF!</v>
      </c>
      <c r="AX37" s="274" t="e">
        <f>IF(#REF!="Yes","H",IF($B37="","",IF(AND($C37&lt;=#REF!,$D37&gt;=#REF!),IF($G37="","x","y"),"")))</f>
        <v>#REF!</v>
      </c>
      <c r="AY37" s="270" t="e">
        <f>IF(#REF!="Yes","H",IF($B37="","",IF(AND($C37&lt;=#REF!,$D37&gt;=#REF!),IF($G37="","x","y"),"")))</f>
        <v>#REF!</v>
      </c>
      <c r="AZ37" s="270" t="e">
        <f>IF(#REF!="Yes","H",IF($B37="","",IF(AND($C37&lt;=#REF!,$D37&gt;=#REF!),IF($G37="","x","y"),"")))</f>
        <v>#REF!</v>
      </c>
      <c r="BA37" s="270" t="e">
        <f>IF(#REF!="Yes","H",IF($B37="","",IF(AND($C37&lt;=#REF!,$D37&gt;=#REF!),IF($G37="","x","y"),"")))</f>
        <v>#REF!</v>
      </c>
      <c r="BB37" s="271" t="e">
        <f>IF(#REF!="Yes","H",IF($B37="","",IF(AND($C37&lt;=#REF!,$D37&gt;=#REF!),IF($G37="","x","y"),"")))</f>
        <v>#REF!</v>
      </c>
      <c r="BC37" s="272" t="e">
        <f>IF(#REF!="Yes","H",IF($B37="","",IF(AND($C37&lt;=#REF!,$D37&gt;=#REF!),IF($G37="","x","y"),"")))</f>
        <v>#REF!</v>
      </c>
      <c r="BD37" s="270" t="e">
        <f>IF(#REF!="Yes","H",IF($B37="","",IF(AND($C37&lt;=#REF!,$D37&gt;=#REF!),IF($G37="","x","y"),"")))</f>
        <v>#REF!</v>
      </c>
      <c r="BE37" s="270" t="e">
        <f>IF(#REF!="Yes","H",IF($B37="","",IF(AND($C37&lt;=#REF!,$D37&gt;=#REF!),IF($G37="","x","y"),"")))</f>
        <v>#REF!</v>
      </c>
      <c r="BF37" s="270" t="e">
        <f>IF(#REF!="Yes","H",IF($B37="","",IF(AND($C37&lt;=#REF!,$D37&gt;=#REF!),IF($G37="","x","y"),"")))</f>
        <v>#REF!</v>
      </c>
      <c r="BG37" s="273" t="e">
        <f>IF(#REF!="Yes","H",IF($B37="","",IF(AND($C37&lt;=#REF!,$D37&gt;=#REF!),IF($G37="","x","y"),"")))</f>
        <v>#REF!</v>
      </c>
      <c r="BH37" s="274" t="e">
        <f>IF(#REF!="Yes","H",IF($B37="","",IF(AND($C37&lt;=#REF!,$D37&gt;=#REF!),IF($G37="","x","y"),"")))</f>
        <v>#REF!</v>
      </c>
      <c r="BI37" s="270" t="e">
        <f>IF(#REF!="Yes","H",IF($B37="","",IF(AND($C37&lt;=#REF!,$D37&gt;=#REF!),IF($G37="","x","y"),"")))</f>
        <v>#REF!</v>
      </c>
      <c r="BJ37" s="270" t="e">
        <f>IF(#REF!="Yes","H",IF($B37="","",IF(AND($C37&lt;=#REF!,$D37&gt;=#REF!),IF($G37="","x","y"),"")))</f>
        <v>#REF!</v>
      </c>
      <c r="BK37" s="270" t="e">
        <f>IF(#REF!="Yes","H",IF($B37="","",IF(AND($C37&lt;=#REF!,$D37&gt;=#REF!),IF($G37="","x","y"),"")))</f>
        <v>#REF!</v>
      </c>
      <c r="BL37" s="271" t="e">
        <f>IF(#REF!="Yes","H",IF($B37="","",IF(AND($C37&lt;=#REF!,$D37&gt;=#REF!),IF($G37="","x","y"),"")))</f>
        <v>#REF!</v>
      </c>
      <c r="BM37" s="272" t="e">
        <f>IF(#REF!="Yes","H",IF($B37="","",IF(AND($C37&lt;=#REF!,$D37&gt;=#REF!),IF($G37="","x","y"),"")))</f>
        <v>#REF!</v>
      </c>
      <c r="BN37" s="270" t="e">
        <f>IF(#REF!="Yes","H",IF($B37="","",IF(AND($C37&lt;=#REF!,$D37&gt;=#REF!),IF($G37="","x","y"),"")))</f>
        <v>#REF!</v>
      </c>
      <c r="BO37" s="270" t="e">
        <f>IF(#REF!="Yes","H",IF($B37="","",IF(AND($C37&lt;=#REF!,$D37&gt;=#REF!),IF($G37="","x","y"),"")))</f>
        <v>#REF!</v>
      </c>
      <c r="BP37" s="270" t="e">
        <f>IF(#REF!="Yes","H",IF($B37="","",IF(AND($C37&lt;=#REF!,$D37&gt;=#REF!),IF($G37="","x","y"),"")))</f>
        <v>#REF!</v>
      </c>
      <c r="BQ37" s="273" t="e">
        <f>IF(#REF!="Yes","H",IF($B37="","",IF(AND($C37&lt;=#REF!,$D37&gt;=#REF!),IF($G37="","x","y"),"")))</f>
        <v>#REF!</v>
      </c>
      <c r="BR37" s="274" t="e">
        <f>IF(#REF!="Yes","H",IF($B37="","",IF(AND($C37&lt;=#REF!,$D37&gt;=#REF!),IF($G37="","x","y"),"")))</f>
        <v>#REF!</v>
      </c>
      <c r="BS37" s="270" t="e">
        <f>IF(#REF!="Yes","H",IF($B37="","",IF(AND($C37&lt;=#REF!,$D37&gt;=#REF!),IF($G37="","x","y"),"")))</f>
        <v>#REF!</v>
      </c>
      <c r="BT37" s="270" t="e">
        <f>IF(#REF!="Yes","H",IF($B37="","",IF(AND($C37&lt;=#REF!,$D37&gt;=#REF!),IF($G37="","x","y"),"")))</f>
        <v>#REF!</v>
      </c>
      <c r="BU37" s="270" t="e">
        <f>IF(#REF!="Yes","H",IF($B37="","",IF(AND($C37&lt;=#REF!,$D37&gt;=#REF!),IF($G37="","x","y"),"")))</f>
        <v>#REF!</v>
      </c>
      <c r="BV37" s="271" t="e">
        <f>IF(#REF!="Yes","H",IF($B37="","",IF(AND($C37&lt;=#REF!,$D37&gt;=#REF!),IF($G37="","x","y"),"")))</f>
        <v>#REF!</v>
      </c>
      <c r="BW37" s="272" t="e">
        <f>IF(#REF!="Yes","H",IF($B37="","",IF(AND($C37&lt;=#REF!,$D37&gt;=#REF!),IF($G37="","x","y"),"")))</f>
        <v>#REF!</v>
      </c>
      <c r="BX37" s="270" t="e">
        <f>IF(#REF!="Yes","H",IF($B37="","",IF(AND($C37&lt;=#REF!,$D37&gt;=#REF!),IF($G37="","x","y"),"")))</f>
        <v>#REF!</v>
      </c>
      <c r="BY37" s="270" t="e">
        <f>IF(#REF!="Yes","H",IF($B37="","",IF(AND($C37&lt;=#REF!,$D37&gt;=#REF!),IF($G37="","x","y"),"")))</f>
        <v>#REF!</v>
      </c>
      <c r="BZ37" s="270" t="e">
        <f>IF(#REF!="Yes","H",IF($B37="","",IF(AND($C37&lt;=#REF!,$D37&gt;=#REF!),IF($G37="","x","y"),"")))</f>
        <v>#REF!</v>
      </c>
      <c r="CA37" s="273" t="e">
        <f>IF(#REF!="Yes","H",IF($B37="","",IF(AND($C37&lt;=#REF!,$D37&gt;=#REF!),IF($G37="","x","y"),"")))</f>
        <v>#REF!</v>
      </c>
    </row>
    <row r="38" spans="2:79" ht="15" customHeight="1">
      <c r="B38" s="210" t="s">
        <v>308</v>
      </c>
      <c r="C38" s="260"/>
      <c r="D38" s="260"/>
      <c r="E38" s="260"/>
      <c r="F38" s="224"/>
      <c r="G38" s="275"/>
      <c r="H38" s="209"/>
      <c r="I38" s="211"/>
      <c r="J38" s="269" t="e">
        <f>IF(#REF!="Yes","H",IF($B38="","",IF(AND($C38&lt;=#REF!,$D38&gt;=#REF!),IF($G38="","x","y"),"")))</f>
        <v>#REF!</v>
      </c>
      <c r="K38" s="270" t="e">
        <f>IF(#REF!="Yes","H",IF($B38="","",IF(AND($C38&lt;=#REF!,$D38&gt;=#REF!),IF($G38="","x","y"),"")))</f>
        <v>#REF!</v>
      </c>
      <c r="L38" s="270" t="e">
        <f>IF(#REF!="Yes","H",IF($B38="","",IF(AND($C38&lt;=#REF!,$D38&gt;=#REF!),IF($G38="","x","y"),"")))</f>
        <v>#REF!</v>
      </c>
      <c r="M38" s="270" t="e">
        <f>IF(#REF!="Yes","H",IF($B38="","",IF(AND($C38&lt;=#REF!,$D38&gt;=#REF!),IF($G38="","x","y"),"")))</f>
        <v>#REF!</v>
      </c>
      <c r="N38" s="271" t="e">
        <f>IF(#REF!="Yes","H",IF($B38="","",IF(AND($C38&lt;=#REF!,$D38&gt;=#REF!),IF($G38="","x","y"),"")))</f>
        <v>#REF!</v>
      </c>
      <c r="O38" s="272" t="e">
        <f>IF(#REF!="Yes","H",IF($B38="","",IF(AND($C38&lt;=#REF!,$D38&gt;=#REF!),IF($G38="","x","y"),"")))</f>
        <v>#REF!</v>
      </c>
      <c r="P38" s="270" t="e">
        <f>IF(#REF!="Yes","H",IF($B38="","",IF(AND($C38&lt;=#REF!,$D38&gt;=#REF!),IF($G38="","x","y"),"")))</f>
        <v>#REF!</v>
      </c>
      <c r="Q38" s="270" t="e">
        <f>IF(#REF!="Yes","H",IF($B38="","",IF(AND($C38&lt;=#REF!,$D38&gt;=#REF!),IF($G38="","x","y"),"")))</f>
        <v>#REF!</v>
      </c>
      <c r="R38" s="270" t="e">
        <f>IF(#REF!="Yes","H",IF($B38="","",IF(AND($C38&lt;=#REF!,$D38&gt;=#REF!),IF($G38="","x","y"),"")))</f>
        <v>#REF!</v>
      </c>
      <c r="S38" s="273" t="e">
        <f>IF(#REF!="Yes","H",IF($B38="","",IF(AND($C38&lt;=#REF!,$D38&gt;=#REF!),IF($G38="","x","y"),"")))</f>
        <v>#REF!</v>
      </c>
      <c r="T38" s="274" t="e">
        <f>IF(#REF!="Yes","H",IF($B38="","",IF(AND($C38&lt;=#REF!,$D38&gt;=#REF!),IF($G38="","x","y"),"")))</f>
        <v>#REF!</v>
      </c>
      <c r="U38" s="270" t="e">
        <f>IF(#REF!="Yes","H",IF($B38="","",IF(AND($C38&lt;=#REF!,$D38&gt;=#REF!),IF($G38="","x","y"),"")))</f>
        <v>#REF!</v>
      </c>
      <c r="V38" s="270" t="e">
        <f>IF(#REF!="Yes","H",IF($B38="","",IF(AND($C38&lt;=#REF!,$D38&gt;=#REF!),IF($G38="","x","y"),"")))</f>
        <v>#REF!</v>
      </c>
      <c r="W38" s="270" t="e">
        <f>IF(#REF!="Yes","H",IF($B38="","",IF(AND($C38&lt;=#REF!,$D38&gt;=#REF!),IF($G38="","x","y"),"")))</f>
        <v>#REF!</v>
      </c>
      <c r="X38" s="271" t="e">
        <f>IF(#REF!="Yes","H",IF($B38="","",IF(AND($C38&lt;=#REF!,$D38&gt;=#REF!),IF($G38="","x","y"),"")))</f>
        <v>#REF!</v>
      </c>
      <c r="Y38" s="272" t="e">
        <f>IF(#REF!="Yes","H",IF($B38="","",IF(AND($C38&lt;=#REF!,$D38&gt;=#REF!),IF($G38="","x","y"),"")))</f>
        <v>#REF!</v>
      </c>
      <c r="Z38" s="270" t="e">
        <f>IF(#REF!="Yes","H",IF($B38="","",IF(AND($C38&lt;=#REF!,$D38&gt;=#REF!),IF($G38="","x","y"),"")))</f>
        <v>#REF!</v>
      </c>
      <c r="AA38" s="270" t="e">
        <f>IF(#REF!="Yes","H",IF($B38="","",IF(AND($C38&lt;=#REF!,$D38&gt;=#REF!),IF($G38="","x","y"),"")))</f>
        <v>#REF!</v>
      </c>
      <c r="AB38" s="270" t="e">
        <f>IF(#REF!="Yes","H",IF($B38="","",IF(AND($C38&lt;=#REF!,$D38&gt;=#REF!),IF($G38="","x","y"),"")))</f>
        <v>#REF!</v>
      </c>
      <c r="AC38" s="273" t="e">
        <f>IF(#REF!="Yes","H",IF($B38="","",IF(AND($C38&lt;=#REF!,$D38&gt;=#REF!),IF($G38="","x","y"),"")))</f>
        <v>#REF!</v>
      </c>
      <c r="AD38" s="274" t="e">
        <f>IF(#REF!="Yes","H",IF($B38="","",IF(AND($C38&lt;=#REF!,$D38&gt;=#REF!),IF($G38="","x","y"),"")))</f>
        <v>#REF!</v>
      </c>
      <c r="AE38" s="270" t="e">
        <f>IF(#REF!="Yes","H",IF($B38="","",IF(AND($C38&lt;=#REF!,$D38&gt;=#REF!),IF($G38="","x","y"),"")))</f>
        <v>#REF!</v>
      </c>
      <c r="AF38" s="270" t="e">
        <f>IF(#REF!="Yes","H",IF($B38="","",IF(AND($C38&lt;=#REF!,$D38&gt;=#REF!),IF($G38="","x","y"),"")))</f>
        <v>#REF!</v>
      </c>
      <c r="AG38" s="270" t="e">
        <f>IF(#REF!="Yes","H",IF($B38="","",IF(AND($C38&lt;=#REF!,$D38&gt;=#REF!),IF($G38="","x","y"),"")))</f>
        <v>#REF!</v>
      </c>
      <c r="AH38" s="271" t="e">
        <f>IF(#REF!="Yes","H",IF($B38="","",IF(AND($C38&lt;=#REF!,$D38&gt;=#REF!),IF($G38="","x","y"),"")))</f>
        <v>#REF!</v>
      </c>
      <c r="AI38" s="272" t="e">
        <f>IF(#REF!="Yes","H",IF($B38="","",IF(AND($C38&lt;=#REF!,$D38&gt;=#REF!),IF($G38="","x","y"),"")))</f>
        <v>#REF!</v>
      </c>
      <c r="AJ38" s="270" t="e">
        <f>IF(#REF!="Yes","H",IF($B38="","",IF(AND($C38&lt;=#REF!,$D38&gt;=#REF!),IF($G38="","x","y"),"")))</f>
        <v>#REF!</v>
      </c>
      <c r="AK38" s="270" t="e">
        <f>IF(#REF!="Yes","H",IF($B38="","",IF(AND($C38&lt;=#REF!,$D38&gt;=#REF!),IF($G38="","x","y"),"")))</f>
        <v>#REF!</v>
      </c>
      <c r="AL38" s="270" t="e">
        <f>IF(#REF!="Yes","H",IF($B38="","",IF(AND($C38&lt;=#REF!,$D38&gt;=#REF!),IF($G38="","x","y"),"")))</f>
        <v>#REF!</v>
      </c>
      <c r="AM38" s="273" t="e">
        <f>IF(#REF!="Yes","H",IF($B38="","",IF(AND($C38&lt;=#REF!,$D38&gt;=#REF!),IF($G38="","x","y"),"")))</f>
        <v>#REF!</v>
      </c>
      <c r="AN38" s="274" t="e">
        <f>IF(#REF!="Yes","H",IF($B38="","",IF(AND($C38&lt;=#REF!,$D38&gt;=#REF!),IF($G38="","x","y"),"")))</f>
        <v>#REF!</v>
      </c>
      <c r="AO38" s="270" t="e">
        <f>IF(#REF!="Yes","H",IF($B38="","",IF(AND($C38&lt;=#REF!,$D38&gt;=#REF!),IF($G38="","x","y"),"")))</f>
        <v>#REF!</v>
      </c>
      <c r="AP38" s="270" t="e">
        <f>IF(#REF!="Yes","H",IF($B38="","",IF(AND($C38&lt;=#REF!,$D38&gt;=#REF!),IF($G38="","x","y"),"")))</f>
        <v>#REF!</v>
      </c>
      <c r="AQ38" s="270" t="e">
        <f>IF(#REF!="Yes","H",IF($B38="","",IF(AND($C38&lt;=#REF!,$D38&gt;=#REF!),IF($G38="","x","y"),"")))</f>
        <v>#REF!</v>
      </c>
      <c r="AR38" s="271" t="e">
        <f>IF(#REF!="Yes","H",IF($B38="","",IF(AND($C38&lt;=#REF!,$D38&gt;=#REF!),IF($G38="","x","y"),"")))</f>
        <v>#REF!</v>
      </c>
      <c r="AS38" s="272" t="e">
        <f>IF(#REF!="Yes","H",IF($B38="","",IF(AND($C38&lt;=#REF!,$D38&gt;=#REF!),IF($G38="","x","y"),"")))</f>
        <v>#REF!</v>
      </c>
      <c r="AT38" s="270" t="e">
        <f>IF(#REF!="Yes","H",IF($B38="","",IF(AND($C38&lt;=#REF!,$D38&gt;=#REF!),IF($G38="","x","y"),"")))</f>
        <v>#REF!</v>
      </c>
      <c r="AU38" s="270" t="e">
        <f>IF(#REF!="Yes","H",IF($B38="","",IF(AND($C38&lt;=#REF!,$D38&gt;=#REF!),IF($G38="","x","y"),"")))</f>
        <v>#REF!</v>
      </c>
      <c r="AV38" s="270" t="e">
        <f>IF(#REF!="Yes","H",IF($B38="","",IF(AND($C38&lt;=#REF!,$D38&gt;=#REF!),IF($G38="","x","y"),"")))</f>
        <v>#REF!</v>
      </c>
      <c r="AW38" s="273" t="e">
        <f>IF(#REF!="Yes","H",IF($B38="","",IF(AND($C38&lt;=#REF!,$D38&gt;=#REF!),IF($G38="","x","y"),"")))</f>
        <v>#REF!</v>
      </c>
      <c r="AX38" s="274" t="e">
        <f>IF(#REF!="Yes","H",IF($B38="","",IF(AND($C38&lt;=#REF!,$D38&gt;=#REF!),IF($G38="","x","y"),"")))</f>
        <v>#REF!</v>
      </c>
      <c r="AY38" s="270" t="e">
        <f>IF(#REF!="Yes","H",IF($B38="","",IF(AND($C38&lt;=#REF!,$D38&gt;=#REF!),IF($G38="","x","y"),"")))</f>
        <v>#REF!</v>
      </c>
      <c r="AZ38" s="270" t="e">
        <f>IF(#REF!="Yes","H",IF($B38="","",IF(AND($C38&lt;=#REF!,$D38&gt;=#REF!),IF($G38="","x","y"),"")))</f>
        <v>#REF!</v>
      </c>
      <c r="BA38" s="270" t="e">
        <f>IF(#REF!="Yes","H",IF($B38="","",IF(AND($C38&lt;=#REF!,$D38&gt;=#REF!),IF($G38="","x","y"),"")))</f>
        <v>#REF!</v>
      </c>
      <c r="BB38" s="271" t="e">
        <f>IF(#REF!="Yes","H",IF($B38="","",IF(AND($C38&lt;=#REF!,$D38&gt;=#REF!),IF($G38="","x","y"),"")))</f>
        <v>#REF!</v>
      </c>
      <c r="BC38" s="272" t="e">
        <f>IF(#REF!="Yes","H",IF($B38="","",IF(AND($C38&lt;=#REF!,$D38&gt;=#REF!),IF($G38="","x","y"),"")))</f>
        <v>#REF!</v>
      </c>
      <c r="BD38" s="270" t="e">
        <f>IF(#REF!="Yes","H",IF($B38="","",IF(AND($C38&lt;=#REF!,$D38&gt;=#REF!),IF($G38="","x","y"),"")))</f>
        <v>#REF!</v>
      </c>
      <c r="BE38" s="270" t="e">
        <f>IF(#REF!="Yes","H",IF($B38="","",IF(AND($C38&lt;=#REF!,$D38&gt;=#REF!),IF($G38="","x","y"),"")))</f>
        <v>#REF!</v>
      </c>
      <c r="BF38" s="270" t="e">
        <f>IF(#REF!="Yes","H",IF($B38="","",IF(AND($C38&lt;=#REF!,$D38&gt;=#REF!),IF($G38="","x","y"),"")))</f>
        <v>#REF!</v>
      </c>
      <c r="BG38" s="273" t="e">
        <f>IF(#REF!="Yes","H",IF($B38="","",IF(AND($C38&lt;=#REF!,$D38&gt;=#REF!),IF($G38="","x","y"),"")))</f>
        <v>#REF!</v>
      </c>
      <c r="BH38" s="274" t="e">
        <f>IF(#REF!="Yes","H",IF($B38="","",IF(AND($C38&lt;=#REF!,$D38&gt;=#REF!),IF($G38="","x","y"),"")))</f>
        <v>#REF!</v>
      </c>
      <c r="BI38" s="270" t="e">
        <f>IF(#REF!="Yes","H",IF($B38="","",IF(AND($C38&lt;=#REF!,$D38&gt;=#REF!),IF($G38="","x","y"),"")))</f>
        <v>#REF!</v>
      </c>
      <c r="BJ38" s="270" t="e">
        <f>IF(#REF!="Yes","H",IF($B38="","",IF(AND($C38&lt;=#REF!,$D38&gt;=#REF!),IF($G38="","x","y"),"")))</f>
        <v>#REF!</v>
      </c>
      <c r="BK38" s="270" t="e">
        <f>IF(#REF!="Yes","H",IF($B38="","",IF(AND($C38&lt;=#REF!,$D38&gt;=#REF!),IF($G38="","x","y"),"")))</f>
        <v>#REF!</v>
      </c>
      <c r="BL38" s="271" t="e">
        <f>IF(#REF!="Yes","H",IF($B38="","",IF(AND($C38&lt;=#REF!,$D38&gt;=#REF!),IF($G38="","x","y"),"")))</f>
        <v>#REF!</v>
      </c>
      <c r="BM38" s="272" t="e">
        <f>IF(#REF!="Yes","H",IF($B38="","",IF(AND($C38&lt;=#REF!,$D38&gt;=#REF!),IF($G38="","x","y"),"")))</f>
        <v>#REF!</v>
      </c>
      <c r="BN38" s="270" t="e">
        <f>IF(#REF!="Yes","H",IF($B38="","",IF(AND($C38&lt;=#REF!,$D38&gt;=#REF!),IF($G38="","x","y"),"")))</f>
        <v>#REF!</v>
      </c>
      <c r="BO38" s="270" t="e">
        <f>IF(#REF!="Yes","H",IF($B38="","",IF(AND($C38&lt;=#REF!,$D38&gt;=#REF!),IF($G38="","x","y"),"")))</f>
        <v>#REF!</v>
      </c>
      <c r="BP38" s="270" t="e">
        <f>IF(#REF!="Yes","H",IF($B38="","",IF(AND($C38&lt;=#REF!,$D38&gt;=#REF!),IF($G38="","x","y"),"")))</f>
        <v>#REF!</v>
      </c>
      <c r="BQ38" s="273" t="e">
        <f>IF(#REF!="Yes","H",IF($B38="","",IF(AND($C38&lt;=#REF!,$D38&gt;=#REF!),IF($G38="","x","y"),"")))</f>
        <v>#REF!</v>
      </c>
      <c r="BR38" s="274" t="e">
        <f>IF(#REF!="Yes","H",IF($B38="","",IF(AND($C38&lt;=#REF!,$D38&gt;=#REF!),IF($G38="","x","y"),"")))</f>
        <v>#REF!</v>
      </c>
      <c r="BS38" s="270" t="e">
        <f>IF(#REF!="Yes","H",IF($B38="","",IF(AND($C38&lt;=#REF!,$D38&gt;=#REF!),IF($G38="","x","y"),"")))</f>
        <v>#REF!</v>
      </c>
      <c r="BT38" s="270" t="e">
        <f>IF(#REF!="Yes","H",IF($B38="","",IF(AND($C38&lt;=#REF!,$D38&gt;=#REF!),IF($G38="","x","y"),"")))</f>
        <v>#REF!</v>
      </c>
      <c r="BU38" s="270" t="e">
        <f>IF(#REF!="Yes","H",IF($B38="","",IF(AND($C38&lt;=#REF!,$D38&gt;=#REF!),IF($G38="","x","y"),"")))</f>
        <v>#REF!</v>
      </c>
      <c r="BV38" s="271" t="e">
        <f>IF(#REF!="Yes","H",IF($B38="","",IF(AND($C38&lt;=#REF!,$D38&gt;=#REF!),IF($G38="","x","y"),"")))</f>
        <v>#REF!</v>
      </c>
      <c r="BW38" s="272" t="e">
        <f>IF(#REF!="Yes","H",IF($B38="","",IF(AND($C38&lt;=#REF!,$D38&gt;=#REF!),IF($G38="","x","y"),"")))</f>
        <v>#REF!</v>
      </c>
      <c r="BX38" s="270" t="e">
        <f>IF(#REF!="Yes","H",IF($B38="","",IF(AND($C38&lt;=#REF!,$D38&gt;=#REF!),IF($G38="","x","y"),"")))</f>
        <v>#REF!</v>
      </c>
      <c r="BY38" s="270" t="e">
        <f>IF(#REF!="Yes","H",IF($B38="","",IF(AND($C38&lt;=#REF!,$D38&gt;=#REF!),IF($G38="","x","y"),"")))</f>
        <v>#REF!</v>
      </c>
      <c r="BZ38" s="270" t="e">
        <f>IF(#REF!="Yes","H",IF($B38="","",IF(AND($C38&lt;=#REF!,$D38&gt;=#REF!),IF($G38="","x","y"),"")))</f>
        <v>#REF!</v>
      </c>
      <c r="CA38" s="273" t="e">
        <f>IF(#REF!="Yes","H",IF($B38="","",IF(AND($C38&lt;=#REF!,$D38&gt;=#REF!),IF($G38="","x","y"),"")))</f>
        <v>#REF!</v>
      </c>
    </row>
    <row r="39" spans="2:79" ht="15" customHeight="1">
      <c r="B39" s="210" t="s">
        <v>309</v>
      </c>
      <c r="C39" s="260"/>
      <c r="D39" s="260"/>
      <c r="E39" s="260"/>
      <c r="F39" s="224"/>
      <c r="G39" s="275"/>
      <c r="H39" s="209"/>
      <c r="I39" s="211"/>
      <c r="J39" s="269"/>
      <c r="K39" s="270"/>
      <c r="L39" s="270"/>
      <c r="M39" s="270"/>
      <c r="N39" s="271"/>
      <c r="O39" s="272"/>
      <c r="P39" s="270"/>
      <c r="Q39" s="270"/>
      <c r="R39" s="270"/>
      <c r="S39" s="273"/>
      <c r="T39" s="274"/>
      <c r="U39" s="270"/>
      <c r="V39" s="270"/>
      <c r="W39" s="270"/>
      <c r="X39" s="271"/>
      <c r="Y39" s="272"/>
      <c r="Z39" s="270"/>
      <c r="AA39" s="270"/>
      <c r="AB39" s="270"/>
      <c r="AC39" s="273"/>
      <c r="AD39" s="274"/>
      <c r="AE39" s="270"/>
      <c r="AF39" s="270"/>
      <c r="AG39" s="270"/>
      <c r="AH39" s="271"/>
      <c r="AI39" s="272"/>
      <c r="AJ39" s="270"/>
      <c r="AK39" s="270"/>
      <c r="AL39" s="270"/>
      <c r="AM39" s="273"/>
      <c r="AN39" s="274"/>
      <c r="AO39" s="270"/>
      <c r="AP39" s="270"/>
      <c r="AQ39" s="270"/>
      <c r="AR39" s="271"/>
      <c r="AS39" s="272"/>
      <c r="AT39" s="270"/>
      <c r="AU39" s="270"/>
      <c r="AV39" s="270"/>
      <c r="AW39" s="273"/>
      <c r="AX39" s="274"/>
      <c r="AY39" s="270"/>
      <c r="AZ39" s="270"/>
      <c r="BA39" s="270"/>
      <c r="BB39" s="271"/>
      <c r="BC39" s="272"/>
      <c r="BD39" s="270"/>
      <c r="BE39" s="270"/>
      <c r="BF39" s="270"/>
      <c r="BG39" s="273"/>
      <c r="BH39" s="274"/>
      <c r="BI39" s="270"/>
      <c r="BJ39" s="270"/>
      <c r="BK39" s="270"/>
      <c r="BL39" s="271"/>
      <c r="BM39" s="272"/>
      <c r="BN39" s="270"/>
      <c r="BO39" s="270"/>
      <c r="BP39" s="270"/>
      <c r="BQ39" s="273"/>
      <c r="BR39" s="274"/>
      <c r="BS39" s="270"/>
      <c r="BT39" s="270"/>
      <c r="BU39" s="270"/>
      <c r="BV39" s="271"/>
      <c r="BW39" s="272"/>
      <c r="BX39" s="270"/>
      <c r="BY39" s="270"/>
      <c r="BZ39" s="270"/>
      <c r="CA39" s="273"/>
    </row>
    <row r="40" spans="2:79" ht="30.75" customHeight="1">
      <c r="B40" s="210" t="s">
        <v>310</v>
      </c>
      <c r="C40" s="260"/>
      <c r="D40" s="260"/>
      <c r="E40" s="260"/>
      <c r="F40" s="224"/>
      <c r="G40" s="275"/>
      <c r="H40" s="209"/>
      <c r="I40" s="211"/>
      <c r="J40" s="269"/>
      <c r="K40" s="270"/>
      <c r="L40" s="270"/>
      <c r="M40" s="270"/>
      <c r="N40" s="271"/>
      <c r="O40" s="272"/>
      <c r="P40" s="270"/>
      <c r="Q40" s="270"/>
      <c r="R40" s="270"/>
      <c r="S40" s="273"/>
      <c r="T40" s="274"/>
      <c r="U40" s="270"/>
      <c r="V40" s="270"/>
      <c r="W40" s="270"/>
      <c r="X40" s="271"/>
      <c r="Y40" s="272"/>
      <c r="Z40" s="270"/>
      <c r="AA40" s="270"/>
      <c r="AB40" s="270"/>
      <c r="AC40" s="273"/>
      <c r="AD40" s="274"/>
      <c r="AE40" s="270"/>
      <c r="AF40" s="270"/>
      <c r="AG40" s="270"/>
      <c r="AH40" s="271"/>
      <c r="AI40" s="272"/>
      <c r="AJ40" s="270"/>
      <c r="AK40" s="270"/>
      <c r="AL40" s="270"/>
      <c r="AM40" s="273"/>
      <c r="AN40" s="274"/>
      <c r="AO40" s="270"/>
      <c r="AP40" s="270"/>
      <c r="AQ40" s="270"/>
      <c r="AR40" s="271"/>
      <c r="AS40" s="272"/>
      <c r="AT40" s="270"/>
      <c r="AU40" s="270"/>
      <c r="AV40" s="270"/>
      <c r="AW40" s="273"/>
      <c r="AX40" s="274"/>
      <c r="AY40" s="270"/>
      <c r="AZ40" s="270"/>
      <c r="BA40" s="270"/>
      <c r="BB40" s="271"/>
      <c r="BC40" s="272"/>
      <c r="BD40" s="270"/>
      <c r="BE40" s="270"/>
      <c r="BF40" s="270"/>
      <c r="BG40" s="273"/>
      <c r="BH40" s="274"/>
      <c r="BI40" s="270"/>
      <c r="BJ40" s="270"/>
      <c r="BK40" s="270"/>
      <c r="BL40" s="271"/>
      <c r="BM40" s="272"/>
      <c r="BN40" s="270"/>
      <c r="BO40" s="270"/>
      <c r="BP40" s="270"/>
      <c r="BQ40" s="273"/>
      <c r="BR40" s="274"/>
      <c r="BS40" s="270"/>
      <c r="BT40" s="270"/>
      <c r="BU40" s="270"/>
      <c r="BV40" s="271"/>
      <c r="BW40" s="272"/>
      <c r="BX40" s="270"/>
      <c r="BY40" s="270"/>
      <c r="BZ40" s="270"/>
      <c r="CA40" s="273"/>
    </row>
    <row r="41" spans="2:79" ht="15" customHeight="1">
      <c r="B41" s="210" t="s">
        <v>311</v>
      </c>
      <c r="C41" s="260"/>
      <c r="D41" s="260"/>
      <c r="E41" s="260"/>
      <c r="F41" s="224"/>
      <c r="G41" s="275"/>
      <c r="H41" s="209"/>
      <c r="I41" s="211"/>
      <c r="J41" s="269" t="e">
        <f>IF(#REF!="Yes","H",IF($B41="","",IF(AND($C41&lt;=#REF!,$D41&gt;=#REF!),IF($G41="","x","y"),"")))</f>
        <v>#REF!</v>
      </c>
      <c r="K41" s="270" t="e">
        <f>IF(#REF!="Yes","H",IF($B41="","",IF(AND($C41&lt;=#REF!,$D41&gt;=#REF!),IF($G41="","x","y"),"")))</f>
        <v>#REF!</v>
      </c>
      <c r="L41" s="270" t="e">
        <f>IF(#REF!="Yes","H",IF($B41="","",IF(AND($C41&lt;=#REF!,$D41&gt;=#REF!),IF($G41="","x","y"),"")))</f>
        <v>#REF!</v>
      </c>
      <c r="M41" s="270" t="e">
        <f>IF(#REF!="Yes","H",IF($B41="","",IF(AND($C41&lt;=#REF!,$D41&gt;=#REF!),IF($G41="","x","y"),"")))</f>
        <v>#REF!</v>
      </c>
      <c r="N41" s="271" t="e">
        <f>IF(#REF!="Yes","H",IF($B41="","",IF(AND($C41&lt;=#REF!,$D41&gt;=#REF!),IF($G41="","x","y"),"")))</f>
        <v>#REF!</v>
      </c>
      <c r="O41" s="272" t="e">
        <f>IF(#REF!="Yes","H",IF($B41="","",IF(AND($C41&lt;=#REF!,$D41&gt;=#REF!),IF($G41="","x","y"),"")))</f>
        <v>#REF!</v>
      </c>
      <c r="P41" s="270" t="e">
        <f>IF(#REF!="Yes","H",IF($B41="","",IF(AND($C41&lt;=#REF!,$D41&gt;=#REF!),IF($G41="","x","y"),"")))</f>
        <v>#REF!</v>
      </c>
      <c r="Q41" s="270" t="e">
        <f>IF(#REF!="Yes","H",IF($B41="","",IF(AND($C41&lt;=#REF!,$D41&gt;=#REF!),IF($G41="","x","y"),"")))</f>
        <v>#REF!</v>
      </c>
      <c r="R41" s="270" t="e">
        <f>IF(#REF!="Yes","H",IF($B41="","",IF(AND($C41&lt;=#REF!,$D41&gt;=#REF!),IF($G41="","x","y"),"")))</f>
        <v>#REF!</v>
      </c>
      <c r="S41" s="273" t="e">
        <f>IF(#REF!="Yes","H",IF($B41="","",IF(AND($C41&lt;=#REF!,$D41&gt;=#REF!),IF($G41="","x","y"),"")))</f>
        <v>#REF!</v>
      </c>
      <c r="T41" s="274" t="e">
        <f>IF(#REF!="Yes","H",IF($B41="","",IF(AND($C41&lt;=#REF!,$D41&gt;=#REF!),IF($G41="","x","y"),"")))</f>
        <v>#REF!</v>
      </c>
      <c r="U41" s="270" t="e">
        <f>IF(#REF!="Yes","H",IF($B41="","",IF(AND($C41&lt;=#REF!,$D41&gt;=#REF!),IF($G41="","x","y"),"")))</f>
        <v>#REF!</v>
      </c>
      <c r="V41" s="270" t="e">
        <f>IF(#REF!="Yes","H",IF($B41="","",IF(AND($C41&lt;=#REF!,$D41&gt;=#REF!),IF($G41="","x","y"),"")))</f>
        <v>#REF!</v>
      </c>
      <c r="W41" s="270" t="e">
        <f>IF(#REF!="Yes","H",IF($B41="","",IF(AND($C41&lt;=#REF!,$D41&gt;=#REF!),IF($G41="","x","y"),"")))</f>
        <v>#REF!</v>
      </c>
      <c r="X41" s="271" t="e">
        <f>IF(#REF!="Yes","H",IF($B41="","",IF(AND($C41&lt;=#REF!,$D41&gt;=#REF!),IF($G41="","x","y"),"")))</f>
        <v>#REF!</v>
      </c>
      <c r="Y41" s="272" t="e">
        <f>IF(#REF!="Yes","H",IF($B41="","",IF(AND($C41&lt;=#REF!,$D41&gt;=#REF!),IF($G41="","x","y"),"")))</f>
        <v>#REF!</v>
      </c>
      <c r="Z41" s="270" t="e">
        <f>IF(#REF!="Yes","H",IF($B41="","",IF(AND($C41&lt;=#REF!,$D41&gt;=#REF!),IF($G41="","x","y"),"")))</f>
        <v>#REF!</v>
      </c>
      <c r="AA41" s="270" t="e">
        <f>IF(#REF!="Yes","H",IF($B41="","",IF(AND($C41&lt;=#REF!,$D41&gt;=#REF!),IF($G41="","x","y"),"")))</f>
        <v>#REF!</v>
      </c>
      <c r="AB41" s="270" t="e">
        <f>IF(#REF!="Yes","H",IF($B41="","",IF(AND($C41&lt;=#REF!,$D41&gt;=#REF!),IF($G41="","x","y"),"")))</f>
        <v>#REF!</v>
      </c>
      <c r="AC41" s="273" t="e">
        <f>IF(#REF!="Yes","H",IF($B41="","",IF(AND($C41&lt;=#REF!,$D41&gt;=#REF!),IF($G41="","x","y"),"")))</f>
        <v>#REF!</v>
      </c>
      <c r="AD41" s="274" t="e">
        <f>IF(#REF!="Yes","H",IF($B41="","",IF(AND($C41&lt;=#REF!,$D41&gt;=#REF!),IF($G41="","x","y"),"")))</f>
        <v>#REF!</v>
      </c>
      <c r="AE41" s="270" t="e">
        <f>IF(#REF!="Yes","H",IF($B41="","",IF(AND($C41&lt;=#REF!,$D41&gt;=#REF!),IF($G41="","x","y"),"")))</f>
        <v>#REF!</v>
      </c>
      <c r="AF41" s="270" t="e">
        <f>IF(#REF!="Yes","H",IF($B41="","",IF(AND($C41&lt;=#REF!,$D41&gt;=#REF!),IF($G41="","x","y"),"")))</f>
        <v>#REF!</v>
      </c>
      <c r="AG41" s="270" t="e">
        <f>IF(#REF!="Yes","H",IF($B41="","",IF(AND($C41&lt;=#REF!,$D41&gt;=#REF!),IF($G41="","x","y"),"")))</f>
        <v>#REF!</v>
      </c>
      <c r="AH41" s="271" t="e">
        <f>IF(#REF!="Yes","H",IF($B41="","",IF(AND($C41&lt;=#REF!,$D41&gt;=#REF!),IF($G41="","x","y"),"")))</f>
        <v>#REF!</v>
      </c>
      <c r="AI41" s="272" t="e">
        <f>IF(#REF!="Yes","H",IF($B41="","",IF(AND($C41&lt;=#REF!,$D41&gt;=#REF!),IF($G41="","x","y"),"")))</f>
        <v>#REF!</v>
      </c>
      <c r="AJ41" s="270" t="e">
        <f>IF(#REF!="Yes","H",IF($B41="","",IF(AND($C41&lt;=#REF!,$D41&gt;=#REF!),IF($G41="","x","y"),"")))</f>
        <v>#REF!</v>
      </c>
      <c r="AK41" s="270" t="e">
        <f>IF(#REF!="Yes","H",IF($B41="","",IF(AND($C41&lt;=#REF!,$D41&gt;=#REF!),IF($G41="","x","y"),"")))</f>
        <v>#REF!</v>
      </c>
      <c r="AL41" s="270" t="e">
        <f>IF(#REF!="Yes","H",IF($B41="","",IF(AND($C41&lt;=#REF!,$D41&gt;=#REF!),IF($G41="","x","y"),"")))</f>
        <v>#REF!</v>
      </c>
      <c r="AM41" s="273" t="e">
        <f>IF(#REF!="Yes","H",IF($B41="","",IF(AND($C41&lt;=#REF!,$D41&gt;=#REF!),IF($G41="","x","y"),"")))</f>
        <v>#REF!</v>
      </c>
      <c r="AN41" s="274" t="e">
        <f>IF(#REF!="Yes","H",IF($B41="","",IF(AND($C41&lt;=#REF!,$D41&gt;=#REF!),IF($G41="","x","y"),"")))</f>
        <v>#REF!</v>
      </c>
      <c r="AO41" s="270" t="e">
        <f>IF(#REF!="Yes","H",IF($B41="","",IF(AND($C41&lt;=#REF!,$D41&gt;=#REF!),IF($G41="","x","y"),"")))</f>
        <v>#REF!</v>
      </c>
      <c r="AP41" s="270" t="e">
        <f>IF(#REF!="Yes","H",IF($B41="","",IF(AND($C41&lt;=#REF!,$D41&gt;=#REF!),IF($G41="","x","y"),"")))</f>
        <v>#REF!</v>
      </c>
      <c r="AQ41" s="270" t="e">
        <f>IF(#REF!="Yes","H",IF($B41="","",IF(AND($C41&lt;=#REF!,$D41&gt;=#REF!),IF($G41="","x","y"),"")))</f>
        <v>#REF!</v>
      </c>
      <c r="AR41" s="271" t="e">
        <f>IF(#REF!="Yes","H",IF($B41="","",IF(AND($C41&lt;=#REF!,$D41&gt;=#REF!),IF($G41="","x","y"),"")))</f>
        <v>#REF!</v>
      </c>
      <c r="AS41" s="272" t="e">
        <f>IF(#REF!="Yes","H",IF($B41="","",IF(AND($C41&lt;=#REF!,$D41&gt;=#REF!),IF($G41="","x","y"),"")))</f>
        <v>#REF!</v>
      </c>
      <c r="AT41" s="270" t="e">
        <f>IF(#REF!="Yes","H",IF($B41="","",IF(AND($C41&lt;=#REF!,$D41&gt;=#REF!),IF($G41="","x","y"),"")))</f>
        <v>#REF!</v>
      </c>
      <c r="AU41" s="270" t="e">
        <f>IF(#REF!="Yes","H",IF($B41="","",IF(AND($C41&lt;=#REF!,$D41&gt;=#REF!),IF($G41="","x","y"),"")))</f>
        <v>#REF!</v>
      </c>
      <c r="AV41" s="270" t="e">
        <f>IF(#REF!="Yes","H",IF($B41="","",IF(AND($C41&lt;=#REF!,$D41&gt;=#REF!),IF($G41="","x","y"),"")))</f>
        <v>#REF!</v>
      </c>
      <c r="AW41" s="273" t="e">
        <f>IF(#REF!="Yes","H",IF($B41="","",IF(AND($C41&lt;=#REF!,$D41&gt;=#REF!),IF($G41="","x","y"),"")))</f>
        <v>#REF!</v>
      </c>
      <c r="AX41" s="274" t="e">
        <f>IF(#REF!="Yes","H",IF($B41="","",IF(AND($C41&lt;=#REF!,$D41&gt;=#REF!),IF($G41="","x","y"),"")))</f>
        <v>#REF!</v>
      </c>
      <c r="AY41" s="270" t="e">
        <f>IF(#REF!="Yes","H",IF($B41="","",IF(AND($C41&lt;=#REF!,$D41&gt;=#REF!),IF($G41="","x","y"),"")))</f>
        <v>#REF!</v>
      </c>
      <c r="AZ41" s="270" t="e">
        <f>IF(#REF!="Yes","H",IF($B41="","",IF(AND($C41&lt;=#REF!,$D41&gt;=#REF!),IF($G41="","x","y"),"")))</f>
        <v>#REF!</v>
      </c>
      <c r="BA41" s="270" t="e">
        <f>IF(#REF!="Yes","H",IF($B41="","",IF(AND($C41&lt;=#REF!,$D41&gt;=#REF!),IF($G41="","x","y"),"")))</f>
        <v>#REF!</v>
      </c>
      <c r="BB41" s="271" t="e">
        <f>IF(#REF!="Yes","H",IF($B41="","",IF(AND($C41&lt;=#REF!,$D41&gt;=#REF!),IF($G41="","x","y"),"")))</f>
        <v>#REF!</v>
      </c>
      <c r="BC41" s="272" t="e">
        <f>IF(#REF!="Yes","H",IF($B41="","",IF(AND($C41&lt;=#REF!,$D41&gt;=#REF!),IF($G41="","x","y"),"")))</f>
        <v>#REF!</v>
      </c>
      <c r="BD41" s="270" t="e">
        <f>IF(#REF!="Yes","H",IF($B41="","",IF(AND($C41&lt;=#REF!,$D41&gt;=#REF!),IF($G41="","x","y"),"")))</f>
        <v>#REF!</v>
      </c>
      <c r="BE41" s="270" t="e">
        <f>IF(#REF!="Yes","H",IF($B41="","",IF(AND($C41&lt;=#REF!,$D41&gt;=#REF!),IF($G41="","x","y"),"")))</f>
        <v>#REF!</v>
      </c>
      <c r="BF41" s="270" t="e">
        <f>IF(#REF!="Yes","H",IF($B41="","",IF(AND($C41&lt;=#REF!,$D41&gt;=#REF!),IF($G41="","x","y"),"")))</f>
        <v>#REF!</v>
      </c>
      <c r="BG41" s="273" t="e">
        <f>IF(#REF!="Yes","H",IF($B41="","",IF(AND($C41&lt;=#REF!,$D41&gt;=#REF!),IF($G41="","x","y"),"")))</f>
        <v>#REF!</v>
      </c>
      <c r="BH41" s="274" t="e">
        <f>IF(#REF!="Yes","H",IF($B41="","",IF(AND($C41&lt;=#REF!,$D41&gt;=#REF!),IF($G41="","x","y"),"")))</f>
        <v>#REF!</v>
      </c>
      <c r="BI41" s="270" t="e">
        <f>IF(#REF!="Yes","H",IF($B41="","",IF(AND($C41&lt;=#REF!,$D41&gt;=#REF!),IF($G41="","x","y"),"")))</f>
        <v>#REF!</v>
      </c>
      <c r="BJ41" s="270" t="e">
        <f>IF(#REF!="Yes","H",IF($B41="","",IF(AND($C41&lt;=#REF!,$D41&gt;=#REF!),IF($G41="","x","y"),"")))</f>
        <v>#REF!</v>
      </c>
      <c r="BK41" s="270" t="e">
        <f>IF(#REF!="Yes","H",IF($B41="","",IF(AND($C41&lt;=#REF!,$D41&gt;=#REF!),IF($G41="","x","y"),"")))</f>
        <v>#REF!</v>
      </c>
      <c r="BL41" s="271" t="e">
        <f>IF(#REF!="Yes","H",IF($B41="","",IF(AND($C41&lt;=#REF!,$D41&gt;=#REF!),IF($G41="","x","y"),"")))</f>
        <v>#REF!</v>
      </c>
      <c r="BM41" s="272" t="e">
        <f>IF(#REF!="Yes","H",IF($B41="","",IF(AND($C41&lt;=#REF!,$D41&gt;=#REF!),IF($G41="","x","y"),"")))</f>
        <v>#REF!</v>
      </c>
      <c r="BN41" s="270" t="e">
        <f>IF(#REF!="Yes","H",IF($B41="","",IF(AND($C41&lt;=#REF!,$D41&gt;=#REF!),IF($G41="","x","y"),"")))</f>
        <v>#REF!</v>
      </c>
      <c r="BO41" s="270" t="e">
        <f>IF(#REF!="Yes","H",IF($B41="","",IF(AND($C41&lt;=#REF!,$D41&gt;=#REF!),IF($G41="","x","y"),"")))</f>
        <v>#REF!</v>
      </c>
      <c r="BP41" s="270" t="e">
        <f>IF(#REF!="Yes","H",IF($B41="","",IF(AND($C41&lt;=#REF!,$D41&gt;=#REF!),IF($G41="","x","y"),"")))</f>
        <v>#REF!</v>
      </c>
      <c r="BQ41" s="273" t="e">
        <f>IF(#REF!="Yes","H",IF($B41="","",IF(AND($C41&lt;=#REF!,$D41&gt;=#REF!),IF($G41="","x","y"),"")))</f>
        <v>#REF!</v>
      </c>
      <c r="BR41" s="274" t="e">
        <f>IF(#REF!="Yes","H",IF($B41="","",IF(AND($C41&lt;=#REF!,$D41&gt;=#REF!),IF($G41="","x","y"),"")))</f>
        <v>#REF!</v>
      </c>
      <c r="BS41" s="270" t="e">
        <f>IF(#REF!="Yes","H",IF($B41="","",IF(AND($C41&lt;=#REF!,$D41&gt;=#REF!),IF($G41="","x","y"),"")))</f>
        <v>#REF!</v>
      </c>
      <c r="BT41" s="270" t="e">
        <f>IF(#REF!="Yes","H",IF($B41="","",IF(AND($C41&lt;=#REF!,$D41&gt;=#REF!),IF($G41="","x","y"),"")))</f>
        <v>#REF!</v>
      </c>
      <c r="BU41" s="270" t="e">
        <f>IF(#REF!="Yes","H",IF($B41="","",IF(AND($C41&lt;=#REF!,$D41&gt;=#REF!),IF($G41="","x","y"),"")))</f>
        <v>#REF!</v>
      </c>
      <c r="BV41" s="271" t="e">
        <f>IF(#REF!="Yes","H",IF($B41="","",IF(AND($C41&lt;=#REF!,$D41&gt;=#REF!),IF($G41="","x","y"),"")))</f>
        <v>#REF!</v>
      </c>
      <c r="BW41" s="272" t="e">
        <f>IF(#REF!="Yes","H",IF($B41="","",IF(AND($C41&lt;=#REF!,$D41&gt;=#REF!),IF($G41="","x","y"),"")))</f>
        <v>#REF!</v>
      </c>
      <c r="BX41" s="270" t="e">
        <f>IF(#REF!="Yes","H",IF($B41="","",IF(AND($C41&lt;=#REF!,$D41&gt;=#REF!),IF($G41="","x","y"),"")))</f>
        <v>#REF!</v>
      </c>
      <c r="BY41" s="270" t="e">
        <f>IF(#REF!="Yes","H",IF($B41="","",IF(AND($C41&lt;=#REF!,$D41&gt;=#REF!),IF($G41="","x","y"),"")))</f>
        <v>#REF!</v>
      </c>
      <c r="BZ41" s="270" t="e">
        <f>IF(#REF!="Yes","H",IF($B41="","",IF(AND($C41&lt;=#REF!,$D41&gt;=#REF!),IF($G41="","x","y"),"")))</f>
        <v>#REF!</v>
      </c>
      <c r="CA41" s="273" t="e">
        <f>IF(#REF!="Yes","H",IF($B41="","",IF(AND($C41&lt;=#REF!,$D41&gt;=#REF!),IF($G41="","x","y"),"")))</f>
        <v>#REF!</v>
      </c>
    </row>
    <row r="42" spans="2:79" ht="15" customHeight="1">
      <c r="B42" s="210" t="s">
        <v>309</v>
      </c>
      <c r="C42" s="260"/>
      <c r="D42" s="260"/>
      <c r="E42" s="260"/>
      <c r="F42" s="224"/>
      <c r="G42" s="275"/>
      <c r="H42" s="209"/>
      <c r="I42" s="211"/>
      <c r="J42" s="269"/>
      <c r="K42" s="270"/>
      <c r="L42" s="270"/>
      <c r="M42" s="270"/>
      <c r="N42" s="271"/>
      <c r="O42" s="272"/>
      <c r="P42" s="270"/>
      <c r="Q42" s="270"/>
      <c r="R42" s="270"/>
      <c r="S42" s="273"/>
      <c r="T42" s="274"/>
      <c r="U42" s="270"/>
      <c r="V42" s="270"/>
      <c r="W42" s="270"/>
      <c r="X42" s="271"/>
      <c r="Y42" s="272"/>
      <c r="Z42" s="270"/>
      <c r="AA42" s="270"/>
      <c r="AB42" s="270"/>
      <c r="AC42" s="273"/>
      <c r="AD42" s="274"/>
      <c r="AE42" s="270"/>
      <c r="AF42" s="270"/>
      <c r="AG42" s="270"/>
      <c r="AH42" s="271"/>
      <c r="AI42" s="272"/>
      <c r="AJ42" s="270"/>
      <c r="AK42" s="270"/>
      <c r="AL42" s="270"/>
      <c r="AM42" s="273"/>
      <c r="AN42" s="274"/>
      <c r="AO42" s="270"/>
      <c r="AP42" s="270"/>
      <c r="AQ42" s="270"/>
      <c r="AR42" s="271"/>
      <c r="AS42" s="272"/>
      <c r="AT42" s="270"/>
      <c r="AU42" s="270"/>
      <c r="AV42" s="270"/>
      <c r="AW42" s="273"/>
      <c r="AX42" s="274"/>
      <c r="AY42" s="270"/>
      <c r="AZ42" s="270"/>
      <c r="BA42" s="270"/>
      <c r="BB42" s="271"/>
      <c r="BC42" s="272"/>
      <c r="BD42" s="270"/>
      <c r="BE42" s="270"/>
      <c r="BF42" s="270"/>
      <c r="BG42" s="273"/>
      <c r="BH42" s="274"/>
      <c r="BI42" s="270"/>
      <c r="BJ42" s="270"/>
      <c r="BK42" s="270"/>
      <c r="BL42" s="271"/>
      <c r="BM42" s="272"/>
      <c r="BN42" s="270"/>
      <c r="BO42" s="270"/>
      <c r="BP42" s="270"/>
      <c r="BQ42" s="273"/>
      <c r="BR42" s="274"/>
      <c r="BS42" s="270"/>
      <c r="BT42" s="270"/>
      <c r="BU42" s="270"/>
      <c r="BV42" s="271"/>
      <c r="BW42" s="272"/>
      <c r="BX42" s="270"/>
      <c r="BY42" s="270"/>
      <c r="BZ42" s="270"/>
      <c r="CA42" s="273"/>
    </row>
    <row r="43" spans="2:79" ht="30" customHeight="1">
      <c r="B43" s="210" t="s">
        <v>310</v>
      </c>
      <c r="C43" s="260"/>
      <c r="D43" s="260"/>
      <c r="E43" s="260"/>
      <c r="F43" s="224"/>
      <c r="G43" s="275"/>
      <c r="H43" s="209"/>
      <c r="I43" s="211"/>
      <c r="J43" s="269"/>
      <c r="K43" s="270"/>
      <c r="L43" s="270"/>
      <c r="M43" s="270"/>
      <c r="N43" s="271"/>
      <c r="O43" s="272"/>
      <c r="P43" s="270"/>
      <c r="Q43" s="270"/>
      <c r="R43" s="270"/>
      <c r="S43" s="273"/>
      <c r="T43" s="274"/>
      <c r="U43" s="270"/>
      <c r="V43" s="270"/>
      <c r="W43" s="270"/>
      <c r="X43" s="271"/>
      <c r="Y43" s="272"/>
      <c r="Z43" s="270"/>
      <c r="AA43" s="270"/>
      <c r="AB43" s="270"/>
      <c r="AC43" s="273"/>
      <c r="AD43" s="274"/>
      <c r="AE43" s="270"/>
      <c r="AF43" s="270"/>
      <c r="AG43" s="270"/>
      <c r="AH43" s="271"/>
      <c r="AI43" s="272"/>
      <c r="AJ43" s="270"/>
      <c r="AK43" s="270"/>
      <c r="AL43" s="270"/>
      <c r="AM43" s="273"/>
      <c r="AN43" s="274"/>
      <c r="AO43" s="270"/>
      <c r="AP43" s="270"/>
      <c r="AQ43" s="270"/>
      <c r="AR43" s="271"/>
      <c r="AS43" s="272"/>
      <c r="AT43" s="270"/>
      <c r="AU43" s="270"/>
      <c r="AV43" s="270"/>
      <c r="AW43" s="273"/>
      <c r="AX43" s="274"/>
      <c r="AY43" s="270"/>
      <c r="AZ43" s="270"/>
      <c r="BA43" s="270"/>
      <c r="BB43" s="271"/>
      <c r="BC43" s="272"/>
      <c r="BD43" s="270"/>
      <c r="BE43" s="270"/>
      <c r="BF43" s="270"/>
      <c r="BG43" s="273"/>
      <c r="BH43" s="274"/>
      <c r="BI43" s="270"/>
      <c r="BJ43" s="270"/>
      <c r="BK43" s="270"/>
      <c r="BL43" s="271"/>
      <c r="BM43" s="272"/>
      <c r="BN43" s="270"/>
      <c r="BO43" s="270"/>
      <c r="BP43" s="270"/>
      <c r="BQ43" s="273"/>
      <c r="BR43" s="274"/>
      <c r="BS43" s="270"/>
      <c r="BT43" s="270"/>
      <c r="BU43" s="270"/>
      <c r="BV43" s="271"/>
      <c r="BW43" s="272"/>
      <c r="BX43" s="270"/>
      <c r="BY43" s="270"/>
      <c r="BZ43" s="270"/>
      <c r="CA43" s="273"/>
    </row>
    <row r="44" spans="2:79" ht="15" customHeight="1">
      <c r="B44" s="210" t="s">
        <v>312</v>
      </c>
      <c r="C44" s="260"/>
      <c r="D44" s="260"/>
      <c r="E44" s="260"/>
      <c r="F44" s="224"/>
      <c r="G44" s="275"/>
      <c r="H44" s="209"/>
      <c r="I44" s="211"/>
      <c r="J44" s="269" t="e">
        <f>IF(#REF!="Yes","H",IF($B44="","",IF(AND($C44&lt;=#REF!,$D44&gt;=#REF!),IF($G44="","x","y"),"")))</f>
        <v>#REF!</v>
      </c>
      <c r="K44" s="270" t="e">
        <f>IF(#REF!="Yes","H",IF($B44="","",IF(AND($C44&lt;=#REF!,$D44&gt;=#REF!),IF($G44="","x","y"),"")))</f>
        <v>#REF!</v>
      </c>
      <c r="L44" s="270" t="e">
        <f>IF(#REF!="Yes","H",IF($B44="","",IF(AND($C44&lt;=#REF!,$D44&gt;=#REF!),IF($G44="","x","y"),"")))</f>
        <v>#REF!</v>
      </c>
      <c r="M44" s="270" t="e">
        <f>IF(#REF!="Yes","H",IF($B44="","",IF(AND($C44&lt;=#REF!,$D44&gt;=#REF!),IF($G44="","x","y"),"")))</f>
        <v>#REF!</v>
      </c>
      <c r="N44" s="271" t="e">
        <f>IF(#REF!="Yes","H",IF($B44="","",IF(AND($C44&lt;=#REF!,$D44&gt;=#REF!),IF($G44="","x","y"),"")))</f>
        <v>#REF!</v>
      </c>
      <c r="O44" s="272" t="e">
        <f>IF(#REF!="Yes","H",IF($B44="","",IF(AND($C44&lt;=#REF!,$D44&gt;=#REF!),IF($G44="","x","y"),"")))</f>
        <v>#REF!</v>
      </c>
      <c r="P44" s="270" t="e">
        <f>IF(#REF!="Yes","H",IF($B44="","",IF(AND($C44&lt;=#REF!,$D44&gt;=#REF!),IF($G44="","x","y"),"")))</f>
        <v>#REF!</v>
      </c>
      <c r="Q44" s="270" t="e">
        <f>IF(#REF!="Yes","H",IF($B44="","",IF(AND($C44&lt;=#REF!,$D44&gt;=#REF!),IF($G44="","x","y"),"")))</f>
        <v>#REF!</v>
      </c>
      <c r="R44" s="270" t="e">
        <f>IF(#REF!="Yes","H",IF($B44="","",IF(AND($C44&lt;=#REF!,$D44&gt;=#REF!),IF($G44="","x","y"),"")))</f>
        <v>#REF!</v>
      </c>
      <c r="S44" s="273" t="e">
        <f>IF(#REF!="Yes","H",IF($B44="","",IF(AND($C44&lt;=#REF!,$D44&gt;=#REF!),IF($G44="","x","y"),"")))</f>
        <v>#REF!</v>
      </c>
      <c r="T44" s="274" t="e">
        <f>IF(#REF!="Yes","H",IF($B44="","",IF(AND($C44&lt;=#REF!,$D44&gt;=#REF!),IF($G44="","x","y"),"")))</f>
        <v>#REF!</v>
      </c>
      <c r="U44" s="270" t="e">
        <f>IF(#REF!="Yes","H",IF($B44="","",IF(AND($C44&lt;=#REF!,$D44&gt;=#REF!),IF($G44="","x","y"),"")))</f>
        <v>#REF!</v>
      </c>
      <c r="V44" s="270" t="e">
        <f>IF(#REF!="Yes","H",IF($B44="","",IF(AND($C44&lt;=#REF!,$D44&gt;=#REF!),IF($G44="","x","y"),"")))</f>
        <v>#REF!</v>
      </c>
      <c r="W44" s="270" t="e">
        <f>IF(#REF!="Yes","H",IF($B44="","",IF(AND($C44&lt;=#REF!,$D44&gt;=#REF!),IF($G44="","x","y"),"")))</f>
        <v>#REF!</v>
      </c>
      <c r="X44" s="271" t="e">
        <f>IF(#REF!="Yes","H",IF($B44="","",IF(AND($C44&lt;=#REF!,$D44&gt;=#REF!),IF($G44="","x","y"),"")))</f>
        <v>#REF!</v>
      </c>
      <c r="Y44" s="272" t="e">
        <f>IF(#REF!="Yes","H",IF($B44="","",IF(AND($C44&lt;=#REF!,$D44&gt;=#REF!),IF($G44="","x","y"),"")))</f>
        <v>#REF!</v>
      </c>
      <c r="Z44" s="270" t="e">
        <f>IF(#REF!="Yes","H",IF($B44="","",IF(AND($C44&lt;=#REF!,$D44&gt;=#REF!),IF($G44="","x","y"),"")))</f>
        <v>#REF!</v>
      </c>
      <c r="AA44" s="270" t="e">
        <f>IF(#REF!="Yes","H",IF($B44="","",IF(AND($C44&lt;=#REF!,$D44&gt;=#REF!),IF($G44="","x","y"),"")))</f>
        <v>#REF!</v>
      </c>
      <c r="AB44" s="270" t="e">
        <f>IF(#REF!="Yes","H",IF($B44="","",IF(AND($C44&lt;=#REF!,$D44&gt;=#REF!),IF($G44="","x","y"),"")))</f>
        <v>#REF!</v>
      </c>
      <c r="AC44" s="273" t="e">
        <f>IF(#REF!="Yes","H",IF($B44="","",IF(AND($C44&lt;=#REF!,$D44&gt;=#REF!),IF($G44="","x","y"),"")))</f>
        <v>#REF!</v>
      </c>
      <c r="AD44" s="274" t="e">
        <f>IF(#REF!="Yes","H",IF($B44="","",IF(AND($C44&lt;=#REF!,$D44&gt;=#REF!),IF($G44="","x","y"),"")))</f>
        <v>#REF!</v>
      </c>
      <c r="AE44" s="270" t="e">
        <f>IF(#REF!="Yes","H",IF($B44="","",IF(AND($C44&lt;=#REF!,$D44&gt;=#REF!),IF($G44="","x","y"),"")))</f>
        <v>#REF!</v>
      </c>
      <c r="AF44" s="270" t="e">
        <f>IF(#REF!="Yes","H",IF($B44="","",IF(AND($C44&lt;=#REF!,$D44&gt;=#REF!),IF($G44="","x","y"),"")))</f>
        <v>#REF!</v>
      </c>
      <c r="AG44" s="270" t="e">
        <f>IF(#REF!="Yes","H",IF($B44="","",IF(AND($C44&lt;=#REF!,$D44&gt;=#REF!),IF($G44="","x","y"),"")))</f>
        <v>#REF!</v>
      </c>
      <c r="AH44" s="271" t="e">
        <f>IF(#REF!="Yes","H",IF($B44="","",IF(AND($C44&lt;=#REF!,$D44&gt;=#REF!),IF($G44="","x","y"),"")))</f>
        <v>#REF!</v>
      </c>
      <c r="AI44" s="272" t="e">
        <f>IF(#REF!="Yes","H",IF($B44="","",IF(AND($C44&lt;=#REF!,$D44&gt;=#REF!),IF($G44="","x","y"),"")))</f>
        <v>#REF!</v>
      </c>
      <c r="AJ44" s="270" t="e">
        <f>IF(#REF!="Yes","H",IF($B44="","",IF(AND($C44&lt;=#REF!,$D44&gt;=#REF!),IF($G44="","x","y"),"")))</f>
        <v>#REF!</v>
      </c>
      <c r="AK44" s="270" t="e">
        <f>IF(#REF!="Yes","H",IF($B44="","",IF(AND($C44&lt;=#REF!,$D44&gt;=#REF!),IF($G44="","x","y"),"")))</f>
        <v>#REF!</v>
      </c>
      <c r="AL44" s="270" t="e">
        <f>IF(#REF!="Yes","H",IF($B44="","",IF(AND($C44&lt;=#REF!,$D44&gt;=#REF!),IF($G44="","x","y"),"")))</f>
        <v>#REF!</v>
      </c>
      <c r="AM44" s="273" t="e">
        <f>IF(#REF!="Yes","H",IF($B44="","",IF(AND($C44&lt;=#REF!,$D44&gt;=#REF!),IF($G44="","x","y"),"")))</f>
        <v>#REF!</v>
      </c>
      <c r="AN44" s="274" t="e">
        <f>IF(#REF!="Yes","H",IF($B44="","",IF(AND($C44&lt;=#REF!,$D44&gt;=#REF!),IF($G44="","x","y"),"")))</f>
        <v>#REF!</v>
      </c>
      <c r="AO44" s="270" t="e">
        <f>IF(#REF!="Yes","H",IF($B44="","",IF(AND($C44&lt;=#REF!,$D44&gt;=#REF!),IF($G44="","x","y"),"")))</f>
        <v>#REF!</v>
      </c>
      <c r="AP44" s="270" t="e">
        <f>IF(#REF!="Yes","H",IF($B44="","",IF(AND($C44&lt;=#REF!,$D44&gt;=#REF!),IF($G44="","x","y"),"")))</f>
        <v>#REF!</v>
      </c>
      <c r="AQ44" s="270" t="e">
        <f>IF(#REF!="Yes","H",IF($B44="","",IF(AND($C44&lt;=#REF!,$D44&gt;=#REF!),IF($G44="","x","y"),"")))</f>
        <v>#REF!</v>
      </c>
      <c r="AR44" s="271" t="e">
        <f>IF(#REF!="Yes","H",IF($B44="","",IF(AND($C44&lt;=#REF!,$D44&gt;=#REF!),IF($G44="","x","y"),"")))</f>
        <v>#REF!</v>
      </c>
      <c r="AS44" s="272" t="e">
        <f>IF(#REF!="Yes","H",IF($B44="","",IF(AND($C44&lt;=#REF!,$D44&gt;=#REF!),IF($G44="","x","y"),"")))</f>
        <v>#REF!</v>
      </c>
      <c r="AT44" s="270" t="e">
        <f>IF(#REF!="Yes","H",IF($B44="","",IF(AND($C44&lt;=#REF!,$D44&gt;=#REF!),IF($G44="","x","y"),"")))</f>
        <v>#REF!</v>
      </c>
      <c r="AU44" s="270" t="e">
        <f>IF(#REF!="Yes","H",IF($B44="","",IF(AND($C44&lt;=#REF!,$D44&gt;=#REF!),IF($G44="","x","y"),"")))</f>
        <v>#REF!</v>
      </c>
      <c r="AV44" s="270" t="e">
        <f>IF(#REF!="Yes","H",IF($B44="","",IF(AND($C44&lt;=#REF!,$D44&gt;=#REF!),IF($G44="","x","y"),"")))</f>
        <v>#REF!</v>
      </c>
      <c r="AW44" s="273" t="e">
        <f>IF(#REF!="Yes","H",IF($B44="","",IF(AND($C44&lt;=#REF!,$D44&gt;=#REF!),IF($G44="","x","y"),"")))</f>
        <v>#REF!</v>
      </c>
      <c r="AX44" s="274" t="e">
        <f>IF(#REF!="Yes","H",IF($B44="","",IF(AND($C44&lt;=#REF!,$D44&gt;=#REF!),IF($G44="","x","y"),"")))</f>
        <v>#REF!</v>
      </c>
      <c r="AY44" s="270" t="e">
        <f>IF(#REF!="Yes","H",IF($B44="","",IF(AND($C44&lt;=#REF!,$D44&gt;=#REF!),IF($G44="","x","y"),"")))</f>
        <v>#REF!</v>
      </c>
      <c r="AZ44" s="270" t="e">
        <f>IF(#REF!="Yes","H",IF($B44="","",IF(AND($C44&lt;=#REF!,$D44&gt;=#REF!),IF($G44="","x","y"),"")))</f>
        <v>#REF!</v>
      </c>
      <c r="BA44" s="270" t="e">
        <f>IF(#REF!="Yes","H",IF($B44="","",IF(AND($C44&lt;=#REF!,$D44&gt;=#REF!),IF($G44="","x","y"),"")))</f>
        <v>#REF!</v>
      </c>
      <c r="BB44" s="271" t="e">
        <f>IF(#REF!="Yes","H",IF($B44="","",IF(AND($C44&lt;=#REF!,$D44&gt;=#REF!),IF($G44="","x","y"),"")))</f>
        <v>#REF!</v>
      </c>
      <c r="BC44" s="272" t="e">
        <f>IF(#REF!="Yes","H",IF($B44="","",IF(AND($C44&lt;=#REF!,$D44&gt;=#REF!),IF($G44="","x","y"),"")))</f>
        <v>#REF!</v>
      </c>
      <c r="BD44" s="270" t="e">
        <f>IF(#REF!="Yes","H",IF($B44="","",IF(AND($C44&lt;=#REF!,$D44&gt;=#REF!),IF($G44="","x","y"),"")))</f>
        <v>#REF!</v>
      </c>
      <c r="BE44" s="270" t="e">
        <f>IF(#REF!="Yes","H",IF($B44="","",IF(AND($C44&lt;=#REF!,$D44&gt;=#REF!),IF($G44="","x","y"),"")))</f>
        <v>#REF!</v>
      </c>
      <c r="BF44" s="270" t="e">
        <f>IF(#REF!="Yes","H",IF($B44="","",IF(AND($C44&lt;=#REF!,$D44&gt;=#REF!),IF($G44="","x","y"),"")))</f>
        <v>#REF!</v>
      </c>
      <c r="BG44" s="273" t="e">
        <f>IF(#REF!="Yes","H",IF($B44="","",IF(AND($C44&lt;=#REF!,$D44&gt;=#REF!),IF($G44="","x","y"),"")))</f>
        <v>#REF!</v>
      </c>
      <c r="BH44" s="274" t="e">
        <f>IF(#REF!="Yes","H",IF($B44="","",IF(AND($C44&lt;=#REF!,$D44&gt;=#REF!),IF($G44="","x","y"),"")))</f>
        <v>#REF!</v>
      </c>
      <c r="BI44" s="270" t="e">
        <f>IF(#REF!="Yes","H",IF($B44="","",IF(AND($C44&lt;=#REF!,$D44&gt;=#REF!),IF($G44="","x","y"),"")))</f>
        <v>#REF!</v>
      </c>
      <c r="BJ44" s="270" t="e">
        <f>IF(#REF!="Yes","H",IF($B44="","",IF(AND($C44&lt;=#REF!,$D44&gt;=#REF!),IF($G44="","x","y"),"")))</f>
        <v>#REF!</v>
      </c>
      <c r="BK44" s="270" t="e">
        <f>IF(#REF!="Yes","H",IF($B44="","",IF(AND($C44&lt;=#REF!,$D44&gt;=#REF!),IF($G44="","x","y"),"")))</f>
        <v>#REF!</v>
      </c>
      <c r="BL44" s="271" t="e">
        <f>IF(#REF!="Yes","H",IF($B44="","",IF(AND($C44&lt;=#REF!,$D44&gt;=#REF!),IF($G44="","x","y"),"")))</f>
        <v>#REF!</v>
      </c>
      <c r="BM44" s="272" t="e">
        <f>IF(#REF!="Yes","H",IF($B44="","",IF(AND($C44&lt;=#REF!,$D44&gt;=#REF!),IF($G44="","x","y"),"")))</f>
        <v>#REF!</v>
      </c>
      <c r="BN44" s="270" t="e">
        <f>IF(#REF!="Yes","H",IF($B44="","",IF(AND($C44&lt;=#REF!,$D44&gt;=#REF!),IF($G44="","x","y"),"")))</f>
        <v>#REF!</v>
      </c>
      <c r="BO44" s="270" t="e">
        <f>IF(#REF!="Yes","H",IF($B44="","",IF(AND($C44&lt;=#REF!,$D44&gt;=#REF!),IF($G44="","x","y"),"")))</f>
        <v>#REF!</v>
      </c>
      <c r="BP44" s="270" t="e">
        <f>IF(#REF!="Yes","H",IF($B44="","",IF(AND($C44&lt;=#REF!,$D44&gt;=#REF!),IF($G44="","x","y"),"")))</f>
        <v>#REF!</v>
      </c>
      <c r="BQ44" s="273" t="e">
        <f>IF(#REF!="Yes","H",IF($B44="","",IF(AND($C44&lt;=#REF!,$D44&gt;=#REF!),IF($G44="","x","y"),"")))</f>
        <v>#REF!</v>
      </c>
      <c r="BR44" s="274" t="e">
        <f>IF(#REF!="Yes","H",IF($B44="","",IF(AND($C44&lt;=#REF!,$D44&gt;=#REF!),IF($G44="","x","y"),"")))</f>
        <v>#REF!</v>
      </c>
      <c r="BS44" s="270" t="e">
        <f>IF(#REF!="Yes","H",IF($B44="","",IF(AND($C44&lt;=#REF!,$D44&gt;=#REF!),IF($G44="","x","y"),"")))</f>
        <v>#REF!</v>
      </c>
      <c r="BT44" s="270" t="e">
        <f>IF(#REF!="Yes","H",IF($B44="","",IF(AND($C44&lt;=#REF!,$D44&gt;=#REF!),IF($G44="","x","y"),"")))</f>
        <v>#REF!</v>
      </c>
      <c r="BU44" s="270" t="e">
        <f>IF(#REF!="Yes","H",IF($B44="","",IF(AND($C44&lt;=#REF!,$D44&gt;=#REF!),IF($G44="","x","y"),"")))</f>
        <v>#REF!</v>
      </c>
      <c r="BV44" s="271" t="e">
        <f>IF(#REF!="Yes","H",IF($B44="","",IF(AND($C44&lt;=#REF!,$D44&gt;=#REF!),IF($G44="","x","y"),"")))</f>
        <v>#REF!</v>
      </c>
      <c r="BW44" s="272" t="e">
        <f>IF(#REF!="Yes","H",IF($B44="","",IF(AND($C44&lt;=#REF!,$D44&gt;=#REF!),IF($G44="","x","y"),"")))</f>
        <v>#REF!</v>
      </c>
      <c r="BX44" s="270" t="e">
        <f>IF(#REF!="Yes","H",IF($B44="","",IF(AND($C44&lt;=#REF!,$D44&gt;=#REF!),IF($G44="","x","y"),"")))</f>
        <v>#REF!</v>
      </c>
      <c r="BY44" s="270" t="e">
        <f>IF(#REF!="Yes","H",IF($B44="","",IF(AND($C44&lt;=#REF!,$D44&gt;=#REF!),IF($G44="","x","y"),"")))</f>
        <v>#REF!</v>
      </c>
      <c r="BZ44" s="270" t="e">
        <f>IF(#REF!="Yes","H",IF($B44="","",IF(AND($C44&lt;=#REF!,$D44&gt;=#REF!),IF($G44="","x","y"),"")))</f>
        <v>#REF!</v>
      </c>
      <c r="CA44" s="273" t="e">
        <f>IF(#REF!="Yes","H",IF($B44="","",IF(AND($C44&lt;=#REF!,$D44&gt;=#REF!),IF($G44="","x","y"),"")))</f>
        <v>#REF!</v>
      </c>
    </row>
    <row r="45" spans="2:79" ht="15" customHeight="1">
      <c r="B45" s="210" t="s">
        <v>309</v>
      </c>
      <c r="C45" s="260"/>
      <c r="D45" s="260"/>
      <c r="E45" s="260"/>
      <c r="F45" s="224"/>
      <c r="G45" s="275"/>
      <c r="H45" s="209"/>
      <c r="I45" s="211"/>
      <c r="J45" s="269"/>
      <c r="K45" s="270"/>
      <c r="L45" s="270"/>
      <c r="M45" s="270"/>
      <c r="N45" s="271"/>
      <c r="O45" s="272"/>
      <c r="P45" s="270"/>
      <c r="Q45" s="270"/>
      <c r="R45" s="270"/>
      <c r="S45" s="273"/>
      <c r="T45" s="274"/>
      <c r="U45" s="270"/>
      <c r="V45" s="270"/>
      <c r="W45" s="270"/>
      <c r="X45" s="271"/>
      <c r="Y45" s="272"/>
      <c r="Z45" s="270"/>
      <c r="AA45" s="270"/>
      <c r="AB45" s="270"/>
      <c r="AC45" s="273"/>
      <c r="AD45" s="274"/>
      <c r="AE45" s="270"/>
      <c r="AF45" s="270"/>
      <c r="AG45" s="270"/>
      <c r="AH45" s="271"/>
      <c r="AI45" s="272"/>
      <c r="AJ45" s="270"/>
      <c r="AK45" s="270"/>
      <c r="AL45" s="270"/>
      <c r="AM45" s="273"/>
      <c r="AN45" s="274"/>
      <c r="AO45" s="270"/>
      <c r="AP45" s="270"/>
      <c r="AQ45" s="270"/>
      <c r="AR45" s="271"/>
      <c r="AS45" s="272"/>
      <c r="AT45" s="270"/>
      <c r="AU45" s="270"/>
      <c r="AV45" s="270"/>
      <c r="AW45" s="273"/>
      <c r="AX45" s="274"/>
      <c r="AY45" s="270"/>
      <c r="AZ45" s="270"/>
      <c r="BA45" s="270"/>
      <c r="BB45" s="271"/>
      <c r="BC45" s="272"/>
      <c r="BD45" s="270"/>
      <c r="BE45" s="270"/>
      <c r="BF45" s="270"/>
      <c r="BG45" s="273"/>
      <c r="BH45" s="274"/>
      <c r="BI45" s="270"/>
      <c r="BJ45" s="270"/>
      <c r="BK45" s="270"/>
      <c r="BL45" s="271"/>
      <c r="BM45" s="272"/>
      <c r="BN45" s="270"/>
      <c r="BO45" s="270"/>
      <c r="BP45" s="270"/>
      <c r="BQ45" s="273"/>
      <c r="BR45" s="274"/>
      <c r="BS45" s="270"/>
      <c r="BT45" s="270"/>
      <c r="BU45" s="270"/>
      <c r="BV45" s="271"/>
      <c r="BW45" s="272"/>
      <c r="BX45" s="270"/>
      <c r="BY45" s="270"/>
      <c r="BZ45" s="270"/>
      <c r="CA45" s="273"/>
    </row>
    <row r="46" spans="2:79" ht="29.25" customHeight="1">
      <c r="B46" s="210" t="s">
        <v>310</v>
      </c>
      <c r="C46" s="260"/>
      <c r="D46" s="260"/>
      <c r="E46" s="260"/>
      <c r="F46" s="224"/>
      <c r="G46" s="275"/>
      <c r="H46" s="209"/>
      <c r="I46" s="211"/>
      <c r="J46" s="269"/>
      <c r="K46" s="270"/>
      <c r="L46" s="270"/>
      <c r="M46" s="270"/>
      <c r="N46" s="271"/>
      <c r="O46" s="272"/>
      <c r="P46" s="270"/>
      <c r="Q46" s="270"/>
      <c r="R46" s="270"/>
      <c r="S46" s="273"/>
      <c r="T46" s="274"/>
      <c r="U46" s="270"/>
      <c r="V46" s="270"/>
      <c r="W46" s="270"/>
      <c r="X46" s="271"/>
      <c r="Y46" s="272"/>
      <c r="Z46" s="270"/>
      <c r="AA46" s="270"/>
      <c r="AB46" s="270"/>
      <c r="AC46" s="273"/>
      <c r="AD46" s="274"/>
      <c r="AE46" s="270"/>
      <c r="AF46" s="270"/>
      <c r="AG46" s="270"/>
      <c r="AH46" s="271"/>
      <c r="AI46" s="272"/>
      <c r="AJ46" s="270"/>
      <c r="AK46" s="270"/>
      <c r="AL46" s="270"/>
      <c r="AM46" s="273"/>
      <c r="AN46" s="274"/>
      <c r="AO46" s="270"/>
      <c r="AP46" s="270"/>
      <c r="AQ46" s="270"/>
      <c r="AR46" s="271"/>
      <c r="AS46" s="272"/>
      <c r="AT46" s="270"/>
      <c r="AU46" s="270"/>
      <c r="AV46" s="270"/>
      <c r="AW46" s="273"/>
      <c r="AX46" s="274"/>
      <c r="AY46" s="270"/>
      <c r="AZ46" s="270"/>
      <c r="BA46" s="270"/>
      <c r="BB46" s="271"/>
      <c r="BC46" s="272"/>
      <c r="BD46" s="270"/>
      <c r="BE46" s="270"/>
      <c r="BF46" s="270"/>
      <c r="BG46" s="273"/>
      <c r="BH46" s="274"/>
      <c r="BI46" s="270"/>
      <c r="BJ46" s="270"/>
      <c r="BK46" s="270"/>
      <c r="BL46" s="271"/>
      <c r="BM46" s="272"/>
      <c r="BN46" s="270"/>
      <c r="BO46" s="270"/>
      <c r="BP46" s="270"/>
      <c r="BQ46" s="273"/>
      <c r="BR46" s="274"/>
      <c r="BS46" s="270"/>
      <c r="BT46" s="270"/>
      <c r="BU46" s="270"/>
      <c r="BV46" s="271"/>
      <c r="BW46" s="272"/>
      <c r="BX46" s="270"/>
      <c r="BY46" s="270"/>
      <c r="BZ46" s="270"/>
      <c r="CA46" s="273"/>
    </row>
    <row r="47" spans="2:79" ht="15" customHeight="1">
      <c r="B47" s="210" t="s">
        <v>313</v>
      </c>
      <c r="C47" s="260"/>
      <c r="D47" s="260"/>
      <c r="E47" s="260"/>
      <c r="F47" s="224"/>
      <c r="G47" s="275"/>
      <c r="H47" s="209"/>
      <c r="I47" s="211"/>
      <c r="J47" s="269"/>
      <c r="K47" s="270"/>
      <c r="L47" s="270"/>
      <c r="M47" s="270"/>
      <c r="N47" s="271"/>
      <c r="O47" s="272"/>
      <c r="P47" s="270"/>
      <c r="Q47" s="270"/>
      <c r="R47" s="270"/>
      <c r="S47" s="273"/>
      <c r="T47" s="274"/>
      <c r="U47" s="270"/>
      <c r="V47" s="270"/>
      <c r="W47" s="270"/>
      <c r="X47" s="271"/>
      <c r="Y47" s="272"/>
      <c r="Z47" s="270"/>
      <c r="AA47" s="270"/>
      <c r="AB47" s="270"/>
      <c r="AC47" s="273"/>
      <c r="AD47" s="274"/>
      <c r="AE47" s="270"/>
      <c r="AF47" s="270"/>
      <c r="AG47" s="270"/>
      <c r="AH47" s="271"/>
      <c r="AI47" s="272"/>
      <c r="AJ47" s="270"/>
      <c r="AK47" s="270"/>
      <c r="AL47" s="270"/>
      <c r="AM47" s="273"/>
      <c r="AN47" s="274"/>
      <c r="AO47" s="270"/>
      <c r="AP47" s="270"/>
      <c r="AQ47" s="270"/>
      <c r="AR47" s="271"/>
      <c r="AS47" s="272"/>
      <c r="AT47" s="270"/>
      <c r="AU47" s="270"/>
      <c r="AV47" s="270"/>
      <c r="AW47" s="273"/>
      <c r="AX47" s="274"/>
      <c r="AY47" s="270"/>
      <c r="AZ47" s="270"/>
      <c r="BA47" s="270"/>
      <c r="BB47" s="271"/>
      <c r="BC47" s="272"/>
      <c r="BD47" s="270"/>
      <c r="BE47" s="270"/>
      <c r="BF47" s="270"/>
      <c r="BG47" s="273"/>
      <c r="BH47" s="274"/>
      <c r="BI47" s="270"/>
      <c r="BJ47" s="270"/>
      <c r="BK47" s="270"/>
      <c r="BL47" s="271"/>
      <c r="BM47" s="272"/>
      <c r="BN47" s="270"/>
      <c r="BO47" s="270"/>
      <c r="BP47" s="270"/>
      <c r="BQ47" s="273"/>
      <c r="BR47" s="274"/>
      <c r="BS47" s="270"/>
      <c r="BT47" s="270"/>
      <c r="BU47" s="270"/>
      <c r="BV47" s="271"/>
      <c r="BW47" s="272"/>
      <c r="BX47" s="270"/>
      <c r="BY47" s="270"/>
      <c r="BZ47" s="270"/>
      <c r="CA47" s="273"/>
    </row>
    <row r="48" spans="2:79" ht="15" customHeight="1">
      <c r="B48" s="210" t="s">
        <v>309</v>
      </c>
      <c r="C48" s="260"/>
      <c r="D48" s="260"/>
      <c r="E48" s="260"/>
      <c r="F48" s="224"/>
      <c r="G48" s="275"/>
      <c r="H48" s="209"/>
      <c r="I48" s="211"/>
      <c r="J48" s="269"/>
      <c r="K48" s="270"/>
      <c r="L48" s="270"/>
      <c r="M48" s="270"/>
      <c r="N48" s="271"/>
      <c r="O48" s="272"/>
      <c r="P48" s="270"/>
      <c r="Q48" s="270"/>
      <c r="R48" s="270"/>
      <c r="S48" s="273"/>
      <c r="T48" s="274"/>
      <c r="U48" s="270"/>
      <c r="V48" s="270"/>
      <c r="W48" s="270"/>
      <c r="X48" s="271"/>
      <c r="Y48" s="272"/>
      <c r="Z48" s="270"/>
      <c r="AA48" s="270"/>
      <c r="AB48" s="270"/>
      <c r="AC48" s="273"/>
      <c r="AD48" s="274"/>
      <c r="AE48" s="270"/>
      <c r="AF48" s="270"/>
      <c r="AG48" s="270"/>
      <c r="AH48" s="271"/>
      <c r="AI48" s="272"/>
      <c r="AJ48" s="270"/>
      <c r="AK48" s="270"/>
      <c r="AL48" s="270"/>
      <c r="AM48" s="273"/>
      <c r="AN48" s="274"/>
      <c r="AO48" s="270"/>
      <c r="AP48" s="270"/>
      <c r="AQ48" s="270"/>
      <c r="AR48" s="271"/>
      <c r="AS48" s="272"/>
      <c r="AT48" s="270"/>
      <c r="AU48" s="270"/>
      <c r="AV48" s="270"/>
      <c r="AW48" s="273"/>
      <c r="AX48" s="274"/>
      <c r="AY48" s="270"/>
      <c r="AZ48" s="270"/>
      <c r="BA48" s="270"/>
      <c r="BB48" s="271"/>
      <c r="BC48" s="272"/>
      <c r="BD48" s="270"/>
      <c r="BE48" s="270"/>
      <c r="BF48" s="270"/>
      <c r="BG48" s="273"/>
      <c r="BH48" s="274"/>
      <c r="BI48" s="270"/>
      <c r="BJ48" s="270"/>
      <c r="BK48" s="270"/>
      <c r="BL48" s="271"/>
      <c r="BM48" s="272"/>
      <c r="BN48" s="270"/>
      <c r="BO48" s="270"/>
      <c r="BP48" s="270"/>
      <c r="BQ48" s="273"/>
      <c r="BR48" s="274"/>
      <c r="BS48" s="270"/>
      <c r="BT48" s="270"/>
      <c r="BU48" s="270"/>
      <c r="BV48" s="271"/>
      <c r="BW48" s="272"/>
      <c r="BX48" s="270"/>
      <c r="BY48" s="270"/>
      <c r="BZ48" s="270"/>
      <c r="CA48" s="273"/>
    </row>
    <row r="49" spans="2:79" ht="27.75" customHeight="1">
      <c r="B49" s="210" t="s">
        <v>310</v>
      </c>
      <c r="C49" s="260"/>
      <c r="D49" s="260"/>
      <c r="E49" s="260"/>
      <c r="F49" s="223"/>
      <c r="G49" s="275"/>
      <c r="H49" s="209"/>
      <c r="I49" s="211"/>
      <c r="J49" s="269" t="e">
        <f>IF(#REF!="Yes","H",IF($B49="","",IF(AND($C49&lt;=#REF!,$D49&gt;=#REF!),IF($G49="","x","y"),"")))</f>
        <v>#REF!</v>
      </c>
      <c r="K49" s="270" t="e">
        <f>IF(#REF!="Yes","H",IF($B49="","",IF(AND($C49&lt;=#REF!,$D49&gt;=#REF!),IF($G49="","x","y"),"")))</f>
        <v>#REF!</v>
      </c>
      <c r="L49" s="270" t="e">
        <f>IF(#REF!="Yes","H",IF($B49="","",IF(AND($C49&lt;=#REF!,$D49&gt;=#REF!),IF($G49="","x","y"),"")))</f>
        <v>#REF!</v>
      </c>
      <c r="M49" s="270" t="e">
        <f>IF(#REF!="Yes","H",IF($B49="","",IF(AND($C49&lt;=#REF!,$D49&gt;=#REF!),IF($G49="","x","y"),"")))</f>
        <v>#REF!</v>
      </c>
      <c r="N49" s="271" t="e">
        <f>IF(#REF!="Yes","H",IF($B49="","",IF(AND($C49&lt;=#REF!,$D49&gt;=#REF!),IF($G49="","x","y"),"")))</f>
        <v>#REF!</v>
      </c>
      <c r="O49" s="272" t="e">
        <f>IF(#REF!="Yes","H",IF($B49="","",IF(AND($C49&lt;=#REF!,$D49&gt;=#REF!),IF($G49="","x","y"),"")))</f>
        <v>#REF!</v>
      </c>
      <c r="P49" s="270" t="e">
        <f>IF(#REF!="Yes","H",IF($B49="","",IF(AND($C49&lt;=#REF!,$D49&gt;=#REF!),IF($G49="","x","y"),"")))</f>
        <v>#REF!</v>
      </c>
      <c r="Q49" s="270" t="e">
        <f>IF(#REF!="Yes","H",IF($B49="","",IF(AND($C49&lt;=#REF!,$D49&gt;=#REF!),IF($G49="","x","y"),"")))</f>
        <v>#REF!</v>
      </c>
      <c r="R49" s="270" t="e">
        <f>IF(#REF!="Yes","H",IF($B49="","",IF(AND($C49&lt;=#REF!,$D49&gt;=#REF!),IF($G49="","x","y"),"")))</f>
        <v>#REF!</v>
      </c>
      <c r="S49" s="273" t="e">
        <f>IF(#REF!="Yes","H",IF($B49="","",IF(AND($C49&lt;=#REF!,$D49&gt;=#REF!),IF($G49="","x","y"),"")))</f>
        <v>#REF!</v>
      </c>
      <c r="T49" s="274" t="e">
        <f>IF(#REF!="Yes","H",IF($B49="","",IF(AND($C49&lt;=#REF!,$D49&gt;=#REF!),IF($G49="","x","y"),"")))</f>
        <v>#REF!</v>
      </c>
      <c r="U49" s="270" t="e">
        <f>IF(#REF!="Yes","H",IF($B49="","",IF(AND($C49&lt;=#REF!,$D49&gt;=#REF!),IF($G49="","x","y"),"")))</f>
        <v>#REF!</v>
      </c>
      <c r="V49" s="270" t="e">
        <f>IF(#REF!="Yes","H",IF($B49="","",IF(AND($C49&lt;=#REF!,$D49&gt;=#REF!),IF($G49="","x","y"),"")))</f>
        <v>#REF!</v>
      </c>
      <c r="W49" s="270" t="e">
        <f>IF(#REF!="Yes","H",IF($B49="","",IF(AND($C49&lt;=#REF!,$D49&gt;=#REF!),IF($G49="","x","y"),"")))</f>
        <v>#REF!</v>
      </c>
      <c r="X49" s="271" t="e">
        <f>IF(#REF!="Yes","H",IF($B49="","",IF(AND($C49&lt;=#REF!,$D49&gt;=#REF!),IF($G49="","x","y"),"")))</f>
        <v>#REF!</v>
      </c>
      <c r="Y49" s="272" t="e">
        <f>IF(#REF!="Yes","H",IF($B49="","",IF(AND($C49&lt;=#REF!,$D49&gt;=#REF!),IF($G49="","x","y"),"")))</f>
        <v>#REF!</v>
      </c>
      <c r="Z49" s="270" t="e">
        <f>IF(#REF!="Yes","H",IF($B49="","",IF(AND($C49&lt;=#REF!,$D49&gt;=#REF!),IF($G49="","x","y"),"")))</f>
        <v>#REF!</v>
      </c>
      <c r="AA49" s="270" t="e">
        <f>IF(#REF!="Yes","H",IF($B49="","",IF(AND($C49&lt;=#REF!,$D49&gt;=#REF!),IF($G49="","x","y"),"")))</f>
        <v>#REF!</v>
      </c>
      <c r="AB49" s="270" t="e">
        <f>IF(#REF!="Yes","H",IF($B49="","",IF(AND($C49&lt;=#REF!,$D49&gt;=#REF!),IF($G49="","x","y"),"")))</f>
        <v>#REF!</v>
      </c>
      <c r="AC49" s="273" t="e">
        <f>IF(#REF!="Yes","H",IF($B49="","",IF(AND($C49&lt;=#REF!,$D49&gt;=#REF!),IF($G49="","x","y"),"")))</f>
        <v>#REF!</v>
      </c>
      <c r="AD49" s="274" t="e">
        <f>IF(#REF!="Yes","H",IF($B49="","",IF(AND($C49&lt;=#REF!,$D49&gt;=#REF!),IF($G49="","x","y"),"")))</f>
        <v>#REF!</v>
      </c>
      <c r="AE49" s="270" t="e">
        <f>IF(#REF!="Yes","H",IF($B49="","",IF(AND($C49&lt;=#REF!,$D49&gt;=#REF!),IF($G49="","x","y"),"")))</f>
        <v>#REF!</v>
      </c>
      <c r="AF49" s="270" t="e">
        <f>IF(#REF!="Yes","H",IF($B49="","",IF(AND($C49&lt;=#REF!,$D49&gt;=#REF!),IF($G49="","x","y"),"")))</f>
        <v>#REF!</v>
      </c>
      <c r="AG49" s="270" t="e">
        <f>IF(#REF!="Yes","H",IF($B49="","",IF(AND($C49&lt;=#REF!,$D49&gt;=#REF!),IF($G49="","x","y"),"")))</f>
        <v>#REF!</v>
      </c>
      <c r="AH49" s="271" t="e">
        <f>IF(#REF!="Yes","H",IF($B49="","",IF(AND($C49&lt;=#REF!,$D49&gt;=#REF!),IF($G49="","x","y"),"")))</f>
        <v>#REF!</v>
      </c>
      <c r="AI49" s="272" t="e">
        <f>IF(#REF!="Yes","H",IF($B49="","",IF(AND($C49&lt;=#REF!,$D49&gt;=#REF!),IF($G49="","x","y"),"")))</f>
        <v>#REF!</v>
      </c>
      <c r="AJ49" s="270" t="e">
        <f>IF(#REF!="Yes","H",IF($B49="","",IF(AND($C49&lt;=#REF!,$D49&gt;=#REF!),IF($G49="","x","y"),"")))</f>
        <v>#REF!</v>
      </c>
      <c r="AK49" s="270" t="e">
        <f>IF(#REF!="Yes","H",IF($B49="","",IF(AND($C49&lt;=#REF!,$D49&gt;=#REF!),IF($G49="","x","y"),"")))</f>
        <v>#REF!</v>
      </c>
      <c r="AL49" s="270" t="e">
        <f>IF(#REF!="Yes","H",IF($B49="","",IF(AND($C49&lt;=#REF!,$D49&gt;=#REF!),IF($G49="","x","y"),"")))</f>
        <v>#REF!</v>
      </c>
      <c r="AM49" s="273" t="e">
        <f>IF(#REF!="Yes","H",IF($B49="","",IF(AND($C49&lt;=#REF!,$D49&gt;=#REF!),IF($G49="","x","y"),"")))</f>
        <v>#REF!</v>
      </c>
      <c r="AN49" s="274" t="e">
        <f>IF(#REF!="Yes","H",IF($B49="","",IF(AND($C49&lt;=#REF!,$D49&gt;=#REF!),IF($G49="","x","y"),"")))</f>
        <v>#REF!</v>
      </c>
      <c r="AO49" s="270" t="e">
        <f>IF(#REF!="Yes","H",IF($B49="","",IF(AND($C49&lt;=#REF!,$D49&gt;=#REF!),IF($G49="","x","y"),"")))</f>
        <v>#REF!</v>
      </c>
      <c r="AP49" s="270" t="e">
        <f>IF(#REF!="Yes","H",IF($B49="","",IF(AND($C49&lt;=#REF!,$D49&gt;=#REF!),IF($G49="","x","y"),"")))</f>
        <v>#REF!</v>
      </c>
      <c r="AQ49" s="270" t="e">
        <f>IF(#REF!="Yes","H",IF($B49="","",IF(AND($C49&lt;=#REF!,$D49&gt;=#REF!),IF($G49="","x","y"),"")))</f>
        <v>#REF!</v>
      </c>
      <c r="AR49" s="271" t="e">
        <f>IF(#REF!="Yes","H",IF($B49="","",IF(AND($C49&lt;=#REF!,$D49&gt;=#REF!),IF($G49="","x","y"),"")))</f>
        <v>#REF!</v>
      </c>
      <c r="AS49" s="272" t="e">
        <f>IF(#REF!="Yes","H",IF($B49="","",IF(AND($C49&lt;=#REF!,$D49&gt;=#REF!),IF($G49="","x","y"),"")))</f>
        <v>#REF!</v>
      </c>
      <c r="AT49" s="270" t="e">
        <f>IF(#REF!="Yes","H",IF($B49="","",IF(AND($C49&lt;=#REF!,$D49&gt;=#REF!),IF($G49="","x","y"),"")))</f>
        <v>#REF!</v>
      </c>
      <c r="AU49" s="270" t="e">
        <f>IF(#REF!="Yes","H",IF($B49="","",IF(AND($C49&lt;=#REF!,$D49&gt;=#REF!),IF($G49="","x","y"),"")))</f>
        <v>#REF!</v>
      </c>
      <c r="AV49" s="270" t="e">
        <f>IF(#REF!="Yes","H",IF($B49="","",IF(AND($C49&lt;=#REF!,$D49&gt;=#REF!),IF($G49="","x","y"),"")))</f>
        <v>#REF!</v>
      </c>
      <c r="AW49" s="273" t="e">
        <f>IF(#REF!="Yes","H",IF($B49="","",IF(AND($C49&lt;=#REF!,$D49&gt;=#REF!),IF($G49="","x","y"),"")))</f>
        <v>#REF!</v>
      </c>
      <c r="AX49" s="274" t="e">
        <f>IF(#REF!="Yes","H",IF($B49="","",IF(AND($C49&lt;=#REF!,$D49&gt;=#REF!),IF($G49="","x","y"),"")))</f>
        <v>#REF!</v>
      </c>
      <c r="AY49" s="270" t="e">
        <f>IF(#REF!="Yes","H",IF($B49="","",IF(AND($C49&lt;=#REF!,$D49&gt;=#REF!),IF($G49="","x","y"),"")))</f>
        <v>#REF!</v>
      </c>
      <c r="AZ49" s="270" t="e">
        <f>IF(#REF!="Yes","H",IF($B49="","",IF(AND($C49&lt;=#REF!,$D49&gt;=#REF!),IF($G49="","x","y"),"")))</f>
        <v>#REF!</v>
      </c>
      <c r="BA49" s="270" t="e">
        <f>IF(#REF!="Yes","H",IF($B49="","",IF(AND($C49&lt;=#REF!,$D49&gt;=#REF!),IF($G49="","x","y"),"")))</f>
        <v>#REF!</v>
      </c>
      <c r="BB49" s="271" t="e">
        <f>IF(#REF!="Yes","H",IF($B49="","",IF(AND($C49&lt;=#REF!,$D49&gt;=#REF!),IF($G49="","x","y"),"")))</f>
        <v>#REF!</v>
      </c>
      <c r="BC49" s="272" t="e">
        <f>IF(#REF!="Yes","H",IF($B49="","",IF(AND($C49&lt;=#REF!,$D49&gt;=#REF!),IF($G49="","x","y"),"")))</f>
        <v>#REF!</v>
      </c>
      <c r="BD49" s="270" t="e">
        <f>IF(#REF!="Yes","H",IF($B49="","",IF(AND($C49&lt;=#REF!,$D49&gt;=#REF!),IF($G49="","x","y"),"")))</f>
        <v>#REF!</v>
      </c>
      <c r="BE49" s="270" t="e">
        <f>IF(#REF!="Yes","H",IF($B49="","",IF(AND($C49&lt;=#REF!,$D49&gt;=#REF!),IF($G49="","x","y"),"")))</f>
        <v>#REF!</v>
      </c>
      <c r="BF49" s="270" t="e">
        <f>IF(#REF!="Yes","H",IF($B49="","",IF(AND($C49&lt;=#REF!,$D49&gt;=#REF!),IF($G49="","x","y"),"")))</f>
        <v>#REF!</v>
      </c>
      <c r="BG49" s="273" t="e">
        <f>IF(#REF!="Yes","H",IF($B49="","",IF(AND($C49&lt;=#REF!,$D49&gt;=#REF!),IF($G49="","x","y"),"")))</f>
        <v>#REF!</v>
      </c>
      <c r="BH49" s="274" t="e">
        <f>IF(#REF!="Yes","H",IF($B49="","",IF(AND($C49&lt;=#REF!,$D49&gt;=#REF!),IF($G49="","x","y"),"")))</f>
        <v>#REF!</v>
      </c>
      <c r="BI49" s="270" t="e">
        <f>IF(#REF!="Yes","H",IF($B49="","",IF(AND($C49&lt;=#REF!,$D49&gt;=#REF!),IF($G49="","x","y"),"")))</f>
        <v>#REF!</v>
      </c>
      <c r="BJ49" s="270" t="e">
        <f>IF(#REF!="Yes","H",IF($B49="","",IF(AND($C49&lt;=#REF!,$D49&gt;=#REF!),IF($G49="","x","y"),"")))</f>
        <v>#REF!</v>
      </c>
      <c r="BK49" s="270" t="e">
        <f>IF(#REF!="Yes","H",IF($B49="","",IF(AND($C49&lt;=#REF!,$D49&gt;=#REF!),IF($G49="","x","y"),"")))</f>
        <v>#REF!</v>
      </c>
      <c r="BL49" s="271" t="e">
        <f>IF(#REF!="Yes","H",IF($B49="","",IF(AND($C49&lt;=#REF!,$D49&gt;=#REF!),IF($G49="","x","y"),"")))</f>
        <v>#REF!</v>
      </c>
      <c r="BM49" s="272" t="e">
        <f>IF(#REF!="Yes","H",IF($B49="","",IF(AND($C49&lt;=#REF!,$D49&gt;=#REF!),IF($G49="","x","y"),"")))</f>
        <v>#REF!</v>
      </c>
      <c r="BN49" s="270" t="e">
        <f>IF(#REF!="Yes","H",IF($B49="","",IF(AND($C49&lt;=#REF!,$D49&gt;=#REF!),IF($G49="","x","y"),"")))</f>
        <v>#REF!</v>
      </c>
      <c r="BO49" s="270" t="e">
        <f>IF(#REF!="Yes","H",IF($B49="","",IF(AND($C49&lt;=#REF!,$D49&gt;=#REF!),IF($G49="","x","y"),"")))</f>
        <v>#REF!</v>
      </c>
      <c r="BP49" s="270" t="e">
        <f>IF(#REF!="Yes","H",IF($B49="","",IF(AND($C49&lt;=#REF!,$D49&gt;=#REF!),IF($G49="","x","y"),"")))</f>
        <v>#REF!</v>
      </c>
      <c r="BQ49" s="273" t="e">
        <f>IF(#REF!="Yes","H",IF($B49="","",IF(AND($C49&lt;=#REF!,$D49&gt;=#REF!),IF($G49="","x","y"),"")))</f>
        <v>#REF!</v>
      </c>
      <c r="BR49" s="274" t="e">
        <f>IF(#REF!="Yes","H",IF($B49="","",IF(AND($C49&lt;=#REF!,$D49&gt;=#REF!),IF($G49="","x","y"),"")))</f>
        <v>#REF!</v>
      </c>
      <c r="BS49" s="270" t="e">
        <f>IF(#REF!="Yes","H",IF($B49="","",IF(AND($C49&lt;=#REF!,$D49&gt;=#REF!),IF($G49="","x","y"),"")))</f>
        <v>#REF!</v>
      </c>
      <c r="BT49" s="270" t="e">
        <f>IF(#REF!="Yes","H",IF($B49="","",IF(AND($C49&lt;=#REF!,$D49&gt;=#REF!),IF($G49="","x","y"),"")))</f>
        <v>#REF!</v>
      </c>
      <c r="BU49" s="270" t="e">
        <f>IF(#REF!="Yes","H",IF($B49="","",IF(AND($C49&lt;=#REF!,$D49&gt;=#REF!),IF($G49="","x","y"),"")))</f>
        <v>#REF!</v>
      </c>
      <c r="BV49" s="271" t="e">
        <f>IF(#REF!="Yes","H",IF($B49="","",IF(AND($C49&lt;=#REF!,$D49&gt;=#REF!),IF($G49="","x","y"),"")))</f>
        <v>#REF!</v>
      </c>
      <c r="BW49" s="272" t="e">
        <f>IF(#REF!="Yes","H",IF($B49="","",IF(AND($C49&lt;=#REF!,$D49&gt;=#REF!),IF($G49="","x","y"),"")))</f>
        <v>#REF!</v>
      </c>
      <c r="BX49" s="270" t="e">
        <f>IF(#REF!="Yes","H",IF($B49="","",IF(AND($C49&lt;=#REF!,$D49&gt;=#REF!),IF($G49="","x","y"),"")))</f>
        <v>#REF!</v>
      </c>
      <c r="BY49" s="270" t="e">
        <f>IF(#REF!="Yes","H",IF($B49="","",IF(AND($C49&lt;=#REF!,$D49&gt;=#REF!),IF($G49="","x","y"),"")))</f>
        <v>#REF!</v>
      </c>
      <c r="BZ49" s="270" t="e">
        <f>IF(#REF!="Yes","H",IF($B49="","",IF(AND($C49&lt;=#REF!,$D49&gt;=#REF!),IF($G49="","x","y"),"")))</f>
        <v>#REF!</v>
      </c>
      <c r="CA49" s="273" t="e">
        <f>IF(#REF!="Yes","H",IF($B49="","",IF(AND($C49&lt;=#REF!,$D49&gt;=#REF!),IF($G49="","x","y"),"")))</f>
        <v>#REF!</v>
      </c>
    </row>
    <row r="50" spans="2:79" ht="15" customHeight="1">
      <c r="B50" s="210"/>
      <c r="C50" s="260"/>
      <c r="D50" s="260"/>
      <c r="E50" s="260"/>
      <c r="F50" s="224"/>
      <c r="G50" s="275"/>
      <c r="H50" s="209"/>
      <c r="I50" s="211"/>
      <c r="J50" s="269" t="e">
        <f>IF(#REF!="Yes","H",IF($B50="","",IF(AND($C50&lt;=#REF!,$D50&gt;=#REF!),IF($G50="","x","y"),"")))</f>
        <v>#REF!</v>
      </c>
      <c r="K50" s="270" t="e">
        <f>IF(#REF!="Yes","H",IF($B50="","",IF(AND($C50&lt;=#REF!,$D50&gt;=#REF!),IF($G50="","x","y"),"")))</f>
        <v>#REF!</v>
      </c>
      <c r="L50" s="270" t="e">
        <f>IF(#REF!="Yes","H",IF($B50="","",IF(AND($C50&lt;=#REF!,$D50&gt;=#REF!),IF($G50="","x","y"),"")))</f>
        <v>#REF!</v>
      </c>
      <c r="M50" s="270" t="e">
        <f>IF(#REF!="Yes","H",IF($B50="","",IF(AND($C50&lt;=#REF!,$D50&gt;=#REF!),IF($G50="","x","y"),"")))</f>
        <v>#REF!</v>
      </c>
      <c r="N50" s="271" t="e">
        <f>IF(#REF!="Yes","H",IF($B50="","",IF(AND($C50&lt;=#REF!,$D50&gt;=#REF!),IF($G50="","x","y"),"")))</f>
        <v>#REF!</v>
      </c>
      <c r="O50" s="272" t="e">
        <f>IF(#REF!="Yes","H",IF($B50="","",IF(AND($C50&lt;=#REF!,$D50&gt;=#REF!),IF($G50="","x","y"),"")))</f>
        <v>#REF!</v>
      </c>
      <c r="P50" s="270" t="e">
        <f>IF(#REF!="Yes","H",IF($B50="","",IF(AND($C50&lt;=#REF!,$D50&gt;=#REF!),IF($G50="","x","y"),"")))</f>
        <v>#REF!</v>
      </c>
      <c r="Q50" s="270" t="e">
        <f>IF(#REF!="Yes","H",IF($B50="","",IF(AND($C50&lt;=#REF!,$D50&gt;=#REF!),IF($G50="","x","y"),"")))</f>
        <v>#REF!</v>
      </c>
      <c r="R50" s="270" t="e">
        <f>IF(#REF!="Yes","H",IF($B50="","",IF(AND($C50&lt;=#REF!,$D50&gt;=#REF!),IF($G50="","x","y"),"")))</f>
        <v>#REF!</v>
      </c>
      <c r="S50" s="273" t="e">
        <f>IF(#REF!="Yes","H",IF($B50="","",IF(AND($C50&lt;=#REF!,$D50&gt;=#REF!),IF($G50="","x","y"),"")))</f>
        <v>#REF!</v>
      </c>
      <c r="T50" s="274" t="e">
        <f>IF(#REF!="Yes","H",IF($B50="","",IF(AND($C50&lt;=#REF!,$D50&gt;=#REF!),IF($G50="","x","y"),"")))</f>
        <v>#REF!</v>
      </c>
      <c r="U50" s="270" t="e">
        <f>IF(#REF!="Yes","H",IF($B50="","",IF(AND($C50&lt;=#REF!,$D50&gt;=#REF!),IF($G50="","x","y"),"")))</f>
        <v>#REF!</v>
      </c>
      <c r="V50" s="270" t="e">
        <f>IF(#REF!="Yes","H",IF($B50="","",IF(AND($C50&lt;=#REF!,$D50&gt;=#REF!),IF($G50="","x","y"),"")))</f>
        <v>#REF!</v>
      </c>
      <c r="W50" s="270" t="e">
        <f>IF(#REF!="Yes","H",IF($B50="","",IF(AND($C50&lt;=#REF!,$D50&gt;=#REF!),IF($G50="","x","y"),"")))</f>
        <v>#REF!</v>
      </c>
      <c r="X50" s="271" t="e">
        <f>IF(#REF!="Yes","H",IF($B50="","",IF(AND($C50&lt;=#REF!,$D50&gt;=#REF!),IF($G50="","x","y"),"")))</f>
        <v>#REF!</v>
      </c>
      <c r="Y50" s="272" t="e">
        <f>IF(#REF!="Yes","H",IF($B50="","",IF(AND($C50&lt;=#REF!,$D50&gt;=#REF!),IF($G50="","x","y"),"")))</f>
        <v>#REF!</v>
      </c>
      <c r="Z50" s="270" t="e">
        <f>IF(#REF!="Yes","H",IF($B50="","",IF(AND($C50&lt;=#REF!,$D50&gt;=#REF!),IF($G50="","x","y"),"")))</f>
        <v>#REF!</v>
      </c>
      <c r="AA50" s="270" t="e">
        <f>IF(#REF!="Yes","H",IF($B50="","",IF(AND($C50&lt;=#REF!,$D50&gt;=#REF!),IF($G50="","x","y"),"")))</f>
        <v>#REF!</v>
      </c>
      <c r="AB50" s="270" t="e">
        <f>IF(#REF!="Yes","H",IF($B50="","",IF(AND($C50&lt;=#REF!,$D50&gt;=#REF!),IF($G50="","x","y"),"")))</f>
        <v>#REF!</v>
      </c>
      <c r="AC50" s="273" t="e">
        <f>IF(#REF!="Yes","H",IF($B50="","",IF(AND($C50&lt;=#REF!,$D50&gt;=#REF!),IF($G50="","x","y"),"")))</f>
        <v>#REF!</v>
      </c>
      <c r="AD50" s="274" t="e">
        <f>IF(#REF!="Yes","H",IF($B50="","",IF(AND($C50&lt;=#REF!,$D50&gt;=#REF!),IF($G50="","x","y"),"")))</f>
        <v>#REF!</v>
      </c>
      <c r="AE50" s="270" t="e">
        <f>IF(#REF!="Yes","H",IF($B50="","",IF(AND($C50&lt;=#REF!,$D50&gt;=#REF!),IF($G50="","x","y"),"")))</f>
        <v>#REF!</v>
      </c>
      <c r="AF50" s="270" t="e">
        <f>IF(#REF!="Yes","H",IF($B50="","",IF(AND($C50&lt;=#REF!,$D50&gt;=#REF!),IF($G50="","x","y"),"")))</f>
        <v>#REF!</v>
      </c>
      <c r="AG50" s="270" t="e">
        <f>IF(#REF!="Yes","H",IF($B50="","",IF(AND($C50&lt;=#REF!,$D50&gt;=#REF!),IF($G50="","x","y"),"")))</f>
        <v>#REF!</v>
      </c>
      <c r="AH50" s="271" t="e">
        <f>IF(#REF!="Yes","H",IF($B50="","",IF(AND($C50&lt;=#REF!,$D50&gt;=#REF!),IF($G50="","x","y"),"")))</f>
        <v>#REF!</v>
      </c>
      <c r="AI50" s="272" t="e">
        <f>IF(#REF!="Yes","H",IF($B50="","",IF(AND($C50&lt;=#REF!,$D50&gt;=#REF!),IF($G50="","x","y"),"")))</f>
        <v>#REF!</v>
      </c>
      <c r="AJ50" s="270" t="e">
        <f>IF(#REF!="Yes","H",IF($B50="","",IF(AND($C50&lt;=#REF!,$D50&gt;=#REF!),IF($G50="","x","y"),"")))</f>
        <v>#REF!</v>
      </c>
      <c r="AK50" s="270" t="e">
        <f>IF(#REF!="Yes","H",IF($B50="","",IF(AND($C50&lt;=#REF!,$D50&gt;=#REF!),IF($G50="","x","y"),"")))</f>
        <v>#REF!</v>
      </c>
      <c r="AL50" s="270" t="e">
        <f>IF(#REF!="Yes","H",IF($B50="","",IF(AND($C50&lt;=#REF!,$D50&gt;=#REF!),IF($G50="","x","y"),"")))</f>
        <v>#REF!</v>
      </c>
      <c r="AM50" s="273" t="e">
        <f>IF(#REF!="Yes","H",IF($B50="","",IF(AND($C50&lt;=#REF!,$D50&gt;=#REF!),IF($G50="","x","y"),"")))</f>
        <v>#REF!</v>
      </c>
      <c r="AN50" s="274" t="e">
        <f>IF(#REF!="Yes","H",IF($B50="","",IF(AND($C50&lt;=#REF!,$D50&gt;=#REF!),IF($G50="","x","y"),"")))</f>
        <v>#REF!</v>
      </c>
      <c r="AO50" s="270" t="e">
        <f>IF(#REF!="Yes","H",IF($B50="","",IF(AND($C50&lt;=#REF!,$D50&gt;=#REF!),IF($G50="","x","y"),"")))</f>
        <v>#REF!</v>
      </c>
      <c r="AP50" s="270" t="e">
        <f>IF(#REF!="Yes","H",IF($B50="","",IF(AND($C50&lt;=#REF!,$D50&gt;=#REF!),IF($G50="","x","y"),"")))</f>
        <v>#REF!</v>
      </c>
      <c r="AQ50" s="270" t="e">
        <f>IF(#REF!="Yes","H",IF($B50="","",IF(AND($C50&lt;=#REF!,$D50&gt;=#REF!),IF($G50="","x","y"),"")))</f>
        <v>#REF!</v>
      </c>
      <c r="AR50" s="271" t="e">
        <f>IF(#REF!="Yes","H",IF($B50="","",IF(AND($C50&lt;=#REF!,$D50&gt;=#REF!),IF($G50="","x","y"),"")))</f>
        <v>#REF!</v>
      </c>
      <c r="AS50" s="272" t="e">
        <f>IF(#REF!="Yes","H",IF($B50="","",IF(AND($C50&lt;=#REF!,$D50&gt;=#REF!),IF($G50="","x","y"),"")))</f>
        <v>#REF!</v>
      </c>
      <c r="AT50" s="270" t="e">
        <f>IF(#REF!="Yes","H",IF($B50="","",IF(AND($C50&lt;=#REF!,$D50&gt;=#REF!),IF($G50="","x","y"),"")))</f>
        <v>#REF!</v>
      </c>
      <c r="AU50" s="270" t="e">
        <f>IF(#REF!="Yes","H",IF($B50="","",IF(AND($C50&lt;=#REF!,$D50&gt;=#REF!),IF($G50="","x","y"),"")))</f>
        <v>#REF!</v>
      </c>
      <c r="AV50" s="270" t="e">
        <f>IF(#REF!="Yes","H",IF($B50="","",IF(AND($C50&lt;=#REF!,$D50&gt;=#REF!),IF($G50="","x","y"),"")))</f>
        <v>#REF!</v>
      </c>
      <c r="AW50" s="273" t="e">
        <f>IF(#REF!="Yes","H",IF($B50="","",IF(AND($C50&lt;=#REF!,$D50&gt;=#REF!),IF($G50="","x","y"),"")))</f>
        <v>#REF!</v>
      </c>
      <c r="AX50" s="274" t="e">
        <f>IF(#REF!="Yes","H",IF($B50="","",IF(AND($C50&lt;=#REF!,$D50&gt;=#REF!),IF($G50="","x","y"),"")))</f>
        <v>#REF!</v>
      </c>
      <c r="AY50" s="270" t="e">
        <f>IF(#REF!="Yes","H",IF($B50="","",IF(AND($C50&lt;=#REF!,$D50&gt;=#REF!),IF($G50="","x","y"),"")))</f>
        <v>#REF!</v>
      </c>
      <c r="AZ50" s="270" t="e">
        <f>IF(#REF!="Yes","H",IF($B50="","",IF(AND($C50&lt;=#REF!,$D50&gt;=#REF!),IF($G50="","x","y"),"")))</f>
        <v>#REF!</v>
      </c>
      <c r="BA50" s="270" t="e">
        <f>IF(#REF!="Yes","H",IF($B50="","",IF(AND($C50&lt;=#REF!,$D50&gt;=#REF!),IF($G50="","x","y"),"")))</f>
        <v>#REF!</v>
      </c>
      <c r="BB50" s="271" t="e">
        <f>IF(#REF!="Yes","H",IF($B50="","",IF(AND($C50&lt;=#REF!,$D50&gt;=#REF!),IF($G50="","x","y"),"")))</f>
        <v>#REF!</v>
      </c>
      <c r="BC50" s="272" t="e">
        <f>IF(#REF!="Yes","H",IF($B50="","",IF(AND($C50&lt;=#REF!,$D50&gt;=#REF!),IF($G50="","x","y"),"")))</f>
        <v>#REF!</v>
      </c>
      <c r="BD50" s="270" t="e">
        <f>IF(#REF!="Yes","H",IF($B50="","",IF(AND($C50&lt;=#REF!,$D50&gt;=#REF!),IF($G50="","x","y"),"")))</f>
        <v>#REF!</v>
      </c>
      <c r="BE50" s="270" t="e">
        <f>IF(#REF!="Yes","H",IF($B50="","",IF(AND($C50&lt;=#REF!,$D50&gt;=#REF!),IF($G50="","x","y"),"")))</f>
        <v>#REF!</v>
      </c>
      <c r="BF50" s="270" t="e">
        <f>IF(#REF!="Yes","H",IF($B50="","",IF(AND($C50&lt;=#REF!,$D50&gt;=#REF!),IF($G50="","x","y"),"")))</f>
        <v>#REF!</v>
      </c>
      <c r="BG50" s="273" t="e">
        <f>IF(#REF!="Yes","H",IF($B50="","",IF(AND($C50&lt;=#REF!,$D50&gt;=#REF!),IF($G50="","x","y"),"")))</f>
        <v>#REF!</v>
      </c>
      <c r="BH50" s="274" t="e">
        <f>IF(#REF!="Yes","H",IF($B50="","",IF(AND($C50&lt;=#REF!,$D50&gt;=#REF!),IF($G50="","x","y"),"")))</f>
        <v>#REF!</v>
      </c>
      <c r="BI50" s="270" t="e">
        <f>IF(#REF!="Yes","H",IF($B50="","",IF(AND($C50&lt;=#REF!,$D50&gt;=#REF!),IF($G50="","x","y"),"")))</f>
        <v>#REF!</v>
      </c>
      <c r="BJ50" s="270" t="e">
        <f>IF(#REF!="Yes","H",IF($B50="","",IF(AND($C50&lt;=#REF!,$D50&gt;=#REF!),IF($G50="","x","y"),"")))</f>
        <v>#REF!</v>
      </c>
      <c r="BK50" s="270" t="e">
        <f>IF(#REF!="Yes","H",IF($B50="","",IF(AND($C50&lt;=#REF!,$D50&gt;=#REF!),IF($G50="","x","y"),"")))</f>
        <v>#REF!</v>
      </c>
      <c r="BL50" s="271" t="e">
        <f>IF(#REF!="Yes","H",IF($B50="","",IF(AND($C50&lt;=#REF!,$D50&gt;=#REF!),IF($G50="","x","y"),"")))</f>
        <v>#REF!</v>
      </c>
      <c r="BM50" s="272" t="e">
        <f>IF(#REF!="Yes","H",IF($B50="","",IF(AND($C50&lt;=#REF!,$D50&gt;=#REF!),IF($G50="","x","y"),"")))</f>
        <v>#REF!</v>
      </c>
      <c r="BN50" s="270" t="e">
        <f>IF(#REF!="Yes","H",IF($B50="","",IF(AND($C50&lt;=#REF!,$D50&gt;=#REF!),IF($G50="","x","y"),"")))</f>
        <v>#REF!</v>
      </c>
      <c r="BO50" s="270" t="e">
        <f>IF(#REF!="Yes","H",IF($B50="","",IF(AND($C50&lt;=#REF!,$D50&gt;=#REF!),IF($G50="","x","y"),"")))</f>
        <v>#REF!</v>
      </c>
      <c r="BP50" s="270" t="e">
        <f>IF(#REF!="Yes","H",IF($B50="","",IF(AND($C50&lt;=#REF!,$D50&gt;=#REF!),IF($G50="","x","y"),"")))</f>
        <v>#REF!</v>
      </c>
      <c r="BQ50" s="273" t="e">
        <f>IF(#REF!="Yes","H",IF($B50="","",IF(AND($C50&lt;=#REF!,$D50&gt;=#REF!),IF($G50="","x","y"),"")))</f>
        <v>#REF!</v>
      </c>
      <c r="BR50" s="274" t="e">
        <f>IF(#REF!="Yes","H",IF($B50="","",IF(AND($C50&lt;=#REF!,$D50&gt;=#REF!),IF($G50="","x","y"),"")))</f>
        <v>#REF!</v>
      </c>
      <c r="BS50" s="270" t="e">
        <f>IF(#REF!="Yes","H",IF($B50="","",IF(AND($C50&lt;=#REF!,$D50&gt;=#REF!),IF($G50="","x","y"),"")))</f>
        <v>#REF!</v>
      </c>
      <c r="BT50" s="270" t="e">
        <f>IF(#REF!="Yes","H",IF($B50="","",IF(AND($C50&lt;=#REF!,$D50&gt;=#REF!),IF($G50="","x","y"),"")))</f>
        <v>#REF!</v>
      </c>
      <c r="BU50" s="270" t="e">
        <f>IF(#REF!="Yes","H",IF($B50="","",IF(AND($C50&lt;=#REF!,$D50&gt;=#REF!),IF($G50="","x","y"),"")))</f>
        <v>#REF!</v>
      </c>
      <c r="BV50" s="271" t="e">
        <f>IF(#REF!="Yes","H",IF($B50="","",IF(AND($C50&lt;=#REF!,$D50&gt;=#REF!),IF($G50="","x","y"),"")))</f>
        <v>#REF!</v>
      </c>
      <c r="BW50" s="272" t="e">
        <f>IF(#REF!="Yes","H",IF($B50="","",IF(AND($C50&lt;=#REF!,$D50&gt;=#REF!),IF($G50="","x","y"),"")))</f>
        <v>#REF!</v>
      </c>
      <c r="BX50" s="270" t="e">
        <f>IF(#REF!="Yes","H",IF($B50="","",IF(AND($C50&lt;=#REF!,$D50&gt;=#REF!),IF($G50="","x","y"),"")))</f>
        <v>#REF!</v>
      </c>
      <c r="BY50" s="270" t="e">
        <f>IF(#REF!="Yes","H",IF($B50="","",IF(AND($C50&lt;=#REF!,$D50&gt;=#REF!),IF($G50="","x","y"),"")))</f>
        <v>#REF!</v>
      </c>
      <c r="BZ50" s="270" t="e">
        <f>IF(#REF!="Yes","H",IF($B50="","",IF(AND($C50&lt;=#REF!,$D50&gt;=#REF!),IF($G50="","x","y"),"")))</f>
        <v>#REF!</v>
      </c>
      <c r="CA50" s="273" t="e">
        <f>IF(#REF!="Yes","H",IF($B50="","",IF(AND($C50&lt;=#REF!,$D50&gt;=#REF!),IF($G50="","x","y"),"")))</f>
        <v>#REF!</v>
      </c>
    </row>
    <row r="51" spans="2:79" ht="15" customHeight="1">
      <c r="B51" s="210"/>
      <c r="C51" s="260"/>
      <c r="D51" s="260"/>
      <c r="E51" s="260"/>
      <c r="F51" s="224"/>
      <c r="G51" s="275"/>
      <c r="H51" s="209"/>
      <c r="I51" s="211"/>
      <c r="J51" s="269" t="e">
        <f>IF(#REF!="Yes","H",IF($B51="","",IF(AND($C51&lt;=#REF!,$D51&gt;=#REF!),IF($G51="","x","y"),"")))</f>
        <v>#REF!</v>
      </c>
      <c r="K51" s="270" t="e">
        <f>IF(#REF!="Yes","H",IF($B51="","",IF(AND($C51&lt;=#REF!,$D51&gt;=#REF!),IF($G51="","x","y"),"")))</f>
        <v>#REF!</v>
      </c>
      <c r="L51" s="270" t="e">
        <f>IF(#REF!="Yes","H",IF($B51="","",IF(AND($C51&lt;=#REF!,$D51&gt;=#REF!),IF($G51="","x","y"),"")))</f>
        <v>#REF!</v>
      </c>
      <c r="M51" s="270" t="e">
        <f>IF(#REF!="Yes","H",IF($B51="","",IF(AND($C51&lt;=#REF!,$D51&gt;=#REF!),IF($G51="","x","y"),"")))</f>
        <v>#REF!</v>
      </c>
      <c r="N51" s="271" t="e">
        <f>IF(#REF!="Yes","H",IF($B51="","",IF(AND($C51&lt;=#REF!,$D51&gt;=#REF!),IF($G51="","x","y"),"")))</f>
        <v>#REF!</v>
      </c>
      <c r="O51" s="272" t="e">
        <f>IF(#REF!="Yes","H",IF($B51="","",IF(AND($C51&lt;=#REF!,$D51&gt;=#REF!),IF($G51="","x","y"),"")))</f>
        <v>#REF!</v>
      </c>
      <c r="P51" s="270" t="e">
        <f>IF(#REF!="Yes","H",IF($B51="","",IF(AND($C51&lt;=#REF!,$D51&gt;=#REF!),IF($G51="","x","y"),"")))</f>
        <v>#REF!</v>
      </c>
      <c r="Q51" s="270" t="e">
        <f>IF(#REF!="Yes","H",IF($B51="","",IF(AND($C51&lt;=#REF!,$D51&gt;=#REF!),IF($G51="","x","y"),"")))</f>
        <v>#REF!</v>
      </c>
      <c r="R51" s="270" t="e">
        <f>IF(#REF!="Yes","H",IF($B51="","",IF(AND($C51&lt;=#REF!,$D51&gt;=#REF!),IF($G51="","x","y"),"")))</f>
        <v>#REF!</v>
      </c>
      <c r="S51" s="273" t="e">
        <f>IF(#REF!="Yes","H",IF($B51="","",IF(AND($C51&lt;=#REF!,$D51&gt;=#REF!),IF($G51="","x","y"),"")))</f>
        <v>#REF!</v>
      </c>
      <c r="T51" s="274" t="e">
        <f>IF(#REF!="Yes","H",IF($B51="","",IF(AND($C51&lt;=#REF!,$D51&gt;=#REF!),IF($G51="","x","y"),"")))</f>
        <v>#REF!</v>
      </c>
      <c r="U51" s="270" t="e">
        <f>IF(#REF!="Yes","H",IF($B51="","",IF(AND($C51&lt;=#REF!,$D51&gt;=#REF!),IF($G51="","x","y"),"")))</f>
        <v>#REF!</v>
      </c>
      <c r="V51" s="270" t="e">
        <f>IF(#REF!="Yes","H",IF($B51="","",IF(AND($C51&lt;=#REF!,$D51&gt;=#REF!),IF($G51="","x","y"),"")))</f>
        <v>#REF!</v>
      </c>
      <c r="W51" s="270" t="e">
        <f>IF(#REF!="Yes","H",IF($B51="","",IF(AND($C51&lt;=#REF!,$D51&gt;=#REF!),IF($G51="","x","y"),"")))</f>
        <v>#REF!</v>
      </c>
      <c r="X51" s="271" t="e">
        <f>IF(#REF!="Yes","H",IF($B51="","",IF(AND($C51&lt;=#REF!,$D51&gt;=#REF!),IF($G51="","x","y"),"")))</f>
        <v>#REF!</v>
      </c>
      <c r="Y51" s="272" t="e">
        <f>IF(#REF!="Yes","H",IF($B51="","",IF(AND($C51&lt;=#REF!,$D51&gt;=#REF!),IF($G51="","x","y"),"")))</f>
        <v>#REF!</v>
      </c>
      <c r="Z51" s="270" t="e">
        <f>IF(#REF!="Yes","H",IF($B51="","",IF(AND($C51&lt;=#REF!,$D51&gt;=#REF!),IF($G51="","x","y"),"")))</f>
        <v>#REF!</v>
      </c>
      <c r="AA51" s="270" t="e">
        <f>IF(#REF!="Yes","H",IF($B51="","",IF(AND($C51&lt;=#REF!,$D51&gt;=#REF!),IF($G51="","x","y"),"")))</f>
        <v>#REF!</v>
      </c>
      <c r="AB51" s="270" t="e">
        <f>IF(#REF!="Yes","H",IF($B51="","",IF(AND($C51&lt;=#REF!,$D51&gt;=#REF!),IF($G51="","x","y"),"")))</f>
        <v>#REF!</v>
      </c>
      <c r="AC51" s="273" t="e">
        <f>IF(#REF!="Yes","H",IF($B51="","",IF(AND($C51&lt;=#REF!,$D51&gt;=#REF!),IF($G51="","x","y"),"")))</f>
        <v>#REF!</v>
      </c>
      <c r="AD51" s="274" t="e">
        <f>IF(#REF!="Yes","H",IF($B51="","",IF(AND($C51&lt;=#REF!,$D51&gt;=#REF!),IF($G51="","x","y"),"")))</f>
        <v>#REF!</v>
      </c>
      <c r="AE51" s="270" t="e">
        <f>IF(#REF!="Yes","H",IF($B51="","",IF(AND($C51&lt;=#REF!,$D51&gt;=#REF!),IF($G51="","x","y"),"")))</f>
        <v>#REF!</v>
      </c>
      <c r="AF51" s="270" t="e">
        <f>IF(#REF!="Yes","H",IF($B51="","",IF(AND($C51&lt;=#REF!,$D51&gt;=#REF!),IF($G51="","x","y"),"")))</f>
        <v>#REF!</v>
      </c>
      <c r="AG51" s="270" t="e">
        <f>IF(#REF!="Yes","H",IF($B51="","",IF(AND($C51&lt;=#REF!,$D51&gt;=#REF!),IF($G51="","x","y"),"")))</f>
        <v>#REF!</v>
      </c>
      <c r="AH51" s="271" t="e">
        <f>IF(#REF!="Yes","H",IF($B51="","",IF(AND($C51&lt;=#REF!,$D51&gt;=#REF!),IF($G51="","x","y"),"")))</f>
        <v>#REF!</v>
      </c>
      <c r="AI51" s="272" t="e">
        <f>IF(#REF!="Yes","H",IF($B51="","",IF(AND($C51&lt;=#REF!,$D51&gt;=#REF!),IF($G51="","x","y"),"")))</f>
        <v>#REF!</v>
      </c>
      <c r="AJ51" s="270" t="e">
        <f>IF(#REF!="Yes","H",IF($B51="","",IF(AND($C51&lt;=#REF!,$D51&gt;=#REF!),IF($G51="","x","y"),"")))</f>
        <v>#REF!</v>
      </c>
      <c r="AK51" s="270" t="e">
        <f>IF(#REF!="Yes","H",IF($B51="","",IF(AND($C51&lt;=#REF!,$D51&gt;=#REF!),IF($G51="","x","y"),"")))</f>
        <v>#REF!</v>
      </c>
      <c r="AL51" s="270" t="e">
        <f>IF(#REF!="Yes","H",IF($B51="","",IF(AND($C51&lt;=#REF!,$D51&gt;=#REF!),IF($G51="","x","y"),"")))</f>
        <v>#REF!</v>
      </c>
      <c r="AM51" s="273" t="e">
        <f>IF(#REF!="Yes","H",IF($B51="","",IF(AND($C51&lt;=#REF!,$D51&gt;=#REF!),IF($G51="","x","y"),"")))</f>
        <v>#REF!</v>
      </c>
      <c r="AN51" s="274" t="e">
        <f>IF(#REF!="Yes","H",IF($B51="","",IF(AND($C51&lt;=#REF!,$D51&gt;=#REF!),IF($G51="","x","y"),"")))</f>
        <v>#REF!</v>
      </c>
      <c r="AO51" s="270" t="e">
        <f>IF(#REF!="Yes","H",IF($B51="","",IF(AND($C51&lt;=#REF!,$D51&gt;=#REF!),IF($G51="","x","y"),"")))</f>
        <v>#REF!</v>
      </c>
      <c r="AP51" s="270" t="e">
        <f>IF(#REF!="Yes","H",IF($B51="","",IF(AND($C51&lt;=#REF!,$D51&gt;=#REF!),IF($G51="","x","y"),"")))</f>
        <v>#REF!</v>
      </c>
      <c r="AQ51" s="270" t="e">
        <f>IF(#REF!="Yes","H",IF($B51="","",IF(AND($C51&lt;=#REF!,$D51&gt;=#REF!),IF($G51="","x","y"),"")))</f>
        <v>#REF!</v>
      </c>
      <c r="AR51" s="271" t="e">
        <f>IF(#REF!="Yes","H",IF($B51="","",IF(AND($C51&lt;=#REF!,$D51&gt;=#REF!),IF($G51="","x","y"),"")))</f>
        <v>#REF!</v>
      </c>
      <c r="AS51" s="272" t="e">
        <f>IF(#REF!="Yes","H",IF($B51="","",IF(AND($C51&lt;=#REF!,$D51&gt;=#REF!),IF($G51="","x","y"),"")))</f>
        <v>#REF!</v>
      </c>
      <c r="AT51" s="270" t="e">
        <f>IF(#REF!="Yes","H",IF($B51="","",IF(AND($C51&lt;=#REF!,$D51&gt;=#REF!),IF($G51="","x","y"),"")))</f>
        <v>#REF!</v>
      </c>
      <c r="AU51" s="270" t="e">
        <f>IF(#REF!="Yes","H",IF($B51="","",IF(AND($C51&lt;=#REF!,$D51&gt;=#REF!),IF($G51="","x","y"),"")))</f>
        <v>#REF!</v>
      </c>
      <c r="AV51" s="270" t="e">
        <f>IF(#REF!="Yes","H",IF($B51="","",IF(AND($C51&lt;=#REF!,$D51&gt;=#REF!),IF($G51="","x","y"),"")))</f>
        <v>#REF!</v>
      </c>
      <c r="AW51" s="273" t="e">
        <f>IF(#REF!="Yes","H",IF($B51="","",IF(AND($C51&lt;=#REF!,$D51&gt;=#REF!),IF($G51="","x","y"),"")))</f>
        <v>#REF!</v>
      </c>
      <c r="AX51" s="274" t="e">
        <f>IF(#REF!="Yes","H",IF($B51="","",IF(AND($C51&lt;=#REF!,$D51&gt;=#REF!),IF($G51="","x","y"),"")))</f>
        <v>#REF!</v>
      </c>
      <c r="AY51" s="270" t="e">
        <f>IF(#REF!="Yes","H",IF($B51="","",IF(AND($C51&lt;=#REF!,$D51&gt;=#REF!),IF($G51="","x","y"),"")))</f>
        <v>#REF!</v>
      </c>
      <c r="AZ51" s="270" t="e">
        <f>IF(#REF!="Yes","H",IF($B51="","",IF(AND($C51&lt;=#REF!,$D51&gt;=#REF!),IF($G51="","x","y"),"")))</f>
        <v>#REF!</v>
      </c>
      <c r="BA51" s="270" t="e">
        <f>IF(#REF!="Yes","H",IF($B51="","",IF(AND($C51&lt;=#REF!,$D51&gt;=#REF!),IF($G51="","x","y"),"")))</f>
        <v>#REF!</v>
      </c>
      <c r="BB51" s="271" t="e">
        <f>IF(#REF!="Yes","H",IF($B51="","",IF(AND($C51&lt;=#REF!,$D51&gt;=#REF!),IF($G51="","x","y"),"")))</f>
        <v>#REF!</v>
      </c>
      <c r="BC51" s="272" t="e">
        <f>IF(#REF!="Yes","H",IF($B51="","",IF(AND($C51&lt;=#REF!,$D51&gt;=#REF!),IF($G51="","x","y"),"")))</f>
        <v>#REF!</v>
      </c>
      <c r="BD51" s="270" t="e">
        <f>IF(#REF!="Yes","H",IF($B51="","",IF(AND($C51&lt;=#REF!,$D51&gt;=#REF!),IF($G51="","x","y"),"")))</f>
        <v>#REF!</v>
      </c>
      <c r="BE51" s="270" t="e">
        <f>IF(#REF!="Yes","H",IF($B51="","",IF(AND($C51&lt;=#REF!,$D51&gt;=#REF!),IF($G51="","x","y"),"")))</f>
        <v>#REF!</v>
      </c>
      <c r="BF51" s="270" t="e">
        <f>IF(#REF!="Yes","H",IF($B51="","",IF(AND($C51&lt;=#REF!,$D51&gt;=#REF!),IF($G51="","x","y"),"")))</f>
        <v>#REF!</v>
      </c>
      <c r="BG51" s="273" t="e">
        <f>IF(#REF!="Yes","H",IF($B51="","",IF(AND($C51&lt;=#REF!,$D51&gt;=#REF!),IF($G51="","x","y"),"")))</f>
        <v>#REF!</v>
      </c>
      <c r="BH51" s="274" t="e">
        <f>IF(#REF!="Yes","H",IF($B51="","",IF(AND($C51&lt;=#REF!,$D51&gt;=#REF!),IF($G51="","x","y"),"")))</f>
        <v>#REF!</v>
      </c>
      <c r="BI51" s="270" t="e">
        <f>IF(#REF!="Yes","H",IF($B51="","",IF(AND($C51&lt;=#REF!,$D51&gt;=#REF!),IF($G51="","x","y"),"")))</f>
        <v>#REF!</v>
      </c>
      <c r="BJ51" s="270" t="e">
        <f>IF(#REF!="Yes","H",IF($B51="","",IF(AND($C51&lt;=#REF!,$D51&gt;=#REF!),IF($G51="","x","y"),"")))</f>
        <v>#REF!</v>
      </c>
      <c r="BK51" s="270" t="e">
        <f>IF(#REF!="Yes","H",IF($B51="","",IF(AND($C51&lt;=#REF!,$D51&gt;=#REF!),IF($G51="","x","y"),"")))</f>
        <v>#REF!</v>
      </c>
      <c r="BL51" s="271" t="e">
        <f>IF(#REF!="Yes","H",IF($B51="","",IF(AND($C51&lt;=#REF!,$D51&gt;=#REF!),IF($G51="","x","y"),"")))</f>
        <v>#REF!</v>
      </c>
      <c r="BM51" s="272" t="e">
        <f>IF(#REF!="Yes","H",IF($B51="","",IF(AND($C51&lt;=#REF!,$D51&gt;=#REF!),IF($G51="","x","y"),"")))</f>
        <v>#REF!</v>
      </c>
      <c r="BN51" s="270" t="e">
        <f>IF(#REF!="Yes","H",IF($B51="","",IF(AND($C51&lt;=#REF!,$D51&gt;=#REF!),IF($G51="","x","y"),"")))</f>
        <v>#REF!</v>
      </c>
      <c r="BO51" s="270" t="e">
        <f>IF(#REF!="Yes","H",IF($B51="","",IF(AND($C51&lt;=#REF!,$D51&gt;=#REF!),IF($G51="","x","y"),"")))</f>
        <v>#REF!</v>
      </c>
      <c r="BP51" s="270" t="e">
        <f>IF(#REF!="Yes","H",IF($B51="","",IF(AND($C51&lt;=#REF!,$D51&gt;=#REF!),IF($G51="","x","y"),"")))</f>
        <v>#REF!</v>
      </c>
      <c r="BQ51" s="273" t="e">
        <f>IF(#REF!="Yes","H",IF($B51="","",IF(AND($C51&lt;=#REF!,$D51&gt;=#REF!),IF($G51="","x","y"),"")))</f>
        <v>#REF!</v>
      </c>
      <c r="BR51" s="274" t="e">
        <f>IF(#REF!="Yes","H",IF($B51="","",IF(AND($C51&lt;=#REF!,$D51&gt;=#REF!),IF($G51="","x","y"),"")))</f>
        <v>#REF!</v>
      </c>
      <c r="BS51" s="270" t="e">
        <f>IF(#REF!="Yes","H",IF($B51="","",IF(AND($C51&lt;=#REF!,$D51&gt;=#REF!),IF($G51="","x","y"),"")))</f>
        <v>#REF!</v>
      </c>
      <c r="BT51" s="270" t="e">
        <f>IF(#REF!="Yes","H",IF($B51="","",IF(AND($C51&lt;=#REF!,$D51&gt;=#REF!),IF($G51="","x","y"),"")))</f>
        <v>#REF!</v>
      </c>
      <c r="BU51" s="270" t="e">
        <f>IF(#REF!="Yes","H",IF($B51="","",IF(AND($C51&lt;=#REF!,$D51&gt;=#REF!),IF($G51="","x","y"),"")))</f>
        <v>#REF!</v>
      </c>
      <c r="BV51" s="271" t="e">
        <f>IF(#REF!="Yes","H",IF($B51="","",IF(AND($C51&lt;=#REF!,$D51&gt;=#REF!),IF($G51="","x","y"),"")))</f>
        <v>#REF!</v>
      </c>
      <c r="BW51" s="272" t="e">
        <f>IF(#REF!="Yes","H",IF($B51="","",IF(AND($C51&lt;=#REF!,$D51&gt;=#REF!),IF($G51="","x","y"),"")))</f>
        <v>#REF!</v>
      </c>
      <c r="BX51" s="270" t="e">
        <f>IF(#REF!="Yes","H",IF($B51="","",IF(AND($C51&lt;=#REF!,$D51&gt;=#REF!),IF($G51="","x","y"),"")))</f>
        <v>#REF!</v>
      </c>
      <c r="BY51" s="270" t="e">
        <f>IF(#REF!="Yes","H",IF($B51="","",IF(AND($C51&lt;=#REF!,$D51&gt;=#REF!),IF($G51="","x","y"),"")))</f>
        <v>#REF!</v>
      </c>
      <c r="BZ51" s="270" t="e">
        <f>IF(#REF!="Yes","H",IF($B51="","",IF(AND($C51&lt;=#REF!,$D51&gt;=#REF!),IF($G51="","x","y"),"")))</f>
        <v>#REF!</v>
      </c>
      <c r="CA51" s="273" t="e">
        <f>IF(#REF!="Yes","H",IF($B51="","",IF(AND($C51&lt;=#REF!,$D51&gt;=#REF!),IF($G51="","x","y"),"")))</f>
        <v>#REF!</v>
      </c>
    </row>
    <row r="52" spans="2:79" ht="15" customHeight="1">
      <c r="B52" s="210"/>
      <c r="C52" s="260"/>
      <c r="D52" s="260"/>
      <c r="E52" s="260"/>
      <c r="F52" s="224"/>
      <c r="G52" s="275"/>
      <c r="H52" s="209"/>
      <c r="I52" s="211"/>
      <c r="J52" s="269" t="e">
        <f>IF(#REF!="Yes","H",IF($B52="","",IF(AND($C52&lt;=#REF!,$D52&gt;=#REF!),IF($G52="","x","y"),"")))</f>
        <v>#REF!</v>
      </c>
      <c r="K52" s="270" t="e">
        <f>IF(#REF!="Yes","H",IF($B52="","",IF(AND($C52&lt;=#REF!,$D52&gt;=#REF!),IF($G52="","x","y"),"")))</f>
        <v>#REF!</v>
      </c>
      <c r="L52" s="270" t="e">
        <f>IF(#REF!="Yes","H",IF($B52="","",IF(AND($C52&lt;=#REF!,$D52&gt;=#REF!),IF($G52="","x","y"),"")))</f>
        <v>#REF!</v>
      </c>
      <c r="M52" s="270" t="e">
        <f>IF(#REF!="Yes","H",IF($B52="","",IF(AND($C52&lt;=#REF!,$D52&gt;=#REF!),IF($G52="","x","y"),"")))</f>
        <v>#REF!</v>
      </c>
      <c r="N52" s="271" t="e">
        <f>IF(#REF!="Yes","H",IF($B52="","",IF(AND($C52&lt;=#REF!,$D52&gt;=#REF!),IF($G52="","x","y"),"")))</f>
        <v>#REF!</v>
      </c>
      <c r="O52" s="272" t="e">
        <f>IF(#REF!="Yes","H",IF($B52="","",IF(AND($C52&lt;=#REF!,$D52&gt;=#REF!),IF($G52="","x","y"),"")))</f>
        <v>#REF!</v>
      </c>
      <c r="P52" s="270" t="e">
        <f>IF(#REF!="Yes","H",IF($B52="","",IF(AND($C52&lt;=#REF!,$D52&gt;=#REF!),IF($G52="","x","y"),"")))</f>
        <v>#REF!</v>
      </c>
      <c r="Q52" s="270" t="e">
        <f>IF(#REF!="Yes","H",IF($B52="","",IF(AND($C52&lt;=#REF!,$D52&gt;=#REF!),IF($G52="","x","y"),"")))</f>
        <v>#REF!</v>
      </c>
      <c r="R52" s="270" t="e">
        <f>IF(#REF!="Yes","H",IF($B52="","",IF(AND($C52&lt;=#REF!,$D52&gt;=#REF!),IF($G52="","x","y"),"")))</f>
        <v>#REF!</v>
      </c>
      <c r="S52" s="273" t="e">
        <f>IF(#REF!="Yes","H",IF($B52="","",IF(AND($C52&lt;=#REF!,$D52&gt;=#REF!),IF($G52="","x","y"),"")))</f>
        <v>#REF!</v>
      </c>
      <c r="T52" s="274" t="e">
        <f>IF(#REF!="Yes","H",IF($B52="","",IF(AND($C52&lt;=#REF!,$D52&gt;=#REF!),IF($G52="","x","y"),"")))</f>
        <v>#REF!</v>
      </c>
      <c r="U52" s="270" t="e">
        <f>IF(#REF!="Yes","H",IF($B52="","",IF(AND($C52&lt;=#REF!,$D52&gt;=#REF!),IF($G52="","x","y"),"")))</f>
        <v>#REF!</v>
      </c>
      <c r="V52" s="270" t="e">
        <f>IF(#REF!="Yes","H",IF($B52="","",IF(AND($C52&lt;=#REF!,$D52&gt;=#REF!),IF($G52="","x","y"),"")))</f>
        <v>#REF!</v>
      </c>
      <c r="W52" s="270" t="e">
        <f>IF(#REF!="Yes","H",IF($B52="","",IF(AND($C52&lt;=#REF!,$D52&gt;=#REF!),IF($G52="","x","y"),"")))</f>
        <v>#REF!</v>
      </c>
      <c r="X52" s="271" t="e">
        <f>IF(#REF!="Yes","H",IF($B52="","",IF(AND($C52&lt;=#REF!,$D52&gt;=#REF!),IF($G52="","x","y"),"")))</f>
        <v>#REF!</v>
      </c>
      <c r="Y52" s="272" t="e">
        <f>IF(#REF!="Yes","H",IF($B52="","",IF(AND($C52&lt;=#REF!,$D52&gt;=#REF!),IF($G52="","x","y"),"")))</f>
        <v>#REF!</v>
      </c>
      <c r="Z52" s="270" t="e">
        <f>IF(#REF!="Yes","H",IF($B52="","",IF(AND($C52&lt;=#REF!,$D52&gt;=#REF!),IF($G52="","x","y"),"")))</f>
        <v>#REF!</v>
      </c>
      <c r="AA52" s="270" t="e">
        <f>IF(#REF!="Yes","H",IF($B52="","",IF(AND($C52&lt;=#REF!,$D52&gt;=#REF!),IF($G52="","x","y"),"")))</f>
        <v>#REF!</v>
      </c>
      <c r="AB52" s="270" t="e">
        <f>IF(#REF!="Yes","H",IF($B52="","",IF(AND($C52&lt;=#REF!,$D52&gt;=#REF!),IF($G52="","x","y"),"")))</f>
        <v>#REF!</v>
      </c>
      <c r="AC52" s="273" t="e">
        <f>IF(#REF!="Yes","H",IF($B52="","",IF(AND($C52&lt;=#REF!,$D52&gt;=#REF!),IF($G52="","x","y"),"")))</f>
        <v>#REF!</v>
      </c>
      <c r="AD52" s="274" t="e">
        <f>IF(#REF!="Yes","H",IF($B52="","",IF(AND($C52&lt;=#REF!,$D52&gt;=#REF!),IF($G52="","x","y"),"")))</f>
        <v>#REF!</v>
      </c>
      <c r="AE52" s="270" t="e">
        <f>IF(#REF!="Yes","H",IF($B52="","",IF(AND($C52&lt;=#REF!,$D52&gt;=#REF!),IF($G52="","x","y"),"")))</f>
        <v>#REF!</v>
      </c>
      <c r="AF52" s="270" t="e">
        <f>IF(#REF!="Yes","H",IF($B52="","",IF(AND($C52&lt;=#REF!,$D52&gt;=#REF!),IF($G52="","x","y"),"")))</f>
        <v>#REF!</v>
      </c>
      <c r="AG52" s="270" t="e">
        <f>IF(#REF!="Yes","H",IF($B52="","",IF(AND($C52&lt;=#REF!,$D52&gt;=#REF!),IF($G52="","x","y"),"")))</f>
        <v>#REF!</v>
      </c>
      <c r="AH52" s="271" t="e">
        <f>IF(#REF!="Yes","H",IF($B52="","",IF(AND($C52&lt;=#REF!,$D52&gt;=#REF!),IF($G52="","x","y"),"")))</f>
        <v>#REF!</v>
      </c>
      <c r="AI52" s="272" t="e">
        <f>IF(#REF!="Yes","H",IF($B52="","",IF(AND($C52&lt;=#REF!,$D52&gt;=#REF!),IF($G52="","x","y"),"")))</f>
        <v>#REF!</v>
      </c>
      <c r="AJ52" s="270" t="e">
        <f>IF(#REF!="Yes","H",IF($B52="","",IF(AND($C52&lt;=#REF!,$D52&gt;=#REF!),IF($G52="","x","y"),"")))</f>
        <v>#REF!</v>
      </c>
      <c r="AK52" s="270" t="e">
        <f>IF(#REF!="Yes","H",IF($B52="","",IF(AND($C52&lt;=#REF!,$D52&gt;=#REF!),IF($G52="","x","y"),"")))</f>
        <v>#REF!</v>
      </c>
      <c r="AL52" s="270" t="e">
        <f>IF(#REF!="Yes","H",IF($B52="","",IF(AND($C52&lt;=#REF!,$D52&gt;=#REF!),IF($G52="","x","y"),"")))</f>
        <v>#REF!</v>
      </c>
      <c r="AM52" s="273" t="e">
        <f>IF(#REF!="Yes","H",IF($B52="","",IF(AND($C52&lt;=#REF!,$D52&gt;=#REF!),IF($G52="","x","y"),"")))</f>
        <v>#REF!</v>
      </c>
      <c r="AN52" s="274" t="e">
        <f>IF(#REF!="Yes","H",IF($B52="","",IF(AND($C52&lt;=#REF!,$D52&gt;=#REF!),IF($G52="","x","y"),"")))</f>
        <v>#REF!</v>
      </c>
      <c r="AO52" s="270" t="e">
        <f>IF(#REF!="Yes","H",IF($B52="","",IF(AND($C52&lt;=#REF!,$D52&gt;=#REF!),IF($G52="","x","y"),"")))</f>
        <v>#REF!</v>
      </c>
      <c r="AP52" s="270" t="e">
        <f>IF(#REF!="Yes","H",IF($B52="","",IF(AND($C52&lt;=#REF!,$D52&gt;=#REF!),IF($G52="","x","y"),"")))</f>
        <v>#REF!</v>
      </c>
      <c r="AQ52" s="270" t="e">
        <f>IF(#REF!="Yes","H",IF($B52="","",IF(AND($C52&lt;=#REF!,$D52&gt;=#REF!),IF($G52="","x","y"),"")))</f>
        <v>#REF!</v>
      </c>
      <c r="AR52" s="271" t="e">
        <f>IF(#REF!="Yes","H",IF($B52="","",IF(AND($C52&lt;=#REF!,$D52&gt;=#REF!),IF($G52="","x","y"),"")))</f>
        <v>#REF!</v>
      </c>
      <c r="AS52" s="272" t="e">
        <f>IF(#REF!="Yes","H",IF($B52="","",IF(AND($C52&lt;=#REF!,$D52&gt;=#REF!),IF($G52="","x","y"),"")))</f>
        <v>#REF!</v>
      </c>
      <c r="AT52" s="270" t="e">
        <f>IF(#REF!="Yes","H",IF($B52="","",IF(AND($C52&lt;=#REF!,$D52&gt;=#REF!),IF($G52="","x","y"),"")))</f>
        <v>#REF!</v>
      </c>
      <c r="AU52" s="270" t="e">
        <f>IF(#REF!="Yes","H",IF($B52="","",IF(AND($C52&lt;=#REF!,$D52&gt;=#REF!),IF($G52="","x","y"),"")))</f>
        <v>#REF!</v>
      </c>
      <c r="AV52" s="270" t="e">
        <f>IF(#REF!="Yes","H",IF($B52="","",IF(AND($C52&lt;=#REF!,$D52&gt;=#REF!),IF($G52="","x","y"),"")))</f>
        <v>#REF!</v>
      </c>
      <c r="AW52" s="273" t="e">
        <f>IF(#REF!="Yes","H",IF($B52="","",IF(AND($C52&lt;=#REF!,$D52&gt;=#REF!),IF($G52="","x","y"),"")))</f>
        <v>#REF!</v>
      </c>
      <c r="AX52" s="274" t="e">
        <f>IF(#REF!="Yes","H",IF($B52="","",IF(AND($C52&lt;=#REF!,$D52&gt;=#REF!),IF($G52="","x","y"),"")))</f>
        <v>#REF!</v>
      </c>
      <c r="AY52" s="270" t="e">
        <f>IF(#REF!="Yes","H",IF($B52="","",IF(AND($C52&lt;=#REF!,$D52&gt;=#REF!),IF($G52="","x","y"),"")))</f>
        <v>#REF!</v>
      </c>
      <c r="AZ52" s="270" t="e">
        <f>IF(#REF!="Yes","H",IF($B52="","",IF(AND($C52&lt;=#REF!,$D52&gt;=#REF!),IF($G52="","x","y"),"")))</f>
        <v>#REF!</v>
      </c>
      <c r="BA52" s="270" t="e">
        <f>IF(#REF!="Yes","H",IF($B52="","",IF(AND($C52&lt;=#REF!,$D52&gt;=#REF!),IF($G52="","x","y"),"")))</f>
        <v>#REF!</v>
      </c>
      <c r="BB52" s="271" t="e">
        <f>IF(#REF!="Yes","H",IF($B52="","",IF(AND($C52&lt;=#REF!,$D52&gt;=#REF!),IF($G52="","x","y"),"")))</f>
        <v>#REF!</v>
      </c>
      <c r="BC52" s="272" t="e">
        <f>IF(#REF!="Yes","H",IF($B52="","",IF(AND($C52&lt;=#REF!,$D52&gt;=#REF!),IF($G52="","x","y"),"")))</f>
        <v>#REF!</v>
      </c>
      <c r="BD52" s="270" t="e">
        <f>IF(#REF!="Yes","H",IF($B52="","",IF(AND($C52&lt;=#REF!,$D52&gt;=#REF!),IF($G52="","x","y"),"")))</f>
        <v>#REF!</v>
      </c>
      <c r="BE52" s="270" t="e">
        <f>IF(#REF!="Yes","H",IF($B52="","",IF(AND($C52&lt;=#REF!,$D52&gt;=#REF!),IF($G52="","x","y"),"")))</f>
        <v>#REF!</v>
      </c>
      <c r="BF52" s="270" t="e">
        <f>IF(#REF!="Yes","H",IF($B52="","",IF(AND($C52&lt;=#REF!,$D52&gt;=#REF!),IF($G52="","x","y"),"")))</f>
        <v>#REF!</v>
      </c>
      <c r="BG52" s="273" t="e">
        <f>IF(#REF!="Yes","H",IF($B52="","",IF(AND($C52&lt;=#REF!,$D52&gt;=#REF!),IF($G52="","x","y"),"")))</f>
        <v>#REF!</v>
      </c>
      <c r="BH52" s="274" t="e">
        <f>IF(#REF!="Yes","H",IF($B52="","",IF(AND($C52&lt;=#REF!,$D52&gt;=#REF!),IF($G52="","x","y"),"")))</f>
        <v>#REF!</v>
      </c>
      <c r="BI52" s="270" t="e">
        <f>IF(#REF!="Yes","H",IF($B52="","",IF(AND($C52&lt;=#REF!,$D52&gt;=#REF!),IF($G52="","x","y"),"")))</f>
        <v>#REF!</v>
      </c>
      <c r="BJ52" s="270" t="e">
        <f>IF(#REF!="Yes","H",IF($B52="","",IF(AND($C52&lt;=#REF!,$D52&gt;=#REF!),IF($G52="","x","y"),"")))</f>
        <v>#REF!</v>
      </c>
      <c r="BK52" s="270" t="e">
        <f>IF(#REF!="Yes","H",IF($B52="","",IF(AND($C52&lt;=#REF!,$D52&gt;=#REF!),IF($G52="","x","y"),"")))</f>
        <v>#REF!</v>
      </c>
      <c r="BL52" s="271" t="e">
        <f>IF(#REF!="Yes","H",IF($B52="","",IF(AND($C52&lt;=#REF!,$D52&gt;=#REF!),IF($G52="","x","y"),"")))</f>
        <v>#REF!</v>
      </c>
      <c r="BM52" s="272" t="e">
        <f>IF(#REF!="Yes","H",IF($B52="","",IF(AND($C52&lt;=#REF!,$D52&gt;=#REF!),IF($G52="","x","y"),"")))</f>
        <v>#REF!</v>
      </c>
      <c r="BN52" s="270" t="e">
        <f>IF(#REF!="Yes","H",IF($B52="","",IF(AND($C52&lt;=#REF!,$D52&gt;=#REF!),IF($G52="","x","y"),"")))</f>
        <v>#REF!</v>
      </c>
      <c r="BO52" s="270" t="e">
        <f>IF(#REF!="Yes","H",IF($B52="","",IF(AND($C52&lt;=#REF!,$D52&gt;=#REF!),IF($G52="","x","y"),"")))</f>
        <v>#REF!</v>
      </c>
      <c r="BP52" s="270" t="e">
        <f>IF(#REF!="Yes","H",IF($B52="","",IF(AND($C52&lt;=#REF!,$D52&gt;=#REF!),IF($G52="","x","y"),"")))</f>
        <v>#REF!</v>
      </c>
      <c r="BQ52" s="273" t="e">
        <f>IF(#REF!="Yes","H",IF($B52="","",IF(AND($C52&lt;=#REF!,$D52&gt;=#REF!),IF($G52="","x","y"),"")))</f>
        <v>#REF!</v>
      </c>
      <c r="BR52" s="274" t="e">
        <f>IF(#REF!="Yes","H",IF($B52="","",IF(AND($C52&lt;=#REF!,$D52&gt;=#REF!),IF($G52="","x","y"),"")))</f>
        <v>#REF!</v>
      </c>
      <c r="BS52" s="270" t="e">
        <f>IF(#REF!="Yes","H",IF($B52="","",IF(AND($C52&lt;=#REF!,$D52&gt;=#REF!),IF($G52="","x","y"),"")))</f>
        <v>#REF!</v>
      </c>
      <c r="BT52" s="270" t="e">
        <f>IF(#REF!="Yes","H",IF($B52="","",IF(AND($C52&lt;=#REF!,$D52&gt;=#REF!),IF($G52="","x","y"),"")))</f>
        <v>#REF!</v>
      </c>
      <c r="BU52" s="270" t="e">
        <f>IF(#REF!="Yes","H",IF($B52="","",IF(AND($C52&lt;=#REF!,$D52&gt;=#REF!),IF($G52="","x","y"),"")))</f>
        <v>#REF!</v>
      </c>
      <c r="BV52" s="271" t="e">
        <f>IF(#REF!="Yes","H",IF($B52="","",IF(AND($C52&lt;=#REF!,$D52&gt;=#REF!),IF($G52="","x","y"),"")))</f>
        <v>#REF!</v>
      </c>
      <c r="BW52" s="272" t="e">
        <f>IF(#REF!="Yes","H",IF($B52="","",IF(AND($C52&lt;=#REF!,$D52&gt;=#REF!),IF($G52="","x","y"),"")))</f>
        <v>#REF!</v>
      </c>
      <c r="BX52" s="270" t="e">
        <f>IF(#REF!="Yes","H",IF($B52="","",IF(AND($C52&lt;=#REF!,$D52&gt;=#REF!),IF($G52="","x","y"),"")))</f>
        <v>#REF!</v>
      </c>
      <c r="BY52" s="270" t="e">
        <f>IF(#REF!="Yes","H",IF($B52="","",IF(AND($C52&lt;=#REF!,$D52&gt;=#REF!),IF($G52="","x","y"),"")))</f>
        <v>#REF!</v>
      </c>
      <c r="BZ52" s="270" t="e">
        <f>IF(#REF!="Yes","H",IF($B52="","",IF(AND($C52&lt;=#REF!,$D52&gt;=#REF!),IF($G52="","x","y"),"")))</f>
        <v>#REF!</v>
      </c>
      <c r="CA52" s="273" t="e">
        <f>IF(#REF!="Yes","H",IF($B52="","",IF(AND($C52&lt;=#REF!,$D52&gt;=#REF!),IF($G52="","x","y"),"")))</f>
        <v>#REF!</v>
      </c>
    </row>
    <row r="53" spans="2:79" ht="15" customHeight="1">
      <c r="B53" s="210"/>
      <c r="C53" s="260"/>
      <c r="D53" s="260"/>
      <c r="E53" s="260"/>
      <c r="F53" s="224"/>
      <c r="G53" s="275"/>
      <c r="H53" s="209"/>
      <c r="I53" s="211"/>
      <c r="J53" s="269"/>
      <c r="K53" s="270"/>
      <c r="L53" s="270"/>
      <c r="M53" s="270"/>
      <c r="N53" s="271"/>
      <c r="O53" s="272"/>
      <c r="P53" s="270"/>
      <c r="Q53" s="270"/>
      <c r="R53" s="270"/>
      <c r="S53" s="273"/>
      <c r="T53" s="274"/>
      <c r="U53" s="270"/>
      <c r="V53" s="270"/>
      <c r="W53" s="270"/>
      <c r="X53" s="271"/>
      <c r="Y53" s="272"/>
      <c r="Z53" s="270"/>
      <c r="AA53" s="270"/>
      <c r="AB53" s="270"/>
      <c r="AC53" s="273"/>
      <c r="AD53" s="274"/>
      <c r="AE53" s="270"/>
      <c r="AF53" s="270"/>
      <c r="AG53" s="270"/>
      <c r="AH53" s="271"/>
      <c r="AI53" s="272"/>
      <c r="AJ53" s="270"/>
      <c r="AK53" s="270"/>
      <c r="AL53" s="270"/>
      <c r="AM53" s="273"/>
      <c r="AN53" s="274"/>
      <c r="AO53" s="270"/>
      <c r="AP53" s="270"/>
      <c r="AQ53" s="270"/>
      <c r="AR53" s="271"/>
      <c r="AS53" s="272"/>
      <c r="AT53" s="270"/>
      <c r="AU53" s="270"/>
      <c r="AV53" s="270"/>
      <c r="AW53" s="273"/>
      <c r="AX53" s="274"/>
      <c r="AY53" s="270"/>
      <c r="AZ53" s="270"/>
      <c r="BA53" s="270"/>
      <c r="BB53" s="271"/>
      <c r="BC53" s="272"/>
      <c r="BD53" s="270"/>
      <c r="BE53" s="270"/>
      <c r="BF53" s="270"/>
      <c r="BG53" s="273"/>
      <c r="BH53" s="274"/>
      <c r="BI53" s="270"/>
      <c r="BJ53" s="270"/>
      <c r="BK53" s="270"/>
      <c r="BL53" s="271"/>
      <c r="BM53" s="272"/>
      <c r="BN53" s="270"/>
      <c r="BO53" s="270"/>
      <c r="BP53" s="270"/>
      <c r="BQ53" s="273"/>
      <c r="BR53" s="274"/>
      <c r="BS53" s="270"/>
      <c r="BT53" s="270"/>
      <c r="BU53" s="270"/>
      <c r="BV53" s="271"/>
      <c r="BW53" s="272"/>
      <c r="BX53" s="270"/>
      <c r="BY53" s="270"/>
      <c r="BZ53" s="270"/>
      <c r="CA53" s="273"/>
    </row>
    <row r="54" spans="2:79" ht="15" customHeight="1">
      <c r="B54" s="135"/>
      <c r="C54" s="260"/>
      <c r="D54" s="260"/>
      <c r="E54" s="260"/>
      <c r="F54" s="224"/>
      <c r="G54" s="275"/>
      <c r="H54" s="209"/>
      <c r="I54" s="211"/>
      <c r="J54" s="269" t="e">
        <f>IF(#REF!="Yes","H",IF($B54="","",IF(AND($C54&lt;=#REF!,$D54&gt;=#REF!),IF($G54="","x","y"),"")))</f>
        <v>#REF!</v>
      </c>
      <c r="K54" s="270" t="e">
        <f>IF(#REF!="Yes","H",IF($B54="","",IF(AND($C54&lt;=#REF!,$D54&gt;=#REF!),IF($G54="","x","y"),"")))</f>
        <v>#REF!</v>
      </c>
      <c r="L54" s="270" t="e">
        <f>IF(#REF!="Yes","H",IF($B54="","",IF(AND($C54&lt;=#REF!,$D54&gt;=#REF!),IF($G54="","x","y"),"")))</f>
        <v>#REF!</v>
      </c>
      <c r="M54" s="270" t="e">
        <f>IF(#REF!="Yes","H",IF($B54="","",IF(AND($C54&lt;=#REF!,$D54&gt;=#REF!),IF($G54="","x","y"),"")))</f>
        <v>#REF!</v>
      </c>
      <c r="N54" s="271" t="e">
        <f>IF(#REF!="Yes","H",IF($B54="","",IF(AND($C54&lt;=#REF!,$D54&gt;=#REF!),IF($G54="","x","y"),"")))</f>
        <v>#REF!</v>
      </c>
      <c r="O54" s="272" t="e">
        <f>IF(#REF!="Yes","H",IF($B54="","",IF(AND($C54&lt;=#REF!,$D54&gt;=#REF!),IF($G54="","x","y"),"")))</f>
        <v>#REF!</v>
      </c>
      <c r="P54" s="270" t="e">
        <f>IF(#REF!="Yes","H",IF($B54="","",IF(AND($C54&lt;=#REF!,$D54&gt;=#REF!),IF($G54="","x","y"),"")))</f>
        <v>#REF!</v>
      </c>
      <c r="Q54" s="270" t="e">
        <f>IF(#REF!="Yes","H",IF($B54="","",IF(AND($C54&lt;=#REF!,$D54&gt;=#REF!),IF($G54="","x","y"),"")))</f>
        <v>#REF!</v>
      </c>
      <c r="R54" s="270" t="e">
        <f>IF(#REF!="Yes","H",IF($B54="","",IF(AND($C54&lt;=#REF!,$D54&gt;=#REF!),IF($G54="","x","y"),"")))</f>
        <v>#REF!</v>
      </c>
      <c r="S54" s="273" t="e">
        <f>IF(#REF!="Yes","H",IF($B54="","",IF(AND($C54&lt;=#REF!,$D54&gt;=#REF!),IF($G54="","x","y"),"")))</f>
        <v>#REF!</v>
      </c>
      <c r="T54" s="274" t="e">
        <f>IF(#REF!="Yes","H",IF($B54="","",IF(AND($C54&lt;=#REF!,$D54&gt;=#REF!),IF($G54="","x","y"),"")))</f>
        <v>#REF!</v>
      </c>
      <c r="U54" s="270" t="e">
        <f>IF(#REF!="Yes","H",IF($B54="","",IF(AND($C54&lt;=#REF!,$D54&gt;=#REF!),IF($G54="","x","y"),"")))</f>
        <v>#REF!</v>
      </c>
      <c r="V54" s="270" t="e">
        <f>IF(#REF!="Yes","H",IF($B54="","",IF(AND($C54&lt;=#REF!,$D54&gt;=#REF!),IF($G54="","x","y"),"")))</f>
        <v>#REF!</v>
      </c>
      <c r="W54" s="270" t="e">
        <f>IF(#REF!="Yes","H",IF($B54="","",IF(AND($C54&lt;=#REF!,$D54&gt;=#REF!),IF($G54="","x","y"),"")))</f>
        <v>#REF!</v>
      </c>
      <c r="X54" s="271" t="e">
        <f>IF(#REF!="Yes","H",IF($B54="","",IF(AND($C54&lt;=#REF!,$D54&gt;=#REF!),IF($G54="","x","y"),"")))</f>
        <v>#REF!</v>
      </c>
      <c r="Y54" s="272" t="e">
        <f>IF(#REF!="Yes","H",IF($B54="","",IF(AND($C54&lt;=#REF!,$D54&gt;=#REF!),IF($G54="","x","y"),"")))</f>
        <v>#REF!</v>
      </c>
      <c r="Z54" s="270" t="e">
        <f>IF(#REF!="Yes","H",IF($B54="","",IF(AND($C54&lt;=#REF!,$D54&gt;=#REF!),IF($G54="","x","y"),"")))</f>
        <v>#REF!</v>
      </c>
      <c r="AA54" s="270" t="e">
        <f>IF(#REF!="Yes","H",IF($B54="","",IF(AND($C54&lt;=#REF!,$D54&gt;=#REF!),IF($G54="","x","y"),"")))</f>
        <v>#REF!</v>
      </c>
      <c r="AB54" s="270" t="e">
        <f>IF(#REF!="Yes","H",IF($B54="","",IF(AND($C54&lt;=#REF!,$D54&gt;=#REF!),IF($G54="","x","y"),"")))</f>
        <v>#REF!</v>
      </c>
      <c r="AC54" s="273" t="e">
        <f>IF(#REF!="Yes","H",IF($B54="","",IF(AND($C54&lt;=#REF!,$D54&gt;=#REF!),IF($G54="","x","y"),"")))</f>
        <v>#REF!</v>
      </c>
      <c r="AD54" s="274" t="e">
        <f>IF(#REF!="Yes","H",IF($B54="","",IF(AND($C54&lt;=#REF!,$D54&gt;=#REF!),IF($G54="","x","y"),"")))</f>
        <v>#REF!</v>
      </c>
      <c r="AE54" s="270" t="e">
        <f>IF(#REF!="Yes","H",IF($B54="","",IF(AND($C54&lt;=#REF!,$D54&gt;=#REF!),IF($G54="","x","y"),"")))</f>
        <v>#REF!</v>
      </c>
      <c r="AF54" s="270" t="e">
        <f>IF(#REF!="Yes","H",IF($B54="","",IF(AND($C54&lt;=#REF!,$D54&gt;=#REF!),IF($G54="","x","y"),"")))</f>
        <v>#REF!</v>
      </c>
      <c r="AG54" s="270" t="e">
        <f>IF(#REF!="Yes","H",IF($B54="","",IF(AND($C54&lt;=#REF!,$D54&gt;=#REF!),IF($G54="","x","y"),"")))</f>
        <v>#REF!</v>
      </c>
      <c r="AH54" s="271" t="e">
        <f>IF(#REF!="Yes","H",IF($B54="","",IF(AND($C54&lt;=#REF!,$D54&gt;=#REF!),IF($G54="","x","y"),"")))</f>
        <v>#REF!</v>
      </c>
      <c r="AI54" s="272" t="e">
        <f>IF(#REF!="Yes","H",IF($B54="","",IF(AND($C54&lt;=#REF!,$D54&gt;=#REF!),IF($G54="","x","y"),"")))</f>
        <v>#REF!</v>
      </c>
      <c r="AJ54" s="270" t="e">
        <f>IF(#REF!="Yes","H",IF($B54="","",IF(AND($C54&lt;=#REF!,$D54&gt;=#REF!),IF($G54="","x","y"),"")))</f>
        <v>#REF!</v>
      </c>
      <c r="AK54" s="270" t="e">
        <f>IF(#REF!="Yes","H",IF($B54="","",IF(AND($C54&lt;=#REF!,$D54&gt;=#REF!),IF($G54="","x","y"),"")))</f>
        <v>#REF!</v>
      </c>
      <c r="AL54" s="270" t="e">
        <f>IF(#REF!="Yes","H",IF($B54="","",IF(AND($C54&lt;=#REF!,$D54&gt;=#REF!),IF($G54="","x","y"),"")))</f>
        <v>#REF!</v>
      </c>
      <c r="AM54" s="273" t="e">
        <f>IF(#REF!="Yes","H",IF($B54="","",IF(AND($C54&lt;=#REF!,$D54&gt;=#REF!),IF($G54="","x","y"),"")))</f>
        <v>#REF!</v>
      </c>
      <c r="AN54" s="274" t="e">
        <f>IF(#REF!="Yes","H",IF($B54="","",IF(AND($C54&lt;=#REF!,$D54&gt;=#REF!),IF($G54="","x","y"),"")))</f>
        <v>#REF!</v>
      </c>
      <c r="AO54" s="270" t="e">
        <f>IF(#REF!="Yes","H",IF($B54="","",IF(AND($C54&lt;=#REF!,$D54&gt;=#REF!),IF($G54="","x","y"),"")))</f>
        <v>#REF!</v>
      </c>
      <c r="AP54" s="270" t="e">
        <f>IF(#REF!="Yes","H",IF($B54="","",IF(AND($C54&lt;=#REF!,$D54&gt;=#REF!),IF($G54="","x","y"),"")))</f>
        <v>#REF!</v>
      </c>
      <c r="AQ54" s="270" t="e">
        <f>IF(#REF!="Yes","H",IF($B54="","",IF(AND($C54&lt;=#REF!,$D54&gt;=#REF!),IF($G54="","x","y"),"")))</f>
        <v>#REF!</v>
      </c>
      <c r="AR54" s="271" t="e">
        <f>IF(#REF!="Yes","H",IF($B54="","",IF(AND($C54&lt;=#REF!,$D54&gt;=#REF!),IF($G54="","x","y"),"")))</f>
        <v>#REF!</v>
      </c>
      <c r="AS54" s="272" t="e">
        <f>IF(#REF!="Yes","H",IF($B54="","",IF(AND($C54&lt;=#REF!,$D54&gt;=#REF!),IF($G54="","x","y"),"")))</f>
        <v>#REF!</v>
      </c>
      <c r="AT54" s="270" t="e">
        <f>IF(#REF!="Yes","H",IF($B54="","",IF(AND($C54&lt;=#REF!,$D54&gt;=#REF!),IF($G54="","x","y"),"")))</f>
        <v>#REF!</v>
      </c>
      <c r="AU54" s="270" t="e">
        <f>IF(#REF!="Yes","H",IF($B54="","",IF(AND($C54&lt;=#REF!,$D54&gt;=#REF!),IF($G54="","x","y"),"")))</f>
        <v>#REF!</v>
      </c>
      <c r="AV54" s="270" t="e">
        <f>IF(#REF!="Yes","H",IF($B54="","",IF(AND($C54&lt;=#REF!,$D54&gt;=#REF!),IF($G54="","x","y"),"")))</f>
        <v>#REF!</v>
      </c>
      <c r="AW54" s="273" t="e">
        <f>IF(#REF!="Yes","H",IF($B54="","",IF(AND($C54&lt;=#REF!,$D54&gt;=#REF!),IF($G54="","x","y"),"")))</f>
        <v>#REF!</v>
      </c>
      <c r="AX54" s="274" t="e">
        <f>IF(#REF!="Yes","H",IF($B54="","",IF(AND($C54&lt;=#REF!,$D54&gt;=#REF!),IF($G54="","x","y"),"")))</f>
        <v>#REF!</v>
      </c>
      <c r="AY54" s="270" t="e">
        <f>IF(#REF!="Yes","H",IF($B54="","",IF(AND($C54&lt;=#REF!,$D54&gt;=#REF!),IF($G54="","x","y"),"")))</f>
        <v>#REF!</v>
      </c>
      <c r="AZ54" s="270" t="e">
        <f>IF(#REF!="Yes","H",IF($B54="","",IF(AND($C54&lt;=#REF!,$D54&gt;=#REF!),IF($G54="","x","y"),"")))</f>
        <v>#REF!</v>
      </c>
      <c r="BA54" s="270" t="e">
        <f>IF(#REF!="Yes","H",IF($B54="","",IF(AND($C54&lt;=#REF!,$D54&gt;=#REF!),IF($G54="","x","y"),"")))</f>
        <v>#REF!</v>
      </c>
      <c r="BB54" s="271" t="e">
        <f>IF(#REF!="Yes","H",IF($B54="","",IF(AND($C54&lt;=#REF!,$D54&gt;=#REF!),IF($G54="","x","y"),"")))</f>
        <v>#REF!</v>
      </c>
      <c r="BC54" s="272" t="e">
        <f>IF(#REF!="Yes","H",IF($B54="","",IF(AND($C54&lt;=#REF!,$D54&gt;=#REF!),IF($G54="","x","y"),"")))</f>
        <v>#REF!</v>
      </c>
      <c r="BD54" s="270" t="e">
        <f>IF(#REF!="Yes","H",IF($B54="","",IF(AND($C54&lt;=#REF!,$D54&gt;=#REF!),IF($G54="","x","y"),"")))</f>
        <v>#REF!</v>
      </c>
      <c r="BE54" s="270" t="e">
        <f>IF(#REF!="Yes","H",IF($B54="","",IF(AND($C54&lt;=#REF!,$D54&gt;=#REF!),IF($G54="","x","y"),"")))</f>
        <v>#REF!</v>
      </c>
      <c r="BF54" s="270" t="e">
        <f>IF(#REF!="Yes","H",IF($B54="","",IF(AND($C54&lt;=#REF!,$D54&gt;=#REF!),IF($G54="","x","y"),"")))</f>
        <v>#REF!</v>
      </c>
      <c r="BG54" s="273" t="e">
        <f>IF(#REF!="Yes","H",IF($B54="","",IF(AND($C54&lt;=#REF!,$D54&gt;=#REF!),IF($G54="","x","y"),"")))</f>
        <v>#REF!</v>
      </c>
      <c r="BH54" s="274" t="e">
        <f>IF(#REF!="Yes","H",IF($B54="","",IF(AND($C54&lt;=#REF!,$D54&gt;=#REF!),IF($G54="","x","y"),"")))</f>
        <v>#REF!</v>
      </c>
      <c r="BI54" s="270" t="e">
        <f>IF(#REF!="Yes","H",IF($B54="","",IF(AND($C54&lt;=#REF!,$D54&gt;=#REF!),IF($G54="","x","y"),"")))</f>
        <v>#REF!</v>
      </c>
      <c r="BJ54" s="270" t="e">
        <f>IF(#REF!="Yes","H",IF($B54="","",IF(AND($C54&lt;=#REF!,$D54&gt;=#REF!),IF($G54="","x","y"),"")))</f>
        <v>#REF!</v>
      </c>
      <c r="BK54" s="270" t="e">
        <f>IF(#REF!="Yes","H",IF($B54="","",IF(AND($C54&lt;=#REF!,$D54&gt;=#REF!),IF($G54="","x","y"),"")))</f>
        <v>#REF!</v>
      </c>
      <c r="BL54" s="271" t="e">
        <f>IF(#REF!="Yes","H",IF($B54="","",IF(AND($C54&lt;=#REF!,$D54&gt;=#REF!),IF($G54="","x","y"),"")))</f>
        <v>#REF!</v>
      </c>
      <c r="BM54" s="272" t="e">
        <f>IF(#REF!="Yes","H",IF($B54="","",IF(AND($C54&lt;=#REF!,$D54&gt;=#REF!),IF($G54="","x","y"),"")))</f>
        <v>#REF!</v>
      </c>
      <c r="BN54" s="270" t="e">
        <f>IF(#REF!="Yes","H",IF($B54="","",IF(AND($C54&lt;=#REF!,$D54&gt;=#REF!),IF($G54="","x","y"),"")))</f>
        <v>#REF!</v>
      </c>
      <c r="BO54" s="270" t="e">
        <f>IF(#REF!="Yes","H",IF($B54="","",IF(AND($C54&lt;=#REF!,$D54&gt;=#REF!),IF($G54="","x","y"),"")))</f>
        <v>#REF!</v>
      </c>
      <c r="BP54" s="270" t="e">
        <f>IF(#REF!="Yes","H",IF($B54="","",IF(AND($C54&lt;=#REF!,$D54&gt;=#REF!),IF($G54="","x","y"),"")))</f>
        <v>#REF!</v>
      </c>
      <c r="BQ54" s="273" t="e">
        <f>IF(#REF!="Yes","H",IF($B54="","",IF(AND($C54&lt;=#REF!,$D54&gt;=#REF!),IF($G54="","x","y"),"")))</f>
        <v>#REF!</v>
      </c>
      <c r="BR54" s="274" t="e">
        <f>IF(#REF!="Yes","H",IF($B54="","",IF(AND($C54&lt;=#REF!,$D54&gt;=#REF!),IF($G54="","x","y"),"")))</f>
        <v>#REF!</v>
      </c>
      <c r="BS54" s="270" t="e">
        <f>IF(#REF!="Yes","H",IF($B54="","",IF(AND($C54&lt;=#REF!,$D54&gt;=#REF!),IF($G54="","x","y"),"")))</f>
        <v>#REF!</v>
      </c>
      <c r="BT54" s="270" t="e">
        <f>IF(#REF!="Yes","H",IF($B54="","",IF(AND($C54&lt;=#REF!,$D54&gt;=#REF!),IF($G54="","x","y"),"")))</f>
        <v>#REF!</v>
      </c>
      <c r="BU54" s="270" t="e">
        <f>IF(#REF!="Yes","H",IF($B54="","",IF(AND($C54&lt;=#REF!,$D54&gt;=#REF!),IF($G54="","x","y"),"")))</f>
        <v>#REF!</v>
      </c>
      <c r="BV54" s="271" t="e">
        <f>IF(#REF!="Yes","H",IF($B54="","",IF(AND($C54&lt;=#REF!,$D54&gt;=#REF!),IF($G54="","x","y"),"")))</f>
        <v>#REF!</v>
      </c>
      <c r="BW54" s="272" t="e">
        <f>IF(#REF!="Yes","H",IF($B54="","",IF(AND($C54&lt;=#REF!,$D54&gt;=#REF!),IF($G54="","x","y"),"")))</f>
        <v>#REF!</v>
      </c>
      <c r="BX54" s="270" t="e">
        <f>IF(#REF!="Yes","H",IF($B54="","",IF(AND($C54&lt;=#REF!,$D54&gt;=#REF!),IF($G54="","x","y"),"")))</f>
        <v>#REF!</v>
      </c>
      <c r="BY54" s="270" t="e">
        <f>IF(#REF!="Yes","H",IF($B54="","",IF(AND($C54&lt;=#REF!,$D54&gt;=#REF!),IF($G54="","x","y"),"")))</f>
        <v>#REF!</v>
      </c>
      <c r="BZ54" s="270" t="e">
        <f>IF(#REF!="Yes","H",IF($B54="","",IF(AND($C54&lt;=#REF!,$D54&gt;=#REF!),IF($G54="","x","y"),"")))</f>
        <v>#REF!</v>
      </c>
      <c r="CA54" s="273" t="e">
        <f>IF(#REF!="Yes","H",IF($B54="","",IF(AND($C54&lt;=#REF!,$D54&gt;=#REF!),IF($G54="","x","y"),"")))</f>
        <v>#REF!</v>
      </c>
    </row>
    <row r="55" spans="2:79" ht="15" customHeight="1">
      <c r="B55" s="210"/>
      <c r="C55" s="260"/>
      <c r="D55" s="260"/>
      <c r="E55" s="260"/>
      <c r="F55" s="224"/>
      <c r="G55" s="276"/>
      <c r="H55" s="277"/>
      <c r="I55" s="211"/>
      <c r="J55" s="269" t="e">
        <f>IF(#REF!="Yes","H",IF($B55="","",IF(AND($C55&lt;=#REF!,$D55&gt;=#REF!),IF($G55="","x","y"),"")))</f>
        <v>#REF!</v>
      </c>
      <c r="K55" s="270" t="e">
        <f>IF(#REF!="Yes","H",IF($B55="","",IF(AND($C55&lt;=#REF!,$D55&gt;=#REF!),IF($G55="","x","y"),"")))</f>
        <v>#REF!</v>
      </c>
      <c r="L55" s="270" t="e">
        <f>IF(#REF!="Yes","H",IF($B55="","",IF(AND($C55&lt;=#REF!,$D55&gt;=#REF!),IF($G55="","x","y"),"")))</f>
        <v>#REF!</v>
      </c>
      <c r="M55" s="270" t="e">
        <f>IF(#REF!="Yes","H",IF($B55="","",IF(AND($C55&lt;=#REF!,$D55&gt;=#REF!),IF($G55="","x","y"),"")))</f>
        <v>#REF!</v>
      </c>
      <c r="N55" s="271" t="e">
        <f>IF(#REF!="Yes","H",IF($B55="","",IF(AND($C55&lt;=#REF!,$D55&gt;=#REF!),IF($G55="","x","y"),"")))</f>
        <v>#REF!</v>
      </c>
      <c r="O55" s="272" t="e">
        <f>IF(#REF!="Yes","H",IF($B55="","",IF(AND($C55&lt;=#REF!,$D55&gt;=#REF!),IF($G55="","x","y"),"")))</f>
        <v>#REF!</v>
      </c>
      <c r="P55" s="270" t="e">
        <f>IF(#REF!="Yes","H",IF($B55="","",IF(AND($C55&lt;=#REF!,$D55&gt;=#REF!),IF($G55="","x","y"),"")))</f>
        <v>#REF!</v>
      </c>
      <c r="Q55" s="270" t="e">
        <f>IF(#REF!="Yes","H",IF($B55="","",IF(AND($C55&lt;=#REF!,$D55&gt;=#REF!),IF($G55="","x","y"),"")))</f>
        <v>#REF!</v>
      </c>
      <c r="R55" s="270" t="e">
        <f>IF(#REF!="Yes","H",IF($B55="","",IF(AND($C55&lt;=#REF!,$D55&gt;=#REF!),IF($G55="","x","y"),"")))</f>
        <v>#REF!</v>
      </c>
      <c r="S55" s="273" t="e">
        <f>IF(#REF!="Yes","H",IF($B55="","",IF(AND($C55&lt;=#REF!,$D55&gt;=#REF!),IF($G55="","x","y"),"")))</f>
        <v>#REF!</v>
      </c>
      <c r="T55" s="274" t="e">
        <f>IF(#REF!="Yes","H",IF($B55="","",IF(AND($C55&lt;=#REF!,$D55&gt;=#REF!),IF($G55="","x","y"),"")))</f>
        <v>#REF!</v>
      </c>
      <c r="U55" s="270" t="e">
        <f>IF(#REF!="Yes","H",IF($B55="","",IF(AND($C55&lt;=#REF!,$D55&gt;=#REF!),IF($G55="","x","y"),"")))</f>
        <v>#REF!</v>
      </c>
      <c r="V55" s="270" t="e">
        <f>IF(#REF!="Yes","H",IF($B55="","",IF(AND($C55&lt;=#REF!,$D55&gt;=#REF!),IF($G55="","x","y"),"")))</f>
        <v>#REF!</v>
      </c>
      <c r="W55" s="270" t="e">
        <f>IF(#REF!="Yes","H",IF($B55="","",IF(AND($C55&lt;=#REF!,$D55&gt;=#REF!),IF($G55="","x","y"),"")))</f>
        <v>#REF!</v>
      </c>
      <c r="X55" s="271" t="e">
        <f>IF(#REF!="Yes","H",IF($B55="","",IF(AND($C55&lt;=#REF!,$D55&gt;=#REF!),IF($G55="","x","y"),"")))</f>
        <v>#REF!</v>
      </c>
      <c r="Y55" s="272" t="e">
        <f>IF(#REF!="Yes","H",IF($B55="","",IF(AND($C55&lt;=#REF!,$D55&gt;=#REF!),IF($G55="","x","y"),"")))</f>
        <v>#REF!</v>
      </c>
      <c r="Z55" s="270" t="e">
        <f>IF(#REF!="Yes","H",IF($B55="","",IF(AND($C55&lt;=#REF!,$D55&gt;=#REF!),IF($G55="","x","y"),"")))</f>
        <v>#REF!</v>
      </c>
      <c r="AA55" s="270" t="e">
        <f>IF(#REF!="Yes","H",IF($B55="","",IF(AND($C55&lt;=#REF!,$D55&gt;=#REF!),IF($G55="","x","y"),"")))</f>
        <v>#REF!</v>
      </c>
      <c r="AB55" s="270" t="e">
        <f>IF(#REF!="Yes","H",IF($B55="","",IF(AND($C55&lt;=#REF!,$D55&gt;=#REF!),IF($G55="","x","y"),"")))</f>
        <v>#REF!</v>
      </c>
      <c r="AC55" s="273" t="e">
        <f>IF(#REF!="Yes","H",IF($B55="","",IF(AND($C55&lt;=#REF!,$D55&gt;=#REF!),IF($G55="","x","y"),"")))</f>
        <v>#REF!</v>
      </c>
      <c r="AD55" s="274" t="e">
        <f>IF(#REF!="Yes","H",IF($B55="","",IF(AND($C55&lt;=#REF!,$D55&gt;=#REF!),IF($G55="","x","y"),"")))</f>
        <v>#REF!</v>
      </c>
      <c r="AE55" s="270" t="e">
        <f>IF(#REF!="Yes","H",IF($B55="","",IF(AND($C55&lt;=#REF!,$D55&gt;=#REF!),IF($G55="","x","y"),"")))</f>
        <v>#REF!</v>
      </c>
      <c r="AF55" s="270" t="e">
        <f>IF(#REF!="Yes","H",IF($B55="","",IF(AND($C55&lt;=#REF!,$D55&gt;=#REF!),IF($G55="","x","y"),"")))</f>
        <v>#REF!</v>
      </c>
      <c r="AG55" s="270" t="e">
        <f>IF(#REF!="Yes","H",IF($B55="","",IF(AND($C55&lt;=#REF!,$D55&gt;=#REF!),IF($G55="","x","y"),"")))</f>
        <v>#REF!</v>
      </c>
      <c r="AH55" s="271" t="e">
        <f>IF(#REF!="Yes","H",IF($B55="","",IF(AND($C55&lt;=#REF!,$D55&gt;=#REF!),IF($G55="","x","y"),"")))</f>
        <v>#REF!</v>
      </c>
      <c r="AI55" s="272" t="e">
        <f>IF(#REF!="Yes","H",IF($B55="","",IF(AND($C55&lt;=#REF!,$D55&gt;=#REF!),IF($G55="","x","y"),"")))</f>
        <v>#REF!</v>
      </c>
      <c r="AJ55" s="270" t="e">
        <f>IF(#REF!="Yes","H",IF($B55="","",IF(AND($C55&lt;=#REF!,$D55&gt;=#REF!),IF($G55="","x","y"),"")))</f>
        <v>#REF!</v>
      </c>
      <c r="AK55" s="270" t="e">
        <f>IF(#REF!="Yes","H",IF($B55="","",IF(AND($C55&lt;=#REF!,$D55&gt;=#REF!),IF($G55="","x","y"),"")))</f>
        <v>#REF!</v>
      </c>
      <c r="AL55" s="270" t="e">
        <f>IF(#REF!="Yes","H",IF($B55="","",IF(AND($C55&lt;=#REF!,$D55&gt;=#REF!),IF($G55="","x","y"),"")))</f>
        <v>#REF!</v>
      </c>
      <c r="AM55" s="273" t="e">
        <f>IF(#REF!="Yes","H",IF($B55="","",IF(AND($C55&lt;=#REF!,$D55&gt;=#REF!),IF($G55="","x","y"),"")))</f>
        <v>#REF!</v>
      </c>
      <c r="AN55" s="274" t="e">
        <f>IF(#REF!="Yes","H",IF($B55="","",IF(AND($C55&lt;=#REF!,$D55&gt;=#REF!),IF($G55="","x","y"),"")))</f>
        <v>#REF!</v>
      </c>
      <c r="AO55" s="270" t="e">
        <f>IF(#REF!="Yes","H",IF($B55="","",IF(AND($C55&lt;=#REF!,$D55&gt;=#REF!),IF($G55="","x","y"),"")))</f>
        <v>#REF!</v>
      </c>
      <c r="AP55" s="270" t="e">
        <f>IF(#REF!="Yes","H",IF($B55="","",IF(AND($C55&lt;=#REF!,$D55&gt;=#REF!),IF($G55="","x","y"),"")))</f>
        <v>#REF!</v>
      </c>
      <c r="AQ55" s="270" t="e">
        <f>IF(#REF!="Yes","H",IF($B55="","",IF(AND($C55&lt;=#REF!,$D55&gt;=#REF!),IF($G55="","x","y"),"")))</f>
        <v>#REF!</v>
      </c>
      <c r="AR55" s="271" t="e">
        <f>IF(#REF!="Yes","H",IF($B55="","",IF(AND($C55&lt;=#REF!,$D55&gt;=#REF!),IF($G55="","x","y"),"")))</f>
        <v>#REF!</v>
      </c>
      <c r="AS55" s="272" t="e">
        <f>IF(#REF!="Yes","H",IF($B55="","",IF(AND($C55&lt;=#REF!,$D55&gt;=#REF!),IF($G55="","x","y"),"")))</f>
        <v>#REF!</v>
      </c>
      <c r="AT55" s="270" t="e">
        <f>IF(#REF!="Yes","H",IF($B55="","",IF(AND($C55&lt;=#REF!,$D55&gt;=#REF!),IF($G55="","x","y"),"")))</f>
        <v>#REF!</v>
      </c>
      <c r="AU55" s="270" t="e">
        <f>IF(#REF!="Yes","H",IF($B55="","",IF(AND($C55&lt;=#REF!,$D55&gt;=#REF!),IF($G55="","x","y"),"")))</f>
        <v>#REF!</v>
      </c>
      <c r="AV55" s="270" t="e">
        <f>IF(#REF!="Yes","H",IF($B55="","",IF(AND($C55&lt;=#REF!,$D55&gt;=#REF!),IF($G55="","x","y"),"")))</f>
        <v>#REF!</v>
      </c>
      <c r="AW55" s="273" t="e">
        <f>IF(#REF!="Yes","H",IF($B55="","",IF(AND($C55&lt;=#REF!,$D55&gt;=#REF!),IF($G55="","x","y"),"")))</f>
        <v>#REF!</v>
      </c>
      <c r="AX55" s="274" t="e">
        <f>IF(#REF!="Yes","H",IF($B55="","",IF(AND($C55&lt;=#REF!,$D55&gt;=#REF!),IF($G55="","x","y"),"")))</f>
        <v>#REF!</v>
      </c>
      <c r="AY55" s="270" t="e">
        <f>IF(#REF!="Yes","H",IF($B55="","",IF(AND($C55&lt;=#REF!,$D55&gt;=#REF!),IF($G55="","x","y"),"")))</f>
        <v>#REF!</v>
      </c>
      <c r="AZ55" s="270" t="e">
        <f>IF(#REF!="Yes","H",IF($B55="","",IF(AND($C55&lt;=#REF!,$D55&gt;=#REF!),IF($G55="","x","y"),"")))</f>
        <v>#REF!</v>
      </c>
      <c r="BA55" s="270" t="e">
        <f>IF(#REF!="Yes","H",IF($B55="","",IF(AND($C55&lt;=#REF!,$D55&gt;=#REF!),IF($G55="","x","y"),"")))</f>
        <v>#REF!</v>
      </c>
      <c r="BB55" s="271" t="e">
        <f>IF(#REF!="Yes","H",IF($B55="","",IF(AND($C55&lt;=#REF!,$D55&gt;=#REF!),IF($G55="","x","y"),"")))</f>
        <v>#REF!</v>
      </c>
      <c r="BC55" s="272" t="e">
        <f>IF(#REF!="Yes","H",IF($B55="","",IF(AND($C55&lt;=#REF!,$D55&gt;=#REF!),IF($G55="","x","y"),"")))</f>
        <v>#REF!</v>
      </c>
      <c r="BD55" s="270" t="e">
        <f>IF(#REF!="Yes","H",IF($B55="","",IF(AND($C55&lt;=#REF!,$D55&gt;=#REF!),IF($G55="","x","y"),"")))</f>
        <v>#REF!</v>
      </c>
      <c r="BE55" s="270" t="e">
        <f>IF(#REF!="Yes","H",IF($B55="","",IF(AND($C55&lt;=#REF!,$D55&gt;=#REF!),IF($G55="","x","y"),"")))</f>
        <v>#REF!</v>
      </c>
      <c r="BF55" s="270" t="e">
        <f>IF(#REF!="Yes","H",IF($B55="","",IF(AND($C55&lt;=#REF!,$D55&gt;=#REF!),IF($G55="","x","y"),"")))</f>
        <v>#REF!</v>
      </c>
      <c r="BG55" s="273" t="e">
        <f>IF(#REF!="Yes","H",IF($B55="","",IF(AND($C55&lt;=#REF!,$D55&gt;=#REF!),IF($G55="","x","y"),"")))</f>
        <v>#REF!</v>
      </c>
      <c r="BH55" s="274" t="e">
        <f>IF(#REF!="Yes","H",IF($B55="","",IF(AND($C55&lt;=#REF!,$D55&gt;=#REF!),IF($G55="","x","y"),"")))</f>
        <v>#REF!</v>
      </c>
      <c r="BI55" s="270" t="e">
        <f>IF(#REF!="Yes","H",IF($B55="","",IF(AND($C55&lt;=#REF!,$D55&gt;=#REF!),IF($G55="","x","y"),"")))</f>
        <v>#REF!</v>
      </c>
      <c r="BJ55" s="270" t="e">
        <f>IF(#REF!="Yes","H",IF($B55="","",IF(AND($C55&lt;=#REF!,$D55&gt;=#REF!),IF($G55="","x","y"),"")))</f>
        <v>#REF!</v>
      </c>
      <c r="BK55" s="270" t="e">
        <f>IF(#REF!="Yes","H",IF($B55="","",IF(AND($C55&lt;=#REF!,$D55&gt;=#REF!),IF($G55="","x","y"),"")))</f>
        <v>#REF!</v>
      </c>
      <c r="BL55" s="271" t="e">
        <f>IF(#REF!="Yes","H",IF($B55="","",IF(AND($C55&lt;=#REF!,$D55&gt;=#REF!),IF($G55="","x","y"),"")))</f>
        <v>#REF!</v>
      </c>
      <c r="BM55" s="272" t="e">
        <f>IF(#REF!="Yes","H",IF($B55="","",IF(AND($C55&lt;=#REF!,$D55&gt;=#REF!),IF($G55="","x","y"),"")))</f>
        <v>#REF!</v>
      </c>
      <c r="BN55" s="270" t="e">
        <f>IF(#REF!="Yes","H",IF($B55="","",IF(AND($C55&lt;=#REF!,$D55&gt;=#REF!),IF($G55="","x","y"),"")))</f>
        <v>#REF!</v>
      </c>
      <c r="BO55" s="270" t="e">
        <f>IF(#REF!="Yes","H",IF($B55="","",IF(AND($C55&lt;=#REF!,$D55&gt;=#REF!),IF($G55="","x","y"),"")))</f>
        <v>#REF!</v>
      </c>
      <c r="BP55" s="270" t="e">
        <f>IF(#REF!="Yes","H",IF($B55="","",IF(AND($C55&lt;=#REF!,$D55&gt;=#REF!),IF($G55="","x","y"),"")))</f>
        <v>#REF!</v>
      </c>
      <c r="BQ55" s="273" t="e">
        <f>IF(#REF!="Yes","H",IF($B55="","",IF(AND($C55&lt;=#REF!,$D55&gt;=#REF!),IF($G55="","x","y"),"")))</f>
        <v>#REF!</v>
      </c>
      <c r="BR55" s="274" t="e">
        <f>IF(#REF!="Yes","H",IF($B55="","",IF(AND($C55&lt;=#REF!,$D55&gt;=#REF!),IF($G55="","x","y"),"")))</f>
        <v>#REF!</v>
      </c>
      <c r="BS55" s="270" t="e">
        <f>IF(#REF!="Yes","H",IF($B55="","",IF(AND($C55&lt;=#REF!,$D55&gt;=#REF!),IF($G55="","x","y"),"")))</f>
        <v>#REF!</v>
      </c>
      <c r="BT55" s="270" t="e">
        <f>IF(#REF!="Yes","H",IF($B55="","",IF(AND($C55&lt;=#REF!,$D55&gt;=#REF!),IF($G55="","x","y"),"")))</f>
        <v>#REF!</v>
      </c>
      <c r="BU55" s="270" t="e">
        <f>IF(#REF!="Yes","H",IF($B55="","",IF(AND($C55&lt;=#REF!,$D55&gt;=#REF!),IF($G55="","x","y"),"")))</f>
        <v>#REF!</v>
      </c>
      <c r="BV55" s="271" t="e">
        <f>IF(#REF!="Yes","H",IF($B55="","",IF(AND($C55&lt;=#REF!,$D55&gt;=#REF!),IF($G55="","x","y"),"")))</f>
        <v>#REF!</v>
      </c>
      <c r="BW55" s="272" t="e">
        <f>IF(#REF!="Yes","H",IF($B55="","",IF(AND($C55&lt;=#REF!,$D55&gt;=#REF!),IF($G55="","x","y"),"")))</f>
        <v>#REF!</v>
      </c>
      <c r="BX55" s="270" t="e">
        <f>IF(#REF!="Yes","H",IF($B55="","",IF(AND($C55&lt;=#REF!,$D55&gt;=#REF!),IF($G55="","x","y"),"")))</f>
        <v>#REF!</v>
      </c>
      <c r="BY55" s="270" t="e">
        <f>IF(#REF!="Yes","H",IF($B55="","",IF(AND($C55&lt;=#REF!,$D55&gt;=#REF!),IF($G55="","x","y"),"")))</f>
        <v>#REF!</v>
      </c>
      <c r="BZ55" s="270" t="e">
        <f>IF(#REF!="Yes","H",IF($B55="","",IF(AND($C55&lt;=#REF!,$D55&gt;=#REF!),IF($G55="","x","y"),"")))</f>
        <v>#REF!</v>
      </c>
      <c r="CA55" s="273" t="e">
        <f>IF(#REF!="Yes","H",IF($B55="","",IF(AND($C55&lt;=#REF!,$D55&gt;=#REF!),IF($G55="","x","y"),"")))</f>
        <v>#REF!</v>
      </c>
    </row>
    <row r="56" spans="2:79" ht="15" customHeight="1">
      <c r="B56" s="210"/>
      <c r="C56" s="260"/>
      <c r="D56" s="260"/>
      <c r="E56" s="260"/>
      <c r="F56" s="224"/>
      <c r="G56" s="275"/>
      <c r="H56" s="209"/>
      <c r="I56" s="211"/>
      <c r="J56" s="269" t="e">
        <f>IF(#REF!="Yes","H",IF($B56="","",IF(AND($C56&lt;=#REF!,$D56&gt;=#REF!),IF($G56="","x","y"),"")))</f>
        <v>#REF!</v>
      </c>
      <c r="K56" s="270" t="e">
        <f>IF(#REF!="Yes","H",IF($B56="","",IF(AND($C56&lt;=#REF!,$D56&gt;=#REF!),IF($G56="","x","y"),"")))</f>
        <v>#REF!</v>
      </c>
      <c r="L56" s="270" t="e">
        <f>IF(#REF!="Yes","H",IF($B56="","",IF(AND($C56&lt;=#REF!,$D56&gt;=#REF!),IF($G56="","x","y"),"")))</f>
        <v>#REF!</v>
      </c>
      <c r="M56" s="270" t="e">
        <f>IF(#REF!="Yes","H",IF($B56="","",IF(AND($C56&lt;=#REF!,$D56&gt;=#REF!),IF($G56="","x","y"),"")))</f>
        <v>#REF!</v>
      </c>
      <c r="N56" s="271" t="e">
        <f>IF(#REF!="Yes","H",IF($B56="","",IF(AND($C56&lt;=#REF!,$D56&gt;=#REF!),IF($G56="","x","y"),"")))</f>
        <v>#REF!</v>
      </c>
      <c r="O56" s="272" t="e">
        <f>IF(#REF!="Yes","H",IF($B56="","",IF(AND($C56&lt;=#REF!,$D56&gt;=#REF!),IF($G56="","x","y"),"")))</f>
        <v>#REF!</v>
      </c>
      <c r="P56" s="270" t="e">
        <f>IF(#REF!="Yes","H",IF($B56="","",IF(AND($C56&lt;=#REF!,$D56&gt;=#REF!),IF($G56="","x","y"),"")))</f>
        <v>#REF!</v>
      </c>
      <c r="Q56" s="270" t="e">
        <f>IF(#REF!="Yes","H",IF($B56="","",IF(AND($C56&lt;=#REF!,$D56&gt;=#REF!),IF($G56="","x","y"),"")))</f>
        <v>#REF!</v>
      </c>
      <c r="R56" s="270" t="e">
        <f>IF(#REF!="Yes","H",IF($B56="","",IF(AND($C56&lt;=#REF!,$D56&gt;=#REF!),IF($G56="","x","y"),"")))</f>
        <v>#REF!</v>
      </c>
      <c r="S56" s="273" t="e">
        <f>IF(#REF!="Yes","H",IF($B56="","",IF(AND($C56&lt;=#REF!,$D56&gt;=#REF!),IF($G56="","x","y"),"")))</f>
        <v>#REF!</v>
      </c>
      <c r="T56" s="274" t="e">
        <f>IF(#REF!="Yes","H",IF($B56="","",IF(AND($C56&lt;=#REF!,$D56&gt;=#REF!),IF($G56="","x","y"),"")))</f>
        <v>#REF!</v>
      </c>
      <c r="U56" s="270" t="e">
        <f>IF(#REF!="Yes","H",IF($B56="","",IF(AND($C56&lt;=#REF!,$D56&gt;=#REF!),IF($G56="","x","y"),"")))</f>
        <v>#REF!</v>
      </c>
      <c r="V56" s="270" t="e">
        <f>IF(#REF!="Yes","H",IF($B56="","",IF(AND($C56&lt;=#REF!,$D56&gt;=#REF!),IF($G56="","x","y"),"")))</f>
        <v>#REF!</v>
      </c>
      <c r="W56" s="270" t="e">
        <f>IF(#REF!="Yes","H",IF($B56="","",IF(AND($C56&lt;=#REF!,$D56&gt;=#REF!),IF($G56="","x","y"),"")))</f>
        <v>#REF!</v>
      </c>
      <c r="X56" s="271" t="e">
        <f>IF(#REF!="Yes","H",IF($B56="","",IF(AND($C56&lt;=#REF!,$D56&gt;=#REF!),IF($G56="","x","y"),"")))</f>
        <v>#REF!</v>
      </c>
      <c r="Y56" s="272" t="e">
        <f>IF(#REF!="Yes","H",IF($B56="","",IF(AND($C56&lt;=#REF!,$D56&gt;=#REF!),IF($G56="","x","y"),"")))</f>
        <v>#REF!</v>
      </c>
      <c r="Z56" s="270" t="e">
        <f>IF(#REF!="Yes","H",IF($B56="","",IF(AND($C56&lt;=#REF!,$D56&gt;=#REF!),IF($G56="","x","y"),"")))</f>
        <v>#REF!</v>
      </c>
      <c r="AA56" s="270" t="e">
        <f>IF(#REF!="Yes","H",IF($B56="","",IF(AND($C56&lt;=#REF!,$D56&gt;=#REF!),IF($G56="","x","y"),"")))</f>
        <v>#REF!</v>
      </c>
      <c r="AB56" s="270" t="e">
        <f>IF(#REF!="Yes","H",IF($B56="","",IF(AND($C56&lt;=#REF!,$D56&gt;=#REF!),IF($G56="","x","y"),"")))</f>
        <v>#REF!</v>
      </c>
      <c r="AC56" s="273" t="e">
        <f>IF(#REF!="Yes","H",IF($B56="","",IF(AND($C56&lt;=#REF!,$D56&gt;=#REF!),IF($G56="","x","y"),"")))</f>
        <v>#REF!</v>
      </c>
      <c r="AD56" s="274" t="e">
        <f>IF(#REF!="Yes","H",IF($B56="","",IF(AND($C56&lt;=#REF!,$D56&gt;=#REF!),IF($G56="","x","y"),"")))</f>
        <v>#REF!</v>
      </c>
      <c r="AE56" s="270" t="e">
        <f>IF(#REF!="Yes","H",IF($B56="","",IF(AND($C56&lt;=#REF!,$D56&gt;=#REF!),IF($G56="","x","y"),"")))</f>
        <v>#REF!</v>
      </c>
      <c r="AF56" s="270" t="e">
        <f>IF(#REF!="Yes","H",IF($B56="","",IF(AND($C56&lt;=#REF!,$D56&gt;=#REF!),IF($G56="","x","y"),"")))</f>
        <v>#REF!</v>
      </c>
      <c r="AG56" s="270" t="e">
        <f>IF(#REF!="Yes","H",IF($B56="","",IF(AND($C56&lt;=#REF!,$D56&gt;=#REF!),IF($G56="","x","y"),"")))</f>
        <v>#REF!</v>
      </c>
      <c r="AH56" s="271" t="e">
        <f>IF(#REF!="Yes","H",IF($B56="","",IF(AND($C56&lt;=#REF!,$D56&gt;=#REF!),IF($G56="","x","y"),"")))</f>
        <v>#REF!</v>
      </c>
      <c r="AI56" s="272" t="e">
        <f>IF(#REF!="Yes","H",IF($B56="","",IF(AND($C56&lt;=#REF!,$D56&gt;=#REF!),IF($G56="","x","y"),"")))</f>
        <v>#REF!</v>
      </c>
      <c r="AJ56" s="270" t="e">
        <f>IF(#REF!="Yes","H",IF($B56="","",IF(AND($C56&lt;=#REF!,$D56&gt;=#REF!),IF($G56="","x","y"),"")))</f>
        <v>#REF!</v>
      </c>
      <c r="AK56" s="270" t="e">
        <f>IF(#REF!="Yes","H",IF($B56="","",IF(AND($C56&lt;=#REF!,$D56&gt;=#REF!),IF($G56="","x","y"),"")))</f>
        <v>#REF!</v>
      </c>
      <c r="AL56" s="270" t="e">
        <f>IF(#REF!="Yes","H",IF($B56="","",IF(AND($C56&lt;=#REF!,$D56&gt;=#REF!),IF($G56="","x","y"),"")))</f>
        <v>#REF!</v>
      </c>
      <c r="AM56" s="273" t="e">
        <f>IF(#REF!="Yes","H",IF($B56="","",IF(AND($C56&lt;=#REF!,$D56&gt;=#REF!),IF($G56="","x","y"),"")))</f>
        <v>#REF!</v>
      </c>
      <c r="AN56" s="274" t="e">
        <f>IF(#REF!="Yes","H",IF($B56="","",IF(AND($C56&lt;=#REF!,$D56&gt;=#REF!),IF($G56="","x","y"),"")))</f>
        <v>#REF!</v>
      </c>
      <c r="AO56" s="270" t="e">
        <f>IF(#REF!="Yes","H",IF($B56="","",IF(AND($C56&lt;=#REF!,$D56&gt;=#REF!),IF($G56="","x","y"),"")))</f>
        <v>#REF!</v>
      </c>
      <c r="AP56" s="270" t="e">
        <f>IF(#REF!="Yes","H",IF($B56="","",IF(AND($C56&lt;=#REF!,$D56&gt;=#REF!),IF($G56="","x","y"),"")))</f>
        <v>#REF!</v>
      </c>
      <c r="AQ56" s="270" t="e">
        <f>IF(#REF!="Yes","H",IF($B56="","",IF(AND($C56&lt;=#REF!,$D56&gt;=#REF!),IF($G56="","x","y"),"")))</f>
        <v>#REF!</v>
      </c>
      <c r="AR56" s="271" t="e">
        <f>IF(#REF!="Yes","H",IF($B56="","",IF(AND($C56&lt;=#REF!,$D56&gt;=#REF!),IF($G56="","x","y"),"")))</f>
        <v>#REF!</v>
      </c>
      <c r="AS56" s="272" t="e">
        <f>IF(#REF!="Yes","H",IF($B56="","",IF(AND($C56&lt;=#REF!,$D56&gt;=#REF!),IF($G56="","x","y"),"")))</f>
        <v>#REF!</v>
      </c>
      <c r="AT56" s="270" t="e">
        <f>IF(#REF!="Yes","H",IF($B56="","",IF(AND($C56&lt;=#REF!,$D56&gt;=#REF!),IF($G56="","x","y"),"")))</f>
        <v>#REF!</v>
      </c>
      <c r="AU56" s="270" t="e">
        <f>IF(#REF!="Yes","H",IF($B56="","",IF(AND($C56&lt;=#REF!,$D56&gt;=#REF!),IF($G56="","x","y"),"")))</f>
        <v>#REF!</v>
      </c>
      <c r="AV56" s="270" t="e">
        <f>IF(#REF!="Yes","H",IF($B56="","",IF(AND($C56&lt;=#REF!,$D56&gt;=#REF!),IF($G56="","x","y"),"")))</f>
        <v>#REF!</v>
      </c>
      <c r="AW56" s="273" t="e">
        <f>IF(#REF!="Yes","H",IF($B56="","",IF(AND($C56&lt;=#REF!,$D56&gt;=#REF!),IF($G56="","x","y"),"")))</f>
        <v>#REF!</v>
      </c>
      <c r="AX56" s="274" t="e">
        <f>IF(#REF!="Yes","H",IF($B56="","",IF(AND($C56&lt;=#REF!,$D56&gt;=#REF!),IF($G56="","x","y"),"")))</f>
        <v>#REF!</v>
      </c>
      <c r="AY56" s="270" t="e">
        <f>IF(#REF!="Yes","H",IF($B56="","",IF(AND($C56&lt;=#REF!,$D56&gt;=#REF!),IF($G56="","x","y"),"")))</f>
        <v>#REF!</v>
      </c>
      <c r="AZ56" s="270" t="e">
        <f>IF(#REF!="Yes","H",IF($B56="","",IF(AND($C56&lt;=#REF!,$D56&gt;=#REF!),IF($G56="","x","y"),"")))</f>
        <v>#REF!</v>
      </c>
      <c r="BA56" s="270" t="e">
        <f>IF(#REF!="Yes","H",IF($B56="","",IF(AND($C56&lt;=#REF!,$D56&gt;=#REF!),IF($G56="","x","y"),"")))</f>
        <v>#REF!</v>
      </c>
      <c r="BB56" s="271" t="e">
        <f>IF(#REF!="Yes","H",IF($B56="","",IF(AND($C56&lt;=#REF!,$D56&gt;=#REF!),IF($G56="","x","y"),"")))</f>
        <v>#REF!</v>
      </c>
      <c r="BC56" s="272" t="e">
        <f>IF(#REF!="Yes","H",IF($B56="","",IF(AND($C56&lt;=#REF!,$D56&gt;=#REF!),IF($G56="","x","y"),"")))</f>
        <v>#REF!</v>
      </c>
      <c r="BD56" s="270" t="e">
        <f>IF(#REF!="Yes","H",IF($B56="","",IF(AND($C56&lt;=#REF!,$D56&gt;=#REF!),IF($G56="","x","y"),"")))</f>
        <v>#REF!</v>
      </c>
      <c r="BE56" s="270" t="e">
        <f>IF(#REF!="Yes","H",IF($B56="","",IF(AND($C56&lt;=#REF!,$D56&gt;=#REF!),IF($G56="","x","y"),"")))</f>
        <v>#REF!</v>
      </c>
      <c r="BF56" s="270" t="e">
        <f>IF(#REF!="Yes","H",IF($B56="","",IF(AND($C56&lt;=#REF!,$D56&gt;=#REF!),IF($G56="","x","y"),"")))</f>
        <v>#REF!</v>
      </c>
      <c r="BG56" s="273" t="e">
        <f>IF(#REF!="Yes","H",IF($B56="","",IF(AND($C56&lt;=#REF!,$D56&gt;=#REF!),IF($G56="","x","y"),"")))</f>
        <v>#REF!</v>
      </c>
      <c r="BH56" s="274" t="e">
        <f>IF(#REF!="Yes","H",IF($B56="","",IF(AND($C56&lt;=#REF!,$D56&gt;=#REF!),IF($G56="","x","y"),"")))</f>
        <v>#REF!</v>
      </c>
      <c r="BI56" s="270" t="e">
        <f>IF(#REF!="Yes","H",IF($B56="","",IF(AND($C56&lt;=#REF!,$D56&gt;=#REF!),IF($G56="","x","y"),"")))</f>
        <v>#REF!</v>
      </c>
      <c r="BJ56" s="270" t="e">
        <f>IF(#REF!="Yes","H",IF($B56="","",IF(AND($C56&lt;=#REF!,$D56&gt;=#REF!),IF($G56="","x","y"),"")))</f>
        <v>#REF!</v>
      </c>
      <c r="BK56" s="270" t="e">
        <f>IF(#REF!="Yes","H",IF($B56="","",IF(AND($C56&lt;=#REF!,$D56&gt;=#REF!),IF($G56="","x","y"),"")))</f>
        <v>#REF!</v>
      </c>
      <c r="BL56" s="271" t="e">
        <f>IF(#REF!="Yes","H",IF($B56="","",IF(AND($C56&lt;=#REF!,$D56&gt;=#REF!),IF($G56="","x","y"),"")))</f>
        <v>#REF!</v>
      </c>
      <c r="BM56" s="272" t="e">
        <f>IF(#REF!="Yes","H",IF($B56="","",IF(AND($C56&lt;=#REF!,$D56&gt;=#REF!),IF($G56="","x","y"),"")))</f>
        <v>#REF!</v>
      </c>
      <c r="BN56" s="270" t="e">
        <f>IF(#REF!="Yes","H",IF($B56="","",IF(AND($C56&lt;=#REF!,$D56&gt;=#REF!),IF($G56="","x","y"),"")))</f>
        <v>#REF!</v>
      </c>
      <c r="BO56" s="270" t="e">
        <f>IF(#REF!="Yes","H",IF($B56="","",IF(AND($C56&lt;=#REF!,$D56&gt;=#REF!),IF($G56="","x","y"),"")))</f>
        <v>#REF!</v>
      </c>
      <c r="BP56" s="270" t="e">
        <f>IF(#REF!="Yes","H",IF($B56="","",IF(AND($C56&lt;=#REF!,$D56&gt;=#REF!),IF($G56="","x","y"),"")))</f>
        <v>#REF!</v>
      </c>
      <c r="BQ56" s="273" t="e">
        <f>IF(#REF!="Yes","H",IF($B56="","",IF(AND($C56&lt;=#REF!,$D56&gt;=#REF!),IF($G56="","x","y"),"")))</f>
        <v>#REF!</v>
      </c>
      <c r="BR56" s="274" t="e">
        <f>IF(#REF!="Yes","H",IF($B56="","",IF(AND($C56&lt;=#REF!,$D56&gt;=#REF!),IF($G56="","x","y"),"")))</f>
        <v>#REF!</v>
      </c>
      <c r="BS56" s="270" t="e">
        <f>IF(#REF!="Yes","H",IF($B56="","",IF(AND($C56&lt;=#REF!,$D56&gt;=#REF!),IF($G56="","x","y"),"")))</f>
        <v>#REF!</v>
      </c>
      <c r="BT56" s="270" t="e">
        <f>IF(#REF!="Yes","H",IF($B56="","",IF(AND($C56&lt;=#REF!,$D56&gt;=#REF!),IF($G56="","x","y"),"")))</f>
        <v>#REF!</v>
      </c>
      <c r="BU56" s="270" t="e">
        <f>IF(#REF!="Yes","H",IF($B56="","",IF(AND($C56&lt;=#REF!,$D56&gt;=#REF!),IF($G56="","x","y"),"")))</f>
        <v>#REF!</v>
      </c>
      <c r="BV56" s="271" t="e">
        <f>IF(#REF!="Yes","H",IF($B56="","",IF(AND($C56&lt;=#REF!,$D56&gt;=#REF!),IF($G56="","x","y"),"")))</f>
        <v>#REF!</v>
      </c>
      <c r="BW56" s="272" t="e">
        <f>IF(#REF!="Yes","H",IF($B56="","",IF(AND($C56&lt;=#REF!,$D56&gt;=#REF!),IF($G56="","x","y"),"")))</f>
        <v>#REF!</v>
      </c>
      <c r="BX56" s="270" t="e">
        <f>IF(#REF!="Yes","H",IF($B56="","",IF(AND($C56&lt;=#REF!,$D56&gt;=#REF!),IF($G56="","x","y"),"")))</f>
        <v>#REF!</v>
      </c>
      <c r="BY56" s="270" t="e">
        <f>IF(#REF!="Yes","H",IF($B56="","",IF(AND($C56&lt;=#REF!,$D56&gt;=#REF!),IF($G56="","x","y"),"")))</f>
        <v>#REF!</v>
      </c>
      <c r="BZ56" s="270" t="e">
        <f>IF(#REF!="Yes","H",IF($B56="","",IF(AND($C56&lt;=#REF!,$D56&gt;=#REF!),IF($G56="","x","y"),"")))</f>
        <v>#REF!</v>
      </c>
      <c r="CA56" s="273" t="e">
        <f>IF(#REF!="Yes","H",IF($B56="","",IF(AND($C56&lt;=#REF!,$D56&gt;=#REF!),IF($G56="","x","y"),"")))</f>
        <v>#REF!</v>
      </c>
    </row>
    <row r="57" spans="2:79" ht="15" customHeight="1">
      <c r="B57" s="210"/>
      <c r="C57" s="260"/>
      <c r="D57" s="260"/>
      <c r="E57" s="260"/>
      <c r="F57" s="224"/>
      <c r="G57" s="275"/>
      <c r="H57" s="209"/>
      <c r="I57" s="211"/>
      <c r="J57" s="269" t="e">
        <f>IF(#REF!="Yes","H",IF($B57="","",IF(AND($C57&lt;=#REF!,$D57&gt;=#REF!),IF($G57="","x","y"),"")))</f>
        <v>#REF!</v>
      </c>
      <c r="K57" s="270" t="e">
        <f>IF(#REF!="Yes","H",IF($B57="","",IF(AND($C57&lt;=#REF!,$D57&gt;=#REF!),IF($G57="","x","y"),"")))</f>
        <v>#REF!</v>
      </c>
      <c r="L57" s="270" t="e">
        <f>IF(#REF!="Yes","H",IF($B57="","",IF(AND($C57&lt;=#REF!,$D57&gt;=#REF!),IF($G57="","x","y"),"")))</f>
        <v>#REF!</v>
      </c>
      <c r="M57" s="270" t="e">
        <f>IF(#REF!="Yes","H",IF($B57="","",IF(AND($C57&lt;=#REF!,$D57&gt;=#REF!),IF($G57="","x","y"),"")))</f>
        <v>#REF!</v>
      </c>
      <c r="N57" s="271" t="e">
        <f>IF(#REF!="Yes","H",IF($B57="","",IF(AND($C57&lt;=#REF!,$D57&gt;=#REF!),IF($G57="","x","y"),"")))</f>
        <v>#REF!</v>
      </c>
      <c r="O57" s="272" t="e">
        <f>IF(#REF!="Yes","H",IF($B57="","",IF(AND($C57&lt;=#REF!,$D57&gt;=#REF!),IF($G57="","x","y"),"")))</f>
        <v>#REF!</v>
      </c>
      <c r="P57" s="270" t="e">
        <f>IF(#REF!="Yes","H",IF($B57="","",IF(AND($C57&lt;=#REF!,$D57&gt;=#REF!),IF($G57="","x","y"),"")))</f>
        <v>#REF!</v>
      </c>
      <c r="Q57" s="270" t="e">
        <f>IF(#REF!="Yes","H",IF($B57="","",IF(AND($C57&lt;=#REF!,$D57&gt;=#REF!),IF($G57="","x","y"),"")))</f>
        <v>#REF!</v>
      </c>
      <c r="R57" s="270" t="e">
        <f>IF(#REF!="Yes","H",IF($B57="","",IF(AND($C57&lt;=#REF!,$D57&gt;=#REF!),IF($G57="","x","y"),"")))</f>
        <v>#REF!</v>
      </c>
      <c r="S57" s="273" t="e">
        <f>IF(#REF!="Yes","H",IF($B57="","",IF(AND($C57&lt;=#REF!,$D57&gt;=#REF!),IF($G57="","x","y"),"")))</f>
        <v>#REF!</v>
      </c>
      <c r="T57" s="274" t="e">
        <f>IF(#REF!="Yes","H",IF($B57="","",IF(AND($C57&lt;=#REF!,$D57&gt;=#REF!),IF($G57="","x","y"),"")))</f>
        <v>#REF!</v>
      </c>
      <c r="U57" s="270" t="e">
        <f>IF(#REF!="Yes","H",IF($B57="","",IF(AND($C57&lt;=#REF!,$D57&gt;=#REF!),IF($G57="","x","y"),"")))</f>
        <v>#REF!</v>
      </c>
      <c r="V57" s="270" t="e">
        <f>IF(#REF!="Yes","H",IF($B57="","",IF(AND($C57&lt;=#REF!,$D57&gt;=#REF!),IF($G57="","x","y"),"")))</f>
        <v>#REF!</v>
      </c>
      <c r="W57" s="270" t="e">
        <f>IF(#REF!="Yes","H",IF($B57="","",IF(AND($C57&lt;=#REF!,$D57&gt;=#REF!),IF($G57="","x","y"),"")))</f>
        <v>#REF!</v>
      </c>
      <c r="X57" s="271" t="e">
        <f>IF(#REF!="Yes","H",IF($B57="","",IF(AND($C57&lt;=#REF!,$D57&gt;=#REF!),IF($G57="","x","y"),"")))</f>
        <v>#REF!</v>
      </c>
      <c r="Y57" s="272" t="e">
        <f>IF(#REF!="Yes","H",IF($B57="","",IF(AND($C57&lt;=#REF!,$D57&gt;=#REF!),IF($G57="","x","y"),"")))</f>
        <v>#REF!</v>
      </c>
      <c r="Z57" s="270" t="e">
        <f>IF(#REF!="Yes","H",IF($B57="","",IF(AND($C57&lt;=#REF!,$D57&gt;=#REF!),IF($G57="","x","y"),"")))</f>
        <v>#REF!</v>
      </c>
      <c r="AA57" s="270" t="e">
        <f>IF(#REF!="Yes","H",IF($B57="","",IF(AND($C57&lt;=#REF!,$D57&gt;=#REF!),IF($G57="","x","y"),"")))</f>
        <v>#REF!</v>
      </c>
      <c r="AB57" s="270" t="e">
        <f>IF(#REF!="Yes","H",IF($B57="","",IF(AND($C57&lt;=#REF!,$D57&gt;=#REF!),IF($G57="","x","y"),"")))</f>
        <v>#REF!</v>
      </c>
      <c r="AC57" s="273" t="e">
        <f>IF(#REF!="Yes","H",IF($B57="","",IF(AND($C57&lt;=#REF!,$D57&gt;=#REF!),IF($G57="","x","y"),"")))</f>
        <v>#REF!</v>
      </c>
      <c r="AD57" s="274" t="e">
        <f>IF(#REF!="Yes","H",IF($B57="","",IF(AND($C57&lt;=#REF!,$D57&gt;=#REF!),IF($G57="","x","y"),"")))</f>
        <v>#REF!</v>
      </c>
      <c r="AE57" s="270" t="e">
        <f>IF(#REF!="Yes","H",IF($B57="","",IF(AND($C57&lt;=#REF!,$D57&gt;=#REF!),IF($G57="","x","y"),"")))</f>
        <v>#REF!</v>
      </c>
      <c r="AF57" s="270" t="e">
        <f>IF(#REF!="Yes","H",IF($B57="","",IF(AND($C57&lt;=#REF!,$D57&gt;=#REF!),IF($G57="","x","y"),"")))</f>
        <v>#REF!</v>
      </c>
      <c r="AG57" s="270" t="e">
        <f>IF(#REF!="Yes","H",IF($B57="","",IF(AND($C57&lt;=#REF!,$D57&gt;=#REF!),IF($G57="","x","y"),"")))</f>
        <v>#REF!</v>
      </c>
      <c r="AH57" s="271" t="e">
        <f>IF(#REF!="Yes","H",IF($B57="","",IF(AND($C57&lt;=#REF!,$D57&gt;=#REF!),IF($G57="","x","y"),"")))</f>
        <v>#REF!</v>
      </c>
      <c r="AI57" s="272" t="e">
        <f>IF(#REF!="Yes","H",IF($B57="","",IF(AND($C57&lt;=#REF!,$D57&gt;=#REF!),IF($G57="","x","y"),"")))</f>
        <v>#REF!</v>
      </c>
      <c r="AJ57" s="270" t="e">
        <f>IF(#REF!="Yes","H",IF($B57="","",IF(AND($C57&lt;=#REF!,$D57&gt;=#REF!),IF($G57="","x","y"),"")))</f>
        <v>#REF!</v>
      </c>
      <c r="AK57" s="270" t="e">
        <f>IF(#REF!="Yes","H",IF($B57="","",IF(AND($C57&lt;=#REF!,$D57&gt;=#REF!),IF($G57="","x","y"),"")))</f>
        <v>#REF!</v>
      </c>
      <c r="AL57" s="270" t="e">
        <f>IF(#REF!="Yes","H",IF($B57="","",IF(AND($C57&lt;=#REF!,$D57&gt;=#REF!),IF($G57="","x","y"),"")))</f>
        <v>#REF!</v>
      </c>
      <c r="AM57" s="273" t="e">
        <f>IF(#REF!="Yes","H",IF($B57="","",IF(AND($C57&lt;=#REF!,$D57&gt;=#REF!),IF($G57="","x","y"),"")))</f>
        <v>#REF!</v>
      </c>
      <c r="AN57" s="274" t="e">
        <f>IF(#REF!="Yes","H",IF($B57="","",IF(AND($C57&lt;=#REF!,$D57&gt;=#REF!),IF($G57="","x","y"),"")))</f>
        <v>#REF!</v>
      </c>
      <c r="AO57" s="270" t="e">
        <f>IF(#REF!="Yes","H",IF($B57="","",IF(AND($C57&lt;=#REF!,$D57&gt;=#REF!),IF($G57="","x","y"),"")))</f>
        <v>#REF!</v>
      </c>
      <c r="AP57" s="270" t="e">
        <f>IF(#REF!="Yes","H",IF($B57="","",IF(AND($C57&lt;=#REF!,$D57&gt;=#REF!),IF($G57="","x","y"),"")))</f>
        <v>#REF!</v>
      </c>
      <c r="AQ57" s="270" t="e">
        <f>IF(#REF!="Yes","H",IF($B57="","",IF(AND($C57&lt;=#REF!,$D57&gt;=#REF!),IF($G57="","x","y"),"")))</f>
        <v>#REF!</v>
      </c>
      <c r="AR57" s="271" t="e">
        <f>IF(#REF!="Yes","H",IF($B57="","",IF(AND($C57&lt;=#REF!,$D57&gt;=#REF!),IF($G57="","x","y"),"")))</f>
        <v>#REF!</v>
      </c>
      <c r="AS57" s="272" t="e">
        <f>IF(#REF!="Yes","H",IF($B57="","",IF(AND($C57&lt;=#REF!,$D57&gt;=#REF!),IF($G57="","x","y"),"")))</f>
        <v>#REF!</v>
      </c>
      <c r="AT57" s="270" t="e">
        <f>IF(#REF!="Yes","H",IF($B57="","",IF(AND($C57&lt;=#REF!,$D57&gt;=#REF!),IF($G57="","x","y"),"")))</f>
        <v>#REF!</v>
      </c>
      <c r="AU57" s="270" t="e">
        <f>IF(#REF!="Yes","H",IF($B57="","",IF(AND($C57&lt;=#REF!,$D57&gt;=#REF!),IF($G57="","x","y"),"")))</f>
        <v>#REF!</v>
      </c>
      <c r="AV57" s="270" t="e">
        <f>IF(#REF!="Yes","H",IF($B57="","",IF(AND($C57&lt;=#REF!,$D57&gt;=#REF!),IF($G57="","x","y"),"")))</f>
        <v>#REF!</v>
      </c>
      <c r="AW57" s="273" t="e">
        <f>IF(#REF!="Yes","H",IF($B57="","",IF(AND($C57&lt;=#REF!,$D57&gt;=#REF!),IF($G57="","x","y"),"")))</f>
        <v>#REF!</v>
      </c>
      <c r="AX57" s="274" t="e">
        <f>IF(#REF!="Yes","H",IF($B57="","",IF(AND($C57&lt;=#REF!,$D57&gt;=#REF!),IF($G57="","x","y"),"")))</f>
        <v>#REF!</v>
      </c>
      <c r="AY57" s="270" t="e">
        <f>IF(#REF!="Yes","H",IF($B57="","",IF(AND($C57&lt;=#REF!,$D57&gt;=#REF!),IF($G57="","x","y"),"")))</f>
        <v>#REF!</v>
      </c>
      <c r="AZ57" s="270" t="e">
        <f>IF(#REF!="Yes","H",IF($B57="","",IF(AND($C57&lt;=#REF!,$D57&gt;=#REF!),IF($G57="","x","y"),"")))</f>
        <v>#REF!</v>
      </c>
      <c r="BA57" s="270" t="e">
        <f>IF(#REF!="Yes","H",IF($B57="","",IF(AND($C57&lt;=#REF!,$D57&gt;=#REF!),IF($G57="","x","y"),"")))</f>
        <v>#REF!</v>
      </c>
      <c r="BB57" s="271" t="e">
        <f>IF(#REF!="Yes","H",IF($B57="","",IF(AND($C57&lt;=#REF!,$D57&gt;=#REF!),IF($G57="","x","y"),"")))</f>
        <v>#REF!</v>
      </c>
      <c r="BC57" s="272" t="e">
        <f>IF(#REF!="Yes","H",IF($B57="","",IF(AND($C57&lt;=#REF!,$D57&gt;=#REF!),IF($G57="","x","y"),"")))</f>
        <v>#REF!</v>
      </c>
      <c r="BD57" s="270" t="e">
        <f>IF(#REF!="Yes","H",IF($B57="","",IF(AND($C57&lt;=#REF!,$D57&gt;=#REF!),IF($G57="","x","y"),"")))</f>
        <v>#REF!</v>
      </c>
      <c r="BE57" s="270" t="e">
        <f>IF(#REF!="Yes","H",IF($B57="","",IF(AND($C57&lt;=#REF!,$D57&gt;=#REF!),IF($G57="","x","y"),"")))</f>
        <v>#REF!</v>
      </c>
      <c r="BF57" s="270" t="e">
        <f>IF(#REF!="Yes","H",IF($B57="","",IF(AND($C57&lt;=#REF!,$D57&gt;=#REF!),IF($G57="","x","y"),"")))</f>
        <v>#REF!</v>
      </c>
      <c r="BG57" s="273" t="e">
        <f>IF(#REF!="Yes","H",IF($B57="","",IF(AND($C57&lt;=#REF!,$D57&gt;=#REF!),IF($G57="","x","y"),"")))</f>
        <v>#REF!</v>
      </c>
      <c r="BH57" s="274" t="e">
        <f>IF(#REF!="Yes","H",IF($B57="","",IF(AND($C57&lt;=#REF!,$D57&gt;=#REF!),IF($G57="","x","y"),"")))</f>
        <v>#REF!</v>
      </c>
      <c r="BI57" s="270" t="e">
        <f>IF(#REF!="Yes","H",IF($B57="","",IF(AND($C57&lt;=#REF!,$D57&gt;=#REF!),IF($G57="","x","y"),"")))</f>
        <v>#REF!</v>
      </c>
      <c r="BJ57" s="270" t="e">
        <f>IF(#REF!="Yes","H",IF($B57="","",IF(AND($C57&lt;=#REF!,$D57&gt;=#REF!),IF($G57="","x","y"),"")))</f>
        <v>#REF!</v>
      </c>
      <c r="BK57" s="270" t="e">
        <f>IF(#REF!="Yes","H",IF($B57="","",IF(AND($C57&lt;=#REF!,$D57&gt;=#REF!),IF($G57="","x","y"),"")))</f>
        <v>#REF!</v>
      </c>
      <c r="BL57" s="271" t="e">
        <f>IF(#REF!="Yes","H",IF($B57="","",IF(AND($C57&lt;=#REF!,$D57&gt;=#REF!),IF($G57="","x","y"),"")))</f>
        <v>#REF!</v>
      </c>
      <c r="BM57" s="272" t="e">
        <f>IF(#REF!="Yes","H",IF($B57="","",IF(AND($C57&lt;=#REF!,$D57&gt;=#REF!),IF($G57="","x","y"),"")))</f>
        <v>#REF!</v>
      </c>
      <c r="BN57" s="270" t="e">
        <f>IF(#REF!="Yes","H",IF($B57="","",IF(AND($C57&lt;=#REF!,$D57&gt;=#REF!),IF($G57="","x","y"),"")))</f>
        <v>#REF!</v>
      </c>
      <c r="BO57" s="270" t="e">
        <f>IF(#REF!="Yes","H",IF($B57="","",IF(AND($C57&lt;=#REF!,$D57&gt;=#REF!),IF($G57="","x","y"),"")))</f>
        <v>#REF!</v>
      </c>
      <c r="BP57" s="270" t="e">
        <f>IF(#REF!="Yes","H",IF($B57="","",IF(AND($C57&lt;=#REF!,$D57&gt;=#REF!),IF($G57="","x","y"),"")))</f>
        <v>#REF!</v>
      </c>
      <c r="BQ57" s="273" t="e">
        <f>IF(#REF!="Yes","H",IF($B57="","",IF(AND($C57&lt;=#REF!,$D57&gt;=#REF!),IF($G57="","x","y"),"")))</f>
        <v>#REF!</v>
      </c>
      <c r="BR57" s="274" t="e">
        <f>IF(#REF!="Yes","H",IF($B57="","",IF(AND($C57&lt;=#REF!,$D57&gt;=#REF!),IF($G57="","x","y"),"")))</f>
        <v>#REF!</v>
      </c>
      <c r="BS57" s="270" t="e">
        <f>IF(#REF!="Yes","H",IF($B57="","",IF(AND($C57&lt;=#REF!,$D57&gt;=#REF!),IF($G57="","x","y"),"")))</f>
        <v>#REF!</v>
      </c>
      <c r="BT57" s="270" t="e">
        <f>IF(#REF!="Yes","H",IF($B57="","",IF(AND($C57&lt;=#REF!,$D57&gt;=#REF!),IF($G57="","x","y"),"")))</f>
        <v>#REF!</v>
      </c>
      <c r="BU57" s="270" t="e">
        <f>IF(#REF!="Yes","H",IF($B57="","",IF(AND($C57&lt;=#REF!,$D57&gt;=#REF!),IF($G57="","x","y"),"")))</f>
        <v>#REF!</v>
      </c>
      <c r="BV57" s="271" t="e">
        <f>IF(#REF!="Yes","H",IF($B57="","",IF(AND($C57&lt;=#REF!,$D57&gt;=#REF!),IF($G57="","x","y"),"")))</f>
        <v>#REF!</v>
      </c>
      <c r="BW57" s="272" t="e">
        <f>IF(#REF!="Yes","H",IF($B57="","",IF(AND($C57&lt;=#REF!,$D57&gt;=#REF!),IF($G57="","x","y"),"")))</f>
        <v>#REF!</v>
      </c>
      <c r="BX57" s="270" t="e">
        <f>IF(#REF!="Yes","H",IF($B57="","",IF(AND($C57&lt;=#REF!,$D57&gt;=#REF!),IF($G57="","x","y"),"")))</f>
        <v>#REF!</v>
      </c>
      <c r="BY57" s="270" t="e">
        <f>IF(#REF!="Yes","H",IF($B57="","",IF(AND($C57&lt;=#REF!,$D57&gt;=#REF!),IF($G57="","x","y"),"")))</f>
        <v>#REF!</v>
      </c>
      <c r="BZ57" s="270" t="e">
        <f>IF(#REF!="Yes","H",IF($B57="","",IF(AND($C57&lt;=#REF!,$D57&gt;=#REF!),IF($G57="","x","y"),"")))</f>
        <v>#REF!</v>
      </c>
      <c r="CA57" s="273" t="e">
        <f>IF(#REF!="Yes","H",IF($B57="","",IF(AND($C57&lt;=#REF!,$D57&gt;=#REF!),IF($G57="","x","y"),"")))</f>
        <v>#REF!</v>
      </c>
    </row>
    <row r="58" spans="2:79" ht="15" customHeight="1">
      <c r="B58" s="210"/>
      <c r="C58" s="260"/>
      <c r="D58" s="260"/>
      <c r="E58" s="260"/>
      <c r="F58" s="224"/>
      <c r="G58" s="275"/>
      <c r="H58" s="209"/>
      <c r="I58" s="211"/>
      <c r="J58" s="269"/>
      <c r="K58" s="270"/>
      <c r="L58" s="270"/>
      <c r="M58" s="270"/>
      <c r="N58" s="271"/>
      <c r="O58" s="272"/>
      <c r="P58" s="270"/>
      <c r="Q58" s="270"/>
      <c r="R58" s="270"/>
      <c r="S58" s="273"/>
      <c r="T58" s="274"/>
      <c r="U58" s="270"/>
      <c r="V58" s="270"/>
      <c r="W58" s="270"/>
      <c r="X58" s="271"/>
      <c r="Y58" s="272"/>
      <c r="Z58" s="270"/>
      <c r="AA58" s="270"/>
      <c r="AB58" s="270"/>
      <c r="AC58" s="273"/>
      <c r="AD58" s="274"/>
      <c r="AE58" s="270"/>
      <c r="AF58" s="270"/>
      <c r="AG58" s="270"/>
      <c r="AH58" s="271"/>
      <c r="AI58" s="272"/>
      <c r="AJ58" s="270"/>
      <c r="AK58" s="270"/>
      <c r="AL58" s="270"/>
      <c r="AM58" s="273"/>
      <c r="AN58" s="274"/>
      <c r="AO58" s="270"/>
      <c r="AP58" s="270"/>
      <c r="AQ58" s="270"/>
      <c r="AR58" s="271"/>
      <c r="AS58" s="272"/>
      <c r="AT58" s="270"/>
      <c r="AU58" s="270"/>
      <c r="AV58" s="270"/>
      <c r="AW58" s="273"/>
      <c r="AX58" s="274"/>
      <c r="AY58" s="270"/>
      <c r="AZ58" s="270"/>
      <c r="BA58" s="270"/>
      <c r="BB58" s="271"/>
      <c r="BC58" s="272"/>
      <c r="BD58" s="270"/>
      <c r="BE58" s="270"/>
      <c r="BF58" s="270"/>
      <c r="BG58" s="273"/>
      <c r="BH58" s="274"/>
      <c r="BI58" s="270"/>
      <c r="BJ58" s="270"/>
      <c r="BK58" s="270"/>
      <c r="BL58" s="271"/>
      <c r="BM58" s="272"/>
      <c r="BN58" s="270"/>
      <c r="BO58" s="270"/>
      <c r="BP58" s="270"/>
      <c r="BQ58" s="273"/>
      <c r="BR58" s="274"/>
      <c r="BS58" s="270"/>
      <c r="BT58" s="270"/>
      <c r="BU58" s="270"/>
      <c r="BV58" s="271"/>
      <c r="BW58" s="272"/>
      <c r="BX58" s="270"/>
      <c r="BY58" s="270"/>
      <c r="BZ58" s="270"/>
      <c r="CA58" s="273"/>
    </row>
    <row r="59" spans="2:79">
      <c r="B59" s="210"/>
      <c r="C59" s="260"/>
      <c r="D59" s="260"/>
      <c r="E59" s="260"/>
      <c r="F59" s="224"/>
      <c r="G59" s="275"/>
      <c r="H59" s="209"/>
      <c r="I59" s="211"/>
      <c r="J59" s="269" t="e">
        <f>IF(#REF!="Yes","H",IF($B59="","",IF(AND($C59&lt;=#REF!,$D59&gt;=#REF!),IF($G59="","x","y"),"")))</f>
        <v>#REF!</v>
      </c>
      <c r="K59" s="270" t="e">
        <f>IF(#REF!="Yes","H",IF($B59="","",IF(AND($C59&lt;=#REF!,$D59&gt;=#REF!),IF($G59="","x","y"),"")))</f>
        <v>#REF!</v>
      </c>
      <c r="L59" s="270" t="e">
        <f>IF(#REF!="Yes","H",IF($B59="","",IF(AND($C59&lt;=#REF!,$D59&gt;=#REF!),IF($G59="","x","y"),"")))</f>
        <v>#REF!</v>
      </c>
      <c r="M59" s="270" t="e">
        <f>IF(#REF!="Yes","H",IF($B59="","",IF(AND($C59&lt;=#REF!,$D59&gt;=#REF!),IF($G59="","x","y"),"")))</f>
        <v>#REF!</v>
      </c>
      <c r="N59" s="271" t="e">
        <f>IF(#REF!="Yes","H",IF($B59="","",IF(AND($C59&lt;=#REF!,$D59&gt;=#REF!),IF($G59="","x","y"),"")))</f>
        <v>#REF!</v>
      </c>
      <c r="O59" s="272" t="e">
        <f>IF(#REF!="Yes","H",IF($B59="","",IF(AND($C59&lt;=#REF!,$D59&gt;=#REF!),IF($G59="","x","y"),"")))</f>
        <v>#REF!</v>
      </c>
      <c r="P59" s="270" t="e">
        <f>IF(#REF!="Yes","H",IF($B59="","",IF(AND($C59&lt;=#REF!,$D59&gt;=#REF!),IF($G59="","x","y"),"")))</f>
        <v>#REF!</v>
      </c>
      <c r="Q59" s="270" t="e">
        <f>IF(#REF!="Yes","H",IF($B59="","",IF(AND($C59&lt;=#REF!,$D59&gt;=#REF!),IF($G59="","x","y"),"")))</f>
        <v>#REF!</v>
      </c>
      <c r="R59" s="270" t="e">
        <f>IF(#REF!="Yes","H",IF($B59="","",IF(AND($C59&lt;=#REF!,$D59&gt;=#REF!),IF($G59="","x","y"),"")))</f>
        <v>#REF!</v>
      </c>
      <c r="S59" s="273" t="e">
        <f>IF(#REF!="Yes","H",IF($B59="","",IF(AND($C59&lt;=#REF!,$D59&gt;=#REF!),IF($G59="","x","y"),"")))</f>
        <v>#REF!</v>
      </c>
      <c r="T59" s="274" t="e">
        <f>IF(#REF!="Yes","H",IF($B59="","",IF(AND($C59&lt;=#REF!,$D59&gt;=#REF!),IF($G59="","x","y"),"")))</f>
        <v>#REF!</v>
      </c>
      <c r="U59" s="270" t="e">
        <f>IF(#REF!="Yes","H",IF($B59="","",IF(AND($C59&lt;=#REF!,$D59&gt;=#REF!),IF($G59="","x","y"),"")))</f>
        <v>#REF!</v>
      </c>
      <c r="V59" s="270" t="e">
        <f>IF(#REF!="Yes","H",IF($B59="","",IF(AND($C59&lt;=#REF!,$D59&gt;=#REF!),IF($G59="","x","y"),"")))</f>
        <v>#REF!</v>
      </c>
      <c r="W59" s="270" t="e">
        <f>IF(#REF!="Yes","H",IF($B59="","",IF(AND($C59&lt;=#REF!,$D59&gt;=#REF!),IF($G59="","x","y"),"")))</f>
        <v>#REF!</v>
      </c>
      <c r="X59" s="271" t="e">
        <f>IF(#REF!="Yes","H",IF($B59="","",IF(AND($C59&lt;=#REF!,$D59&gt;=#REF!),IF($G59="","x","y"),"")))</f>
        <v>#REF!</v>
      </c>
      <c r="Y59" s="272" t="e">
        <f>IF(#REF!="Yes","H",IF($B59="","",IF(AND($C59&lt;=#REF!,$D59&gt;=#REF!),IF($G59="","x","y"),"")))</f>
        <v>#REF!</v>
      </c>
      <c r="Z59" s="270" t="e">
        <f>IF(#REF!="Yes","H",IF($B59="","",IF(AND($C59&lt;=#REF!,$D59&gt;=#REF!),IF($G59="","x","y"),"")))</f>
        <v>#REF!</v>
      </c>
      <c r="AA59" s="270" t="e">
        <f>IF(#REF!="Yes","H",IF($B59="","",IF(AND($C59&lt;=#REF!,$D59&gt;=#REF!),IF($G59="","x","y"),"")))</f>
        <v>#REF!</v>
      </c>
      <c r="AB59" s="270" t="e">
        <f>IF(#REF!="Yes","H",IF($B59="","",IF(AND($C59&lt;=#REF!,$D59&gt;=#REF!),IF($G59="","x","y"),"")))</f>
        <v>#REF!</v>
      </c>
      <c r="AC59" s="273" t="e">
        <f>IF(#REF!="Yes","H",IF($B59="","",IF(AND($C59&lt;=#REF!,$D59&gt;=#REF!),IF($G59="","x","y"),"")))</f>
        <v>#REF!</v>
      </c>
      <c r="AD59" s="274" t="e">
        <f>IF(#REF!="Yes","H",IF($B59="","",IF(AND($C59&lt;=#REF!,$D59&gt;=#REF!),IF($G59="","x","y"),"")))</f>
        <v>#REF!</v>
      </c>
      <c r="AE59" s="270" t="e">
        <f>IF(#REF!="Yes","H",IF($B59="","",IF(AND($C59&lt;=#REF!,$D59&gt;=#REF!),IF($G59="","x","y"),"")))</f>
        <v>#REF!</v>
      </c>
      <c r="AF59" s="270" t="e">
        <f>IF(#REF!="Yes","H",IF($B59="","",IF(AND($C59&lt;=#REF!,$D59&gt;=#REF!),IF($G59="","x","y"),"")))</f>
        <v>#REF!</v>
      </c>
      <c r="AG59" s="270" t="e">
        <f>IF(#REF!="Yes","H",IF($B59="","",IF(AND($C59&lt;=#REF!,$D59&gt;=#REF!),IF($G59="","x","y"),"")))</f>
        <v>#REF!</v>
      </c>
      <c r="AH59" s="271" t="e">
        <f>IF(#REF!="Yes","H",IF($B59="","",IF(AND($C59&lt;=#REF!,$D59&gt;=#REF!),IF($G59="","x","y"),"")))</f>
        <v>#REF!</v>
      </c>
      <c r="AI59" s="272" t="e">
        <f>IF(#REF!="Yes","H",IF($B59="","",IF(AND($C59&lt;=#REF!,$D59&gt;=#REF!),IF($G59="","x","y"),"")))</f>
        <v>#REF!</v>
      </c>
      <c r="AJ59" s="270" t="e">
        <f>IF(#REF!="Yes","H",IF($B59="","",IF(AND($C59&lt;=#REF!,$D59&gt;=#REF!),IF($G59="","x","y"),"")))</f>
        <v>#REF!</v>
      </c>
      <c r="AK59" s="270" t="e">
        <f>IF(#REF!="Yes","H",IF($B59="","",IF(AND($C59&lt;=#REF!,$D59&gt;=#REF!),IF($G59="","x","y"),"")))</f>
        <v>#REF!</v>
      </c>
      <c r="AL59" s="270" t="e">
        <f>IF(#REF!="Yes","H",IF($B59="","",IF(AND($C59&lt;=#REF!,$D59&gt;=#REF!),IF($G59="","x","y"),"")))</f>
        <v>#REF!</v>
      </c>
      <c r="AM59" s="273" t="e">
        <f>IF(#REF!="Yes","H",IF($B59="","",IF(AND($C59&lt;=#REF!,$D59&gt;=#REF!),IF($G59="","x","y"),"")))</f>
        <v>#REF!</v>
      </c>
      <c r="AN59" s="274" t="e">
        <f>IF(#REF!="Yes","H",IF($B59="","",IF(AND($C59&lt;=#REF!,$D59&gt;=#REF!),IF($G59="","x","y"),"")))</f>
        <v>#REF!</v>
      </c>
      <c r="AO59" s="270" t="e">
        <f>IF(#REF!="Yes","H",IF($B59="","",IF(AND($C59&lt;=#REF!,$D59&gt;=#REF!),IF($G59="","x","y"),"")))</f>
        <v>#REF!</v>
      </c>
      <c r="AP59" s="270" t="e">
        <f>IF(#REF!="Yes","H",IF($B59="","",IF(AND($C59&lt;=#REF!,$D59&gt;=#REF!),IF($G59="","x","y"),"")))</f>
        <v>#REF!</v>
      </c>
      <c r="AQ59" s="270" t="e">
        <f>IF(#REF!="Yes","H",IF($B59="","",IF(AND($C59&lt;=#REF!,$D59&gt;=#REF!),IF($G59="","x","y"),"")))</f>
        <v>#REF!</v>
      </c>
      <c r="AR59" s="271" t="e">
        <f>IF(#REF!="Yes","H",IF($B59="","",IF(AND($C59&lt;=#REF!,$D59&gt;=#REF!),IF($G59="","x","y"),"")))</f>
        <v>#REF!</v>
      </c>
      <c r="AS59" s="272" t="e">
        <f>IF(#REF!="Yes","H",IF($B59="","",IF(AND($C59&lt;=#REF!,$D59&gt;=#REF!),IF($G59="","x","y"),"")))</f>
        <v>#REF!</v>
      </c>
      <c r="AT59" s="270" t="e">
        <f>IF(#REF!="Yes","H",IF($B59="","",IF(AND($C59&lt;=#REF!,$D59&gt;=#REF!),IF($G59="","x","y"),"")))</f>
        <v>#REF!</v>
      </c>
      <c r="AU59" s="270" t="e">
        <f>IF(#REF!="Yes","H",IF($B59="","",IF(AND($C59&lt;=#REF!,$D59&gt;=#REF!),IF($G59="","x","y"),"")))</f>
        <v>#REF!</v>
      </c>
      <c r="AV59" s="270" t="e">
        <f>IF(#REF!="Yes","H",IF($B59="","",IF(AND($C59&lt;=#REF!,$D59&gt;=#REF!),IF($G59="","x","y"),"")))</f>
        <v>#REF!</v>
      </c>
      <c r="AW59" s="273" t="e">
        <f>IF(#REF!="Yes","H",IF($B59="","",IF(AND($C59&lt;=#REF!,$D59&gt;=#REF!),IF($G59="","x","y"),"")))</f>
        <v>#REF!</v>
      </c>
      <c r="AX59" s="274" t="e">
        <f>IF(#REF!="Yes","H",IF($B59="","",IF(AND($C59&lt;=#REF!,$D59&gt;=#REF!),IF($G59="","x","y"),"")))</f>
        <v>#REF!</v>
      </c>
      <c r="AY59" s="270" t="e">
        <f>IF(#REF!="Yes","H",IF($B59="","",IF(AND($C59&lt;=#REF!,$D59&gt;=#REF!),IF($G59="","x","y"),"")))</f>
        <v>#REF!</v>
      </c>
      <c r="AZ59" s="270" t="e">
        <f>IF(#REF!="Yes","H",IF($B59="","",IF(AND($C59&lt;=#REF!,$D59&gt;=#REF!),IF($G59="","x","y"),"")))</f>
        <v>#REF!</v>
      </c>
      <c r="BA59" s="270" t="e">
        <f>IF(#REF!="Yes","H",IF($B59="","",IF(AND($C59&lt;=#REF!,$D59&gt;=#REF!),IF($G59="","x","y"),"")))</f>
        <v>#REF!</v>
      </c>
      <c r="BB59" s="271" t="e">
        <f>IF(#REF!="Yes","H",IF($B59="","",IF(AND($C59&lt;=#REF!,$D59&gt;=#REF!),IF($G59="","x","y"),"")))</f>
        <v>#REF!</v>
      </c>
      <c r="BC59" s="272" t="e">
        <f>IF(#REF!="Yes","H",IF($B59="","",IF(AND($C59&lt;=#REF!,$D59&gt;=#REF!),IF($G59="","x","y"),"")))</f>
        <v>#REF!</v>
      </c>
      <c r="BD59" s="270" t="e">
        <f>IF(#REF!="Yes","H",IF($B59="","",IF(AND($C59&lt;=#REF!,$D59&gt;=#REF!),IF($G59="","x","y"),"")))</f>
        <v>#REF!</v>
      </c>
      <c r="BE59" s="270" t="e">
        <f>IF(#REF!="Yes","H",IF($B59="","",IF(AND($C59&lt;=#REF!,$D59&gt;=#REF!),IF($G59="","x","y"),"")))</f>
        <v>#REF!</v>
      </c>
      <c r="BF59" s="270" t="e">
        <f>IF(#REF!="Yes","H",IF($B59="","",IF(AND($C59&lt;=#REF!,$D59&gt;=#REF!),IF($G59="","x","y"),"")))</f>
        <v>#REF!</v>
      </c>
      <c r="BG59" s="273" t="e">
        <f>IF(#REF!="Yes","H",IF($B59="","",IF(AND($C59&lt;=#REF!,$D59&gt;=#REF!),IF($G59="","x","y"),"")))</f>
        <v>#REF!</v>
      </c>
      <c r="BH59" s="274" t="e">
        <f>IF(#REF!="Yes","H",IF($B59="","",IF(AND($C59&lt;=#REF!,$D59&gt;=#REF!),IF($G59="","x","y"),"")))</f>
        <v>#REF!</v>
      </c>
      <c r="BI59" s="270" t="e">
        <f>IF(#REF!="Yes","H",IF($B59="","",IF(AND($C59&lt;=#REF!,$D59&gt;=#REF!),IF($G59="","x","y"),"")))</f>
        <v>#REF!</v>
      </c>
      <c r="BJ59" s="270" t="e">
        <f>IF(#REF!="Yes","H",IF($B59="","",IF(AND($C59&lt;=#REF!,$D59&gt;=#REF!),IF($G59="","x","y"),"")))</f>
        <v>#REF!</v>
      </c>
      <c r="BK59" s="270" t="e">
        <f>IF(#REF!="Yes","H",IF($B59="","",IF(AND($C59&lt;=#REF!,$D59&gt;=#REF!),IF($G59="","x","y"),"")))</f>
        <v>#REF!</v>
      </c>
      <c r="BL59" s="271" t="e">
        <f>IF(#REF!="Yes","H",IF($B59="","",IF(AND($C59&lt;=#REF!,$D59&gt;=#REF!),IF($G59="","x","y"),"")))</f>
        <v>#REF!</v>
      </c>
      <c r="BM59" s="272" t="e">
        <f>IF(#REF!="Yes","H",IF($B59="","",IF(AND($C59&lt;=#REF!,$D59&gt;=#REF!),IF($G59="","x","y"),"")))</f>
        <v>#REF!</v>
      </c>
      <c r="BN59" s="270" t="e">
        <f>IF(#REF!="Yes","H",IF($B59="","",IF(AND($C59&lt;=#REF!,$D59&gt;=#REF!),IF($G59="","x","y"),"")))</f>
        <v>#REF!</v>
      </c>
      <c r="BO59" s="270" t="e">
        <f>IF(#REF!="Yes","H",IF($B59="","",IF(AND($C59&lt;=#REF!,$D59&gt;=#REF!),IF($G59="","x","y"),"")))</f>
        <v>#REF!</v>
      </c>
      <c r="BP59" s="270" t="e">
        <f>IF(#REF!="Yes","H",IF($B59="","",IF(AND($C59&lt;=#REF!,$D59&gt;=#REF!),IF($G59="","x","y"),"")))</f>
        <v>#REF!</v>
      </c>
      <c r="BQ59" s="273" t="e">
        <f>IF(#REF!="Yes","H",IF($B59="","",IF(AND($C59&lt;=#REF!,$D59&gt;=#REF!),IF($G59="","x","y"),"")))</f>
        <v>#REF!</v>
      </c>
      <c r="BR59" s="274" t="e">
        <f>IF(#REF!="Yes","H",IF($B59="","",IF(AND($C59&lt;=#REF!,$D59&gt;=#REF!),IF($G59="","x","y"),"")))</f>
        <v>#REF!</v>
      </c>
      <c r="BS59" s="270" t="e">
        <f>IF(#REF!="Yes","H",IF($B59="","",IF(AND($C59&lt;=#REF!,$D59&gt;=#REF!),IF($G59="","x","y"),"")))</f>
        <v>#REF!</v>
      </c>
      <c r="BT59" s="270" t="e">
        <f>IF(#REF!="Yes","H",IF($B59="","",IF(AND($C59&lt;=#REF!,$D59&gt;=#REF!),IF($G59="","x","y"),"")))</f>
        <v>#REF!</v>
      </c>
      <c r="BU59" s="270" t="e">
        <f>IF(#REF!="Yes","H",IF($B59="","",IF(AND($C59&lt;=#REF!,$D59&gt;=#REF!),IF($G59="","x","y"),"")))</f>
        <v>#REF!</v>
      </c>
      <c r="BV59" s="271" t="e">
        <f>IF(#REF!="Yes","H",IF($B59="","",IF(AND($C59&lt;=#REF!,$D59&gt;=#REF!),IF($G59="","x","y"),"")))</f>
        <v>#REF!</v>
      </c>
      <c r="BW59" s="272" t="e">
        <f>IF(#REF!="Yes","H",IF($B59="","",IF(AND($C59&lt;=#REF!,$D59&gt;=#REF!),IF($G59="","x","y"),"")))</f>
        <v>#REF!</v>
      </c>
      <c r="BX59" s="270" t="e">
        <f>IF(#REF!="Yes","H",IF($B59="","",IF(AND($C59&lt;=#REF!,$D59&gt;=#REF!),IF($G59="","x","y"),"")))</f>
        <v>#REF!</v>
      </c>
      <c r="BY59" s="270" t="e">
        <f>IF(#REF!="Yes","H",IF($B59="","",IF(AND($C59&lt;=#REF!,$D59&gt;=#REF!),IF($G59="","x","y"),"")))</f>
        <v>#REF!</v>
      </c>
      <c r="BZ59" s="270" t="e">
        <f>IF(#REF!="Yes","H",IF($B59="","",IF(AND($C59&lt;=#REF!,$D59&gt;=#REF!),IF($G59="","x","y"),"")))</f>
        <v>#REF!</v>
      </c>
      <c r="CA59" s="273" t="e">
        <f>IF(#REF!="Yes","H",IF($B59="","",IF(AND($C59&lt;=#REF!,$D59&gt;=#REF!),IF($G59="","x","y"),"")))</f>
        <v>#REF!</v>
      </c>
    </row>
    <row r="60" spans="2:79" ht="15" customHeight="1">
      <c r="B60" s="210"/>
      <c r="C60" s="260"/>
      <c r="D60" s="260"/>
      <c r="E60" s="260"/>
      <c r="F60" s="224"/>
      <c r="G60" s="275"/>
      <c r="H60" s="209"/>
      <c r="I60" s="211"/>
      <c r="J60" s="269" t="e">
        <f>IF(#REF!="Yes","H",IF($B60="","",IF(AND($C60&lt;=#REF!,$D60&gt;=#REF!),IF($G60="","x","y"),"")))</f>
        <v>#REF!</v>
      </c>
      <c r="K60" s="270" t="e">
        <f>IF(#REF!="Yes","H",IF($B60="","",IF(AND($C60&lt;=#REF!,$D60&gt;=#REF!),IF($G60="","x","y"),"")))</f>
        <v>#REF!</v>
      </c>
      <c r="L60" s="270" t="e">
        <f>IF(#REF!="Yes","H",IF($B60="","",IF(AND($C60&lt;=#REF!,$D60&gt;=#REF!),IF($G60="","x","y"),"")))</f>
        <v>#REF!</v>
      </c>
      <c r="M60" s="270" t="e">
        <f>IF(#REF!="Yes","H",IF($B60="","",IF(AND($C60&lt;=#REF!,$D60&gt;=#REF!),IF($G60="","x","y"),"")))</f>
        <v>#REF!</v>
      </c>
      <c r="N60" s="271" t="e">
        <f>IF(#REF!="Yes","H",IF($B60="","",IF(AND($C60&lt;=#REF!,$D60&gt;=#REF!),IF($G60="","x","y"),"")))</f>
        <v>#REF!</v>
      </c>
      <c r="O60" s="272" t="e">
        <f>IF(#REF!="Yes","H",IF($B60="","",IF(AND($C60&lt;=#REF!,$D60&gt;=#REF!),IF($G60="","x","y"),"")))</f>
        <v>#REF!</v>
      </c>
      <c r="P60" s="270" t="e">
        <f>IF(#REF!="Yes","H",IF($B60="","",IF(AND($C60&lt;=#REF!,$D60&gt;=#REF!),IF($G60="","x","y"),"")))</f>
        <v>#REF!</v>
      </c>
      <c r="Q60" s="270" t="e">
        <f>IF(#REF!="Yes","H",IF($B60="","",IF(AND($C60&lt;=#REF!,$D60&gt;=#REF!),IF($G60="","x","y"),"")))</f>
        <v>#REF!</v>
      </c>
      <c r="R60" s="270" t="e">
        <f>IF(#REF!="Yes","H",IF($B60="","",IF(AND($C60&lt;=#REF!,$D60&gt;=#REF!),IF($G60="","x","y"),"")))</f>
        <v>#REF!</v>
      </c>
      <c r="S60" s="273" t="e">
        <f>IF(#REF!="Yes","H",IF($B60="","",IF(AND($C60&lt;=#REF!,$D60&gt;=#REF!),IF($G60="","x","y"),"")))</f>
        <v>#REF!</v>
      </c>
      <c r="T60" s="274" t="e">
        <f>IF(#REF!="Yes","H",IF($B60="","",IF(AND($C60&lt;=#REF!,$D60&gt;=#REF!),IF($G60="","x","y"),"")))</f>
        <v>#REF!</v>
      </c>
      <c r="U60" s="270" t="e">
        <f>IF(#REF!="Yes","H",IF($B60="","",IF(AND($C60&lt;=#REF!,$D60&gt;=#REF!),IF($G60="","x","y"),"")))</f>
        <v>#REF!</v>
      </c>
      <c r="V60" s="270" t="e">
        <f>IF(#REF!="Yes","H",IF($B60="","",IF(AND($C60&lt;=#REF!,$D60&gt;=#REF!),IF($G60="","x","y"),"")))</f>
        <v>#REF!</v>
      </c>
      <c r="W60" s="270" t="e">
        <f>IF(#REF!="Yes","H",IF($B60="","",IF(AND($C60&lt;=#REF!,$D60&gt;=#REF!),IF($G60="","x","y"),"")))</f>
        <v>#REF!</v>
      </c>
      <c r="X60" s="271" t="e">
        <f>IF(#REF!="Yes","H",IF($B60="","",IF(AND($C60&lt;=#REF!,$D60&gt;=#REF!),IF($G60="","x","y"),"")))</f>
        <v>#REF!</v>
      </c>
      <c r="Y60" s="272" t="e">
        <f>IF(#REF!="Yes","H",IF($B60="","",IF(AND($C60&lt;=#REF!,$D60&gt;=#REF!),IF($G60="","x","y"),"")))</f>
        <v>#REF!</v>
      </c>
      <c r="Z60" s="270" t="e">
        <f>IF(#REF!="Yes","H",IF($B60="","",IF(AND($C60&lt;=#REF!,$D60&gt;=#REF!),IF($G60="","x","y"),"")))</f>
        <v>#REF!</v>
      </c>
      <c r="AA60" s="270" t="e">
        <f>IF(#REF!="Yes","H",IF($B60="","",IF(AND($C60&lt;=#REF!,$D60&gt;=#REF!),IF($G60="","x","y"),"")))</f>
        <v>#REF!</v>
      </c>
      <c r="AB60" s="270" t="e">
        <f>IF(#REF!="Yes","H",IF($B60="","",IF(AND($C60&lt;=#REF!,$D60&gt;=#REF!),IF($G60="","x","y"),"")))</f>
        <v>#REF!</v>
      </c>
      <c r="AC60" s="273" t="e">
        <f>IF(#REF!="Yes","H",IF($B60="","",IF(AND($C60&lt;=#REF!,$D60&gt;=#REF!),IF($G60="","x","y"),"")))</f>
        <v>#REF!</v>
      </c>
      <c r="AD60" s="274" t="e">
        <f>IF(#REF!="Yes","H",IF($B60="","",IF(AND($C60&lt;=#REF!,$D60&gt;=#REF!),IF($G60="","x","y"),"")))</f>
        <v>#REF!</v>
      </c>
      <c r="AE60" s="270" t="e">
        <f>IF(#REF!="Yes","H",IF($B60="","",IF(AND($C60&lt;=#REF!,$D60&gt;=#REF!),IF($G60="","x","y"),"")))</f>
        <v>#REF!</v>
      </c>
      <c r="AF60" s="270" t="e">
        <f>IF(#REF!="Yes","H",IF($B60="","",IF(AND($C60&lt;=#REF!,$D60&gt;=#REF!),IF($G60="","x","y"),"")))</f>
        <v>#REF!</v>
      </c>
      <c r="AG60" s="270" t="e">
        <f>IF(#REF!="Yes","H",IF($B60="","",IF(AND($C60&lt;=#REF!,$D60&gt;=#REF!),IF($G60="","x","y"),"")))</f>
        <v>#REF!</v>
      </c>
      <c r="AH60" s="271" t="e">
        <f>IF(#REF!="Yes","H",IF($B60="","",IF(AND($C60&lt;=#REF!,$D60&gt;=#REF!),IF($G60="","x","y"),"")))</f>
        <v>#REF!</v>
      </c>
      <c r="AI60" s="272" t="e">
        <f>IF(#REF!="Yes","H",IF($B60="","",IF(AND($C60&lt;=#REF!,$D60&gt;=#REF!),IF($G60="","x","y"),"")))</f>
        <v>#REF!</v>
      </c>
      <c r="AJ60" s="270" t="e">
        <f>IF(#REF!="Yes","H",IF($B60="","",IF(AND($C60&lt;=#REF!,$D60&gt;=#REF!),IF($G60="","x","y"),"")))</f>
        <v>#REF!</v>
      </c>
      <c r="AK60" s="270" t="e">
        <f>IF(#REF!="Yes","H",IF($B60="","",IF(AND($C60&lt;=#REF!,$D60&gt;=#REF!),IF($G60="","x","y"),"")))</f>
        <v>#REF!</v>
      </c>
      <c r="AL60" s="270" t="e">
        <f>IF(#REF!="Yes","H",IF($B60="","",IF(AND($C60&lt;=#REF!,$D60&gt;=#REF!),IF($G60="","x","y"),"")))</f>
        <v>#REF!</v>
      </c>
      <c r="AM60" s="273" t="e">
        <f>IF(#REF!="Yes","H",IF($B60="","",IF(AND($C60&lt;=#REF!,$D60&gt;=#REF!),IF($G60="","x","y"),"")))</f>
        <v>#REF!</v>
      </c>
      <c r="AN60" s="274" t="e">
        <f>IF(#REF!="Yes","H",IF($B60="","",IF(AND($C60&lt;=#REF!,$D60&gt;=#REF!),IF($G60="","x","y"),"")))</f>
        <v>#REF!</v>
      </c>
      <c r="AO60" s="270" t="e">
        <f>IF(#REF!="Yes","H",IF($B60="","",IF(AND($C60&lt;=#REF!,$D60&gt;=#REF!),IF($G60="","x","y"),"")))</f>
        <v>#REF!</v>
      </c>
      <c r="AP60" s="270" t="e">
        <f>IF(#REF!="Yes","H",IF($B60="","",IF(AND($C60&lt;=#REF!,$D60&gt;=#REF!),IF($G60="","x","y"),"")))</f>
        <v>#REF!</v>
      </c>
      <c r="AQ60" s="270" t="e">
        <f>IF(#REF!="Yes","H",IF($B60="","",IF(AND($C60&lt;=#REF!,$D60&gt;=#REF!),IF($G60="","x","y"),"")))</f>
        <v>#REF!</v>
      </c>
      <c r="AR60" s="271" t="e">
        <f>IF(#REF!="Yes","H",IF($B60="","",IF(AND($C60&lt;=#REF!,$D60&gt;=#REF!),IF($G60="","x","y"),"")))</f>
        <v>#REF!</v>
      </c>
      <c r="AS60" s="272" t="e">
        <f>IF(#REF!="Yes","H",IF($B60="","",IF(AND($C60&lt;=#REF!,$D60&gt;=#REF!),IF($G60="","x","y"),"")))</f>
        <v>#REF!</v>
      </c>
      <c r="AT60" s="270" t="e">
        <f>IF(#REF!="Yes","H",IF($B60="","",IF(AND($C60&lt;=#REF!,$D60&gt;=#REF!),IF($G60="","x","y"),"")))</f>
        <v>#REF!</v>
      </c>
      <c r="AU60" s="270" t="e">
        <f>IF(#REF!="Yes","H",IF($B60="","",IF(AND($C60&lt;=#REF!,$D60&gt;=#REF!),IF($G60="","x","y"),"")))</f>
        <v>#REF!</v>
      </c>
      <c r="AV60" s="270" t="e">
        <f>IF(#REF!="Yes","H",IF($B60="","",IF(AND($C60&lt;=#REF!,$D60&gt;=#REF!),IF($G60="","x","y"),"")))</f>
        <v>#REF!</v>
      </c>
      <c r="AW60" s="273" t="e">
        <f>IF(#REF!="Yes","H",IF($B60="","",IF(AND($C60&lt;=#REF!,$D60&gt;=#REF!),IF($G60="","x","y"),"")))</f>
        <v>#REF!</v>
      </c>
      <c r="AX60" s="274" t="e">
        <f>IF(#REF!="Yes","H",IF($B60="","",IF(AND($C60&lt;=#REF!,$D60&gt;=#REF!),IF($G60="","x","y"),"")))</f>
        <v>#REF!</v>
      </c>
      <c r="AY60" s="270" t="e">
        <f>IF(#REF!="Yes","H",IF($B60="","",IF(AND($C60&lt;=#REF!,$D60&gt;=#REF!),IF($G60="","x","y"),"")))</f>
        <v>#REF!</v>
      </c>
      <c r="AZ60" s="270" t="e">
        <f>IF(#REF!="Yes","H",IF($B60="","",IF(AND($C60&lt;=#REF!,$D60&gt;=#REF!),IF($G60="","x","y"),"")))</f>
        <v>#REF!</v>
      </c>
      <c r="BA60" s="270" t="e">
        <f>IF(#REF!="Yes","H",IF($B60="","",IF(AND($C60&lt;=#REF!,$D60&gt;=#REF!),IF($G60="","x","y"),"")))</f>
        <v>#REF!</v>
      </c>
      <c r="BB60" s="271" t="e">
        <f>IF(#REF!="Yes","H",IF($B60="","",IF(AND($C60&lt;=#REF!,$D60&gt;=#REF!),IF($G60="","x","y"),"")))</f>
        <v>#REF!</v>
      </c>
      <c r="BC60" s="272" t="e">
        <f>IF(#REF!="Yes","H",IF($B60="","",IF(AND($C60&lt;=#REF!,$D60&gt;=#REF!),IF($G60="","x","y"),"")))</f>
        <v>#REF!</v>
      </c>
      <c r="BD60" s="270" t="e">
        <f>IF(#REF!="Yes","H",IF($B60="","",IF(AND($C60&lt;=#REF!,$D60&gt;=#REF!),IF($G60="","x","y"),"")))</f>
        <v>#REF!</v>
      </c>
      <c r="BE60" s="270" t="e">
        <f>IF(#REF!="Yes","H",IF($B60="","",IF(AND($C60&lt;=#REF!,$D60&gt;=#REF!),IF($G60="","x","y"),"")))</f>
        <v>#REF!</v>
      </c>
      <c r="BF60" s="270" t="e">
        <f>IF(#REF!="Yes","H",IF($B60="","",IF(AND($C60&lt;=#REF!,$D60&gt;=#REF!),IF($G60="","x","y"),"")))</f>
        <v>#REF!</v>
      </c>
      <c r="BG60" s="273" t="e">
        <f>IF(#REF!="Yes","H",IF($B60="","",IF(AND($C60&lt;=#REF!,$D60&gt;=#REF!),IF($G60="","x","y"),"")))</f>
        <v>#REF!</v>
      </c>
      <c r="BH60" s="274" t="e">
        <f>IF(#REF!="Yes","H",IF($B60="","",IF(AND($C60&lt;=#REF!,$D60&gt;=#REF!),IF($G60="","x","y"),"")))</f>
        <v>#REF!</v>
      </c>
      <c r="BI60" s="270" t="e">
        <f>IF(#REF!="Yes","H",IF($B60="","",IF(AND($C60&lt;=#REF!,$D60&gt;=#REF!),IF($G60="","x","y"),"")))</f>
        <v>#REF!</v>
      </c>
      <c r="BJ60" s="270" t="e">
        <f>IF(#REF!="Yes","H",IF($B60="","",IF(AND($C60&lt;=#REF!,$D60&gt;=#REF!),IF($G60="","x","y"),"")))</f>
        <v>#REF!</v>
      </c>
      <c r="BK60" s="270" t="e">
        <f>IF(#REF!="Yes","H",IF($B60="","",IF(AND($C60&lt;=#REF!,$D60&gt;=#REF!),IF($G60="","x","y"),"")))</f>
        <v>#REF!</v>
      </c>
      <c r="BL60" s="271" t="e">
        <f>IF(#REF!="Yes","H",IF($B60="","",IF(AND($C60&lt;=#REF!,$D60&gt;=#REF!),IF($G60="","x","y"),"")))</f>
        <v>#REF!</v>
      </c>
      <c r="BM60" s="272" t="e">
        <f>IF(#REF!="Yes","H",IF($B60="","",IF(AND($C60&lt;=#REF!,$D60&gt;=#REF!),IF($G60="","x","y"),"")))</f>
        <v>#REF!</v>
      </c>
      <c r="BN60" s="270" t="e">
        <f>IF(#REF!="Yes","H",IF($B60="","",IF(AND($C60&lt;=#REF!,$D60&gt;=#REF!),IF($G60="","x","y"),"")))</f>
        <v>#REF!</v>
      </c>
      <c r="BO60" s="270" t="e">
        <f>IF(#REF!="Yes","H",IF($B60="","",IF(AND($C60&lt;=#REF!,$D60&gt;=#REF!),IF($G60="","x","y"),"")))</f>
        <v>#REF!</v>
      </c>
      <c r="BP60" s="270" t="e">
        <f>IF(#REF!="Yes","H",IF($B60="","",IF(AND($C60&lt;=#REF!,$D60&gt;=#REF!),IF($G60="","x","y"),"")))</f>
        <v>#REF!</v>
      </c>
      <c r="BQ60" s="273" t="e">
        <f>IF(#REF!="Yes","H",IF($B60="","",IF(AND($C60&lt;=#REF!,$D60&gt;=#REF!),IF($G60="","x","y"),"")))</f>
        <v>#REF!</v>
      </c>
      <c r="BR60" s="274" t="e">
        <f>IF(#REF!="Yes","H",IF($B60="","",IF(AND($C60&lt;=#REF!,$D60&gt;=#REF!),IF($G60="","x","y"),"")))</f>
        <v>#REF!</v>
      </c>
      <c r="BS60" s="270" t="e">
        <f>IF(#REF!="Yes","H",IF($B60="","",IF(AND($C60&lt;=#REF!,$D60&gt;=#REF!),IF($G60="","x","y"),"")))</f>
        <v>#REF!</v>
      </c>
      <c r="BT60" s="270" t="e">
        <f>IF(#REF!="Yes","H",IF($B60="","",IF(AND($C60&lt;=#REF!,$D60&gt;=#REF!),IF($G60="","x","y"),"")))</f>
        <v>#REF!</v>
      </c>
      <c r="BU60" s="270" t="e">
        <f>IF(#REF!="Yes","H",IF($B60="","",IF(AND($C60&lt;=#REF!,$D60&gt;=#REF!),IF($G60="","x","y"),"")))</f>
        <v>#REF!</v>
      </c>
      <c r="BV60" s="271" t="e">
        <f>IF(#REF!="Yes","H",IF($B60="","",IF(AND($C60&lt;=#REF!,$D60&gt;=#REF!),IF($G60="","x","y"),"")))</f>
        <v>#REF!</v>
      </c>
      <c r="BW60" s="272" t="e">
        <f>IF(#REF!="Yes","H",IF($B60="","",IF(AND($C60&lt;=#REF!,$D60&gt;=#REF!),IF($G60="","x","y"),"")))</f>
        <v>#REF!</v>
      </c>
      <c r="BX60" s="270" t="e">
        <f>IF(#REF!="Yes","H",IF($B60="","",IF(AND($C60&lt;=#REF!,$D60&gt;=#REF!),IF($G60="","x","y"),"")))</f>
        <v>#REF!</v>
      </c>
      <c r="BY60" s="270" t="e">
        <f>IF(#REF!="Yes","H",IF($B60="","",IF(AND($C60&lt;=#REF!,$D60&gt;=#REF!),IF($G60="","x","y"),"")))</f>
        <v>#REF!</v>
      </c>
      <c r="BZ60" s="270" t="e">
        <f>IF(#REF!="Yes","H",IF($B60="","",IF(AND($C60&lt;=#REF!,$D60&gt;=#REF!),IF($G60="","x","y"),"")))</f>
        <v>#REF!</v>
      </c>
      <c r="CA60" s="273" t="e">
        <f>IF(#REF!="Yes","H",IF($B60="","",IF(AND($C60&lt;=#REF!,$D60&gt;=#REF!),IF($G60="","x","y"),"")))</f>
        <v>#REF!</v>
      </c>
    </row>
    <row r="61" spans="2:79" ht="15" customHeight="1">
      <c r="B61" s="210"/>
      <c r="C61" s="260"/>
      <c r="D61" s="260"/>
      <c r="E61" s="260"/>
      <c r="F61" s="224"/>
      <c r="G61" s="275"/>
      <c r="H61" s="209"/>
      <c r="I61" s="211"/>
      <c r="J61" s="269" t="e">
        <f>IF(#REF!="Yes","H",IF($B61="","",IF(AND($C61&lt;=#REF!,$D61&gt;=#REF!),IF($G61="","x","y"),"")))</f>
        <v>#REF!</v>
      </c>
      <c r="K61" s="270" t="e">
        <f>IF(#REF!="Yes","H",IF($B61="","",IF(AND($C61&lt;=#REF!,$D61&gt;=#REF!),IF($G61="","x","y"),"")))</f>
        <v>#REF!</v>
      </c>
      <c r="L61" s="270" t="e">
        <f>IF(#REF!="Yes","H",IF($B61="","",IF(AND($C61&lt;=#REF!,$D61&gt;=#REF!),IF($G61="","x","y"),"")))</f>
        <v>#REF!</v>
      </c>
      <c r="M61" s="270" t="e">
        <f>IF(#REF!="Yes","H",IF($B61="","",IF(AND($C61&lt;=#REF!,$D61&gt;=#REF!),IF($G61="","x","y"),"")))</f>
        <v>#REF!</v>
      </c>
      <c r="N61" s="271" t="e">
        <f>IF(#REF!="Yes","H",IF($B61="","",IF(AND($C61&lt;=#REF!,$D61&gt;=#REF!),IF($G61="","x","y"),"")))</f>
        <v>#REF!</v>
      </c>
      <c r="O61" s="272" t="e">
        <f>IF(#REF!="Yes","H",IF($B61="","",IF(AND($C61&lt;=#REF!,$D61&gt;=#REF!),IF($G61="","x","y"),"")))</f>
        <v>#REF!</v>
      </c>
      <c r="P61" s="270" t="e">
        <f>IF(#REF!="Yes","H",IF($B61="","",IF(AND($C61&lt;=#REF!,$D61&gt;=#REF!),IF($G61="","x","y"),"")))</f>
        <v>#REF!</v>
      </c>
      <c r="Q61" s="270" t="e">
        <f>IF(#REF!="Yes","H",IF($B61="","",IF(AND($C61&lt;=#REF!,$D61&gt;=#REF!),IF($G61="","x","y"),"")))</f>
        <v>#REF!</v>
      </c>
      <c r="R61" s="270" t="e">
        <f>IF(#REF!="Yes","H",IF($B61="","",IF(AND($C61&lt;=#REF!,$D61&gt;=#REF!),IF($G61="","x","y"),"")))</f>
        <v>#REF!</v>
      </c>
      <c r="S61" s="273" t="e">
        <f>IF(#REF!="Yes","H",IF($B61="","",IF(AND($C61&lt;=#REF!,$D61&gt;=#REF!),IF($G61="","x","y"),"")))</f>
        <v>#REF!</v>
      </c>
      <c r="T61" s="274" t="e">
        <f>IF(#REF!="Yes","H",IF($B61="","",IF(AND($C61&lt;=#REF!,$D61&gt;=#REF!),IF($G61="","x","y"),"")))</f>
        <v>#REF!</v>
      </c>
      <c r="U61" s="270" t="e">
        <f>IF(#REF!="Yes","H",IF($B61="","",IF(AND($C61&lt;=#REF!,$D61&gt;=#REF!),IF($G61="","x","y"),"")))</f>
        <v>#REF!</v>
      </c>
      <c r="V61" s="270" t="e">
        <f>IF(#REF!="Yes","H",IF($B61="","",IF(AND($C61&lt;=#REF!,$D61&gt;=#REF!),IF($G61="","x","y"),"")))</f>
        <v>#REF!</v>
      </c>
      <c r="W61" s="270" t="e">
        <f>IF(#REF!="Yes","H",IF($B61="","",IF(AND($C61&lt;=#REF!,$D61&gt;=#REF!),IF($G61="","x","y"),"")))</f>
        <v>#REF!</v>
      </c>
      <c r="X61" s="271" t="e">
        <f>IF(#REF!="Yes","H",IF($B61="","",IF(AND($C61&lt;=#REF!,$D61&gt;=#REF!),IF($G61="","x","y"),"")))</f>
        <v>#REF!</v>
      </c>
      <c r="Y61" s="272" t="e">
        <f>IF(#REF!="Yes","H",IF($B61="","",IF(AND($C61&lt;=#REF!,$D61&gt;=#REF!),IF($G61="","x","y"),"")))</f>
        <v>#REF!</v>
      </c>
      <c r="Z61" s="270" t="e">
        <f>IF(#REF!="Yes","H",IF($B61="","",IF(AND($C61&lt;=#REF!,$D61&gt;=#REF!),IF($G61="","x","y"),"")))</f>
        <v>#REF!</v>
      </c>
      <c r="AA61" s="270" t="e">
        <f>IF(#REF!="Yes","H",IF($B61="","",IF(AND($C61&lt;=#REF!,$D61&gt;=#REF!),IF($G61="","x","y"),"")))</f>
        <v>#REF!</v>
      </c>
      <c r="AB61" s="270" t="e">
        <f>IF(#REF!="Yes","H",IF($B61="","",IF(AND($C61&lt;=#REF!,$D61&gt;=#REF!),IF($G61="","x","y"),"")))</f>
        <v>#REF!</v>
      </c>
      <c r="AC61" s="273" t="e">
        <f>IF(#REF!="Yes","H",IF($B61="","",IF(AND($C61&lt;=#REF!,$D61&gt;=#REF!),IF($G61="","x","y"),"")))</f>
        <v>#REF!</v>
      </c>
      <c r="AD61" s="274" t="e">
        <f>IF(#REF!="Yes","H",IF($B61="","",IF(AND($C61&lt;=#REF!,$D61&gt;=#REF!),IF($G61="","x","y"),"")))</f>
        <v>#REF!</v>
      </c>
      <c r="AE61" s="270" t="e">
        <f>IF(#REF!="Yes","H",IF($B61="","",IF(AND($C61&lt;=#REF!,$D61&gt;=#REF!),IF($G61="","x","y"),"")))</f>
        <v>#REF!</v>
      </c>
      <c r="AF61" s="270" t="e">
        <f>IF(#REF!="Yes","H",IF($B61="","",IF(AND($C61&lt;=#REF!,$D61&gt;=#REF!),IF($G61="","x","y"),"")))</f>
        <v>#REF!</v>
      </c>
      <c r="AG61" s="270" t="e">
        <f>IF(#REF!="Yes","H",IF($B61="","",IF(AND($C61&lt;=#REF!,$D61&gt;=#REF!),IF($G61="","x","y"),"")))</f>
        <v>#REF!</v>
      </c>
      <c r="AH61" s="271" t="e">
        <f>IF(#REF!="Yes","H",IF($B61="","",IF(AND($C61&lt;=#REF!,$D61&gt;=#REF!),IF($G61="","x","y"),"")))</f>
        <v>#REF!</v>
      </c>
      <c r="AI61" s="272" t="e">
        <f>IF(#REF!="Yes","H",IF($B61="","",IF(AND($C61&lt;=#REF!,$D61&gt;=#REF!),IF($G61="","x","y"),"")))</f>
        <v>#REF!</v>
      </c>
      <c r="AJ61" s="270" t="e">
        <f>IF(#REF!="Yes","H",IF($B61="","",IF(AND($C61&lt;=#REF!,$D61&gt;=#REF!),IF($G61="","x","y"),"")))</f>
        <v>#REF!</v>
      </c>
      <c r="AK61" s="270" t="e">
        <f>IF(#REF!="Yes","H",IF($B61="","",IF(AND($C61&lt;=#REF!,$D61&gt;=#REF!),IF($G61="","x","y"),"")))</f>
        <v>#REF!</v>
      </c>
      <c r="AL61" s="270" t="e">
        <f>IF(#REF!="Yes","H",IF($B61="","",IF(AND($C61&lt;=#REF!,$D61&gt;=#REF!),IF($G61="","x","y"),"")))</f>
        <v>#REF!</v>
      </c>
      <c r="AM61" s="273" t="e">
        <f>IF(#REF!="Yes","H",IF($B61="","",IF(AND($C61&lt;=#REF!,$D61&gt;=#REF!),IF($G61="","x","y"),"")))</f>
        <v>#REF!</v>
      </c>
      <c r="AN61" s="274" t="e">
        <f>IF(#REF!="Yes","H",IF($B61="","",IF(AND($C61&lt;=#REF!,$D61&gt;=#REF!),IF($G61="","x","y"),"")))</f>
        <v>#REF!</v>
      </c>
      <c r="AO61" s="270" t="e">
        <f>IF(#REF!="Yes","H",IF($B61="","",IF(AND($C61&lt;=#REF!,$D61&gt;=#REF!),IF($G61="","x","y"),"")))</f>
        <v>#REF!</v>
      </c>
      <c r="AP61" s="270" t="e">
        <f>IF(#REF!="Yes","H",IF($B61="","",IF(AND($C61&lt;=#REF!,$D61&gt;=#REF!),IF($G61="","x","y"),"")))</f>
        <v>#REF!</v>
      </c>
      <c r="AQ61" s="270" t="e">
        <f>IF(#REF!="Yes","H",IF($B61="","",IF(AND($C61&lt;=#REF!,$D61&gt;=#REF!),IF($G61="","x","y"),"")))</f>
        <v>#REF!</v>
      </c>
      <c r="AR61" s="271" t="e">
        <f>IF(#REF!="Yes","H",IF($B61="","",IF(AND($C61&lt;=#REF!,$D61&gt;=#REF!),IF($G61="","x","y"),"")))</f>
        <v>#REF!</v>
      </c>
      <c r="AS61" s="272" t="e">
        <f>IF(#REF!="Yes","H",IF($B61="","",IF(AND($C61&lt;=#REF!,$D61&gt;=#REF!),IF($G61="","x","y"),"")))</f>
        <v>#REF!</v>
      </c>
      <c r="AT61" s="270" t="e">
        <f>IF(#REF!="Yes","H",IF($B61="","",IF(AND($C61&lt;=#REF!,$D61&gt;=#REF!),IF($G61="","x","y"),"")))</f>
        <v>#REF!</v>
      </c>
      <c r="AU61" s="270" t="e">
        <f>IF(#REF!="Yes","H",IF($B61="","",IF(AND($C61&lt;=#REF!,$D61&gt;=#REF!),IF($G61="","x","y"),"")))</f>
        <v>#REF!</v>
      </c>
      <c r="AV61" s="270" t="e">
        <f>IF(#REF!="Yes","H",IF($B61="","",IF(AND($C61&lt;=#REF!,$D61&gt;=#REF!),IF($G61="","x","y"),"")))</f>
        <v>#REF!</v>
      </c>
      <c r="AW61" s="273" t="e">
        <f>IF(#REF!="Yes","H",IF($B61="","",IF(AND($C61&lt;=#REF!,$D61&gt;=#REF!),IF($G61="","x","y"),"")))</f>
        <v>#REF!</v>
      </c>
      <c r="AX61" s="274" t="e">
        <f>IF(#REF!="Yes","H",IF($B61="","",IF(AND($C61&lt;=#REF!,$D61&gt;=#REF!),IF($G61="","x","y"),"")))</f>
        <v>#REF!</v>
      </c>
      <c r="AY61" s="270" t="e">
        <f>IF(#REF!="Yes","H",IF($B61="","",IF(AND($C61&lt;=#REF!,$D61&gt;=#REF!),IF($G61="","x","y"),"")))</f>
        <v>#REF!</v>
      </c>
      <c r="AZ61" s="270" t="e">
        <f>IF(#REF!="Yes","H",IF($B61="","",IF(AND($C61&lt;=#REF!,$D61&gt;=#REF!),IF($G61="","x","y"),"")))</f>
        <v>#REF!</v>
      </c>
      <c r="BA61" s="270" t="e">
        <f>IF(#REF!="Yes","H",IF($B61="","",IF(AND($C61&lt;=#REF!,$D61&gt;=#REF!),IF($G61="","x","y"),"")))</f>
        <v>#REF!</v>
      </c>
      <c r="BB61" s="271" t="e">
        <f>IF(#REF!="Yes","H",IF($B61="","",IF(AND($C61&lt;=#REF!,$D61&gt;=#REF!),IF($G61="","x","y"),"")))</f>
        <v>#REF!</v>
      </c>
      <c r="BC61" s="272" t="e">
        <f>IF(#REF!="Yes","H",IF($B61="","",IF(AND($C61&lt;=#REF!,$D61&gt;=#REF!),IF($G61="","x","y"),"")))</f>
        <v>#REF!</v>
      </c>
      <c r="BD61" s="270" t="e">
        <f>IF(#REF!="Yes","H",IF($B61="","",IF(AND($C61&lt;=#REF!,$D61&gt;=#REF!),IF($G61="","x","y"),"")))</f>
        <v>#REF!</v>
      </c>
      <c r="BE61" s="270" t="e">
        <f>IF(#REF!="Yes","H",IF($B61="","",IF(AND($C61&lt;=#REF!,$D61&gt;=#REF!),IF($G61="","x","y"),"")))</f>
        <v>#REF!</v>
      </c>
      <c r="BF61" s="270" t="e">
        <f>IF(#REF!="Yes","H",IF($B61="","",IF(AND($C61&lt;=#REF!,$D61&gt;=#REF!),IF($G61="","x","y"),"")))</f>
        <v>#REF!</v>
      </c>
      <c r="BG61" s="273" t="e">
        <f>IF(#REF!="Yes","H",IF($B61="","",IF(AND($C61&lt;=#REF!,$D61&gt;=#REF!),IF($G61="","x","y"),"")))</f>
        <v>#REF!</v>
      </c>
      <c r="BH61" s="274" t="e">
        <f>IF(#REF!="Yes","H",IF($B61="","",IF(AND($C61&lt;=#REF!,$D61&gt;=#REF!),IF($G61="","x","y"),"")))</f>
        <v>#REF!</v>
      </c>
      <c r="BI61" s="270" t="e">
        <f>IF(#REF!="Yes","H",IF($B61="","",IF(AND($C61&lt;=#REF!,$D61&gt;=#REF!),IF($G61="","x","y"),"")))</f>
        <v>#REF!</v>
      </c>
      <c r="BJ61" s="270" t="e">
        <f>IF(#REF!="Yes","H",IF($B61="","",IF(AND($C61&lt;=#REF!,$D61&gt;=#REF!),IF($G61="","x","y"),"")))</f>
        <v>#REF!</v>
      </c>
      <c r="BK61" s="270" t="e">
        <f>IF(#REF!="Yes","H",IF($B61="","",IF(AND($C61&lt;=#REF!,$D61&gt;=#REF!),IF($G61="","x","y"),"")))</f>
        <v>#REF!</v>
      </c>
      <c r="BL61" s="271" t="e">
        <f>IF(#REF!="Yes","H",IF($B61="","",IF(AND($C61&lt;=#REF!,$D61&gt;=#REF!),IF($G61="","x","y"),"")))</f>
        <v>#REF!</v>
      </c>
      <c r="BM61" s="272" t="e">
        <f>IF(#REF!="Yes","H",IF($B61="","",IF(AND($C61&lt;=#REF!,$D61&gt;=#REF!),IF($G61="","x","y"),"")))</f>
        <v>#REF!</v>
      </c>
      <c r="BN61" s="270" t="e">
        <f>IF(#REF!="Yes","H",IF($B61="","",IF(AND($C61&lt;=#REF!,$D61&gt;=#REF!),IF($G61="","x","y"),"")))</f>
        <v>#REF!</v>
      </c>
      <c r="BO61" s="270" t="e">
        <f>IF(#REF!="Yes","H",IF($B61="","",IF(AND($C61&lt;=#REF!,$D61&gt;=#REF!),IF($G61="","x","y"),"")))</f>
        <v>#REF!</v>
      </c>
      <c r="BP61" s="270" t="e">
        <f>IF(#REF!="Yes","H",IF($B61="","",IF(AND($C61&lt;=#REF!,$D61&gt;=#REF!),IF($G61="","x","y"),"")))</f>
        <v>#REF!</v>
      </c>
      <c r="BQ61" s="273" t="e">
        <f>IF(#REF!="Yes","H",IF($B61="","",IF(AND($C61&lt;=#REF!,$D61&gt;=#REF!),IF($G61="","x","y"),"")))</f>
        <v>#REF!</v>
      </c>
      <c r="BR61" s="274" t="e">
        <f>IF(#REF!="Yes","H",IF($B61="","",IF(AND($C61&lt;=#REF!,$D61&gt;=#REF!),IF($G61="","x","y"),"")))</f>
        <v>#REF!</v>
      </c>
      <c r="BS61" s="270" t="e">
        <f>IF(#REF!="Yes","H",IF($B61="","",IF(AND($C61&lt;=#REF!,$D61&gt;=#REF!),IF($G61="","x","y"),"")))</f>
        <v>#REF!</v>
      </c>
      <c r="BT61" s="270" t="e">
        <f>IF(#REF!="Yes","H",IF($B61="","",IF(AND($C61&lt;=#REF!,$D61&gt;=#REF!),IF($G61="","x","y"),"")))</f>
        <v>#REF!</v>
      </c>
      <c r="BU61" s="270" t="e">
        <f>IF(#REF!="Yes","H",IF($B61="","",IF(AND($C61&lt;=#REF!,$D61&gt;=#REF!),IF($G61="","x","y"),"")))</f>
        <v>#REF!</v>
      </c>
      <c r="BV61" s="271" t="e">
        <f>IF(#REF!="Yes","H",IF($B61="","",IF(AND($C61&lt;=#REF!,$D61&gt;=#REF!),IF($G61="","x","y"),"")))</f>
        <v>#REF!</v>
      </c>
      <c r="BW61" s="272" t="e">
        <f>IF(#REF!="Yes","H",IF($B61="","",IF(AND($C61&lt;=#REF!,$D61&gt;=#REF!),IF($G61="","x","y"),"")))</f>
        <v>#REF!</v>
      </c>
      <c r="BX61" s="270" t="e">
        <f>IF(#REF!="Yes","H",IF($B61="","",IF(AND($C61&lt;=#REF!,$D61&gt;=#REF!),IF($G61="","x","y"),"")))</f>
        <v>#REF!</v>
      </c>
      <c r="BY61" s="270" t="e">
        <f>IF(#REF!="Yes","H",IF($B61="","",IF(AND($C61&lt;=#REF!,$D61&gt;=#REF!),IF($G61="","x","y"),"")))</f>
        <v>#REF!</v>
      </c>
      <c r="BZ61" s="270" t="e">
        <f>IF(#REF!="Yes","H",IF($B61="","",IF(AND($C61&lt;=#REF!,$D61&gt;=#REF!),IF($G61="","x","y"),"")))</f>
        <v>#REF!</v>
      </c>
      <c r="CA61" s="273" t="e">
        <f>IF(#REF!="Yes","H",IF($B61="","",IF(AND($C61&lt;=#REF!,$D61&gt;=#REF!),IF($G61="","x","y"),"")))</f>
        <v>#REF!</v>
      </c>
    </row>
    <row r="62" spans="2:79" ht="15" customHeight="1">
      <c r="B62" s="210"/>
      <c r="C62" s="260"/>
      <c r="D62" s="260"/>
      <c r="E62" s="260"/>
      <c r="F62" s="225"/>
      <c r="G62" s="275"/>
      <c r="H62" s="209"/>
      <c r="I62" s="211"/>
      <c r="J62" s="269" t="e">
        <f>IF(#REF!="Yes","H",IF($B62="","",IF(AND($C62&lt;=#REF!,$D62&gt;=#REF!),IF($G62="","x","y"),"")))</f>
        <v>#REF!</v>
      </c>
      <c r="K62" s="270" t="e">
        <f>IF(#REF!="Yes","H",IF($B62="","",IF(AND($C62&lt;=#REF!,$D62&gt;=#REF!),IF($G62="","x","y"),"")))</f>
        <v>#REF!</v>
      </c>
      <c r="L62" s="270" t="e">
        <f>IF(#REF!="Yes","H",IF($B62="","",IF(AND($C62&lt;=#REF!,$D62&gt;=#REF!),IF($G62="","x","y"),"")))</f>
        <v>#REF!</v>
      </c>
      <c r="M62" s="270" t="e">
        <f>IF(#REF!="Yes","H",IF($B62="","",IF(AND($C62&lt;=#REF!,$D62&gt;=#REF!),IF($G62="","x","y"),"")))</f>
        <v>#REF!</v>
      </c>
      <c r="N62" s="271" t="e">
        <f>IF(#REF!="Yes","H",IF($B62="","",IF(AND($C62&lt;=#REF!,$D62&gt;=#REF!),IF($G62="","x","y"),"")))</f>
        <v>#REF!</v>
      </c>
      <c r="O62" s="272" t="e">
        <f>IF(#REF!="Yes","H",IF($B62="","",IF(AND($C62&lt;=#REF!,$D62&gt;=#REF!),IF($G62="","x","y"),"")))</f>
        <v>#REF!</v>
      </c>
      <c r="P62" s="270" t="e">
        <f>IF(#REF!="Yes","H",IF($B62="","",IF(AND($C62&lt;=#REF!,$D62&gt;=#REF!),IF($G62="","x","y"),"")))</f>
        <v>#REF!</v>
      </c>
      <c r="Q62" s="270" t="e">
        <f>IF(#REF!="Yes","H",IF($B62="","",IF(AND($C62&lt;=#REF!,$D62&gt;=#REF!),IF($G62="","x","y"),"")))</f>
        <v>#REF!</v>
      </c>
      <c r="R62" s="270" t="e">
        <f>IF(#REF!="Yes","H",IF($B62="","",IF(AND($C62&lt;=#REF!,$D62&gt;=#REF!),IF($G62="","x","y"),"")))</f>
        <v>#REF!</v>
      </c>
      <c r="S62" s="273" t="e">
        <f>IF(#REF!="Yes","H",IF($B62="","",IF(AND($C62&lt;=#REF!,$D62&gt;=#REF!),IF($G62="","x","y"),"")))</f>
        <v>#REF!</v>
      </c>
      <c r="T62" s="274" t="e">
        <f>IF(#REF!="Yes","H",IF($B62="","",IF(AND($C62&lt;=#REF!,$D62&gt;=#REF!),IF($G62="","x","y"),"")))</f>
        <v>#REF!</v>
      </c>
      <c r="U62" s="270" t="e">
        <f>IF(#REF!="Yes","H",IF($B62="","",IF(AND($C62&lt;=#REF!,$D62&gt;=#REF!),IF($G62="","x","y"),"")))</f>
        <v>#REF!</v>
      </c>
      <c r="V62" s="270" t="e">
        <f>IF(#REF!="Yes","H",IF($B62="","",IF(AND($C62&lt;=#REF!,$D62&gt;=#REF!),IF($G62="","x","y"),"")))</f>
        <v>#REF!</v>
      </c>
      <c r="W62" s="270" t="e">
        <f>IF(#REF!="Yes","H",IF($B62="","",IF(AND($C62&lt;=#REF!,$D62&gt;=#REF!),IF($G62="","x","y"),"")))</f>
        <v>#REF!</v>
      </c>
      <c r="X62" s="271" t="e">
        <f>IF(#REF!="Yes","H",IF($B62="","",IF(AND($C62&lt;=#REF!,$D62&gt;=#REF!),IF($G62="","x","y"),"")))</f>
        <v>#REF!</v>
      </c>
      <c r="Y62" s="272" t="e">
        <f>IF(#REF!="Yes","H",IF($B62="","",IF(AND($C62&lt;=#REF!,$D62&gt;=#REF!),IF($G62="","x","y"),"")))</f>
        <v>#REF!</v>
      </c>
      <c r="Z62" s="270" t="e">
        <f>IF(#REF!="Yes","H",IF($B62="","",IF(AND($C62&lt;=#REF!,$D62&gt;=#REF!),IF($G62="","x","y"),"")))</f>
        <v>#REF!</v>
      </c>
      <c r="AA62" s="270" t="e">
        <f>IF(#REF!="Yes","H",IF($B62="","",IF(AND($C62&lt;=#REF!,$D62&gt;=#REF!),IF($G62="","x","y"),"")))</f>
        <v>#REF!</v>
      </c>
      <c r="AB62" s="270" t="e">
        <f>IF(#REF!="Yes","H",IF($B62="","",IF(AND($C62&lt;=#REF!,$D62&gt;=#REF!),IF($G62="","x","y"),"")))</f>
        <v>#REF!</v>
      </c>
      <c r="AC62" s="273" t="e">
        <f>IF(#REF!="Yes","H",IF($B62="","",IF(AND($C62&lt;=#REF!,$D62&gt;=#REF!),IF($G62="","x","y"),"")))</f>
        <v>#REF!</v>
      </c>
      <c r="AD62" s="274" t="e">
        <f>IF(#REF!="Yes","H",IF($B62="","",IF(AND($C62&lt;=#REF!,$D62&gt;=#REF!),IF($G62="","x","y"),"")))</f>
        <v>#REF!</v>
      </c>
      <c r="AE62" s="270" t="e">
        <f>IF(#REF!="Yes","H",IF($B62="","",IF(AND($C62&lt;=#REF!,$D62&gt;=#REF!),IF($G62="","x","y"),"")))</f>
        <v>#REF!</v>
      </c>
      <c r="AF62" s="270" t="e">
        <f>IF(#REF!="Yes","H",IF($B62="","",IF(AND($C62&lt;=#REF!,$D62&gt;=#REF!),IF($G62="","x","y"),"")))</f>
        <v>#REF!</v>
      </c>
      <c r="AG62" s="270" t="e">
        <f>IF(#REF!="Yes","H",IF($B62="","",IF(AND($C62&lt;=#REF!,$D62&gt;=#REF!),IF($G62="","x","y"),"")))</f>
        <v>#REF!</v>
      </c>
      <c r="AH62" s="271" t="e">
        <f>IF(#REF!="Yes","H",IF($B62="","",IF(AND($C62&lt;=#REF!,$D62&gt;=#REF!),IF($G62="","x","y"),"")))</f>
        <v>#REF!</v>
      </c>
      <c r="AI62" s="272" t="e">
        <f>IF(#REF!="Yes","H",IF($B62="","",IF(AND($C62&lt;=#REF!,$D62&gt;=#REF!),IF($G62="","x","y"),"")))</f>
        <v>#REF!</v>
      </c>
      <c r="AJ62" s="270" t="e">
        <f>IF(#REF!="Yes","H",IF($B62="","",IF(AND($C62&lt;=#REF!,$D62&gt;=#REF!),IF($G62="","x","y"),"")))</f>
        <v>#REF!</v>
      </c>
      <c r="AK62" s="270" t="e">
        <f>IF(#REF!="Yes","H",IF($B62="","",IF(AND($C62&lt;=#REF!,$D62&gt;=#REF!),IF($G62="","x","y"),"")))</f>
        <v>#REF!</v>
      </c>
      <c r="AL62" s="270" t="e">
        <f>IF(#REF!="Yes","H",IF($B62="","",IF(AND($C62&lt;=#REF!,$D62&gt;=#REF!),IF($G62="","x","y"),"")))</f>
        <v>#REF!</v>
      </c>
      <c r="AM62" s="273" t="e">
        <f>IF(#REF!="Yes","H",IF($B62="","",IF(AND($C62&lt;=#REF!,$D62&gt;=#REF!),IF($G62="","x","y"),"")))</f>
        <v>#REF!</v>
      </c>
      <c r="AN62" s="274" t="e">
        <f>IF(#REF!="Yes","H",IF($B62="","",IF(AND($C62&lt;=#REF!,$D62&gt;=#REF!),IF($G62="","x","y"),"")))</f>
        <v>#REF!</v>
      </c>
      <c r="AO62" s="270" t="e">
        <f>IF(#REF!="Yes","H",IF($B62="","",IF(AND($C62&lt;=#REF!,$D62&gt;=#REF!),IF($G62="","x","y"),"")))</f>
        <v>#REF!</v>
      </c>
      <c r="AP62" s="270" t="e">
        <f>IF(#REF!="Yes","H",IF($B62="","",IF(AND($C62&lt;=#REF!,$D62&gt;=#REF!),IF($G62="","x","y"),"")))</f>
        <v>#REF!</v>
      </c>
      <c r="AQ62" s="270" t="e">
        <f>IF(#REF!="Yes","H",IF($B62="","",IF(AND($C62&lt;=#REF!,$D62&gt;=#REF!),IF($G62="","x","y"),"")))</f>
        <v>#REF!</v>
      </c>
      <c r="AR62" s="271" t="e">
        <f>IF(#REF!="Yes","H",IF($B62="","",IF(AND($C62&lt;=#REF!,$D62&gt;=#REF!),IF($G62="","x","y"),"")))</f>
        <v>#REF!</v>
      </c>
      <c r="AS62" s="272" t="e">
        <f>IF(#REF!="Yes","H",IF($B62="","",IF(AND($C62&lt;=#REF!,$D62&gt;=#REF!),IF($G62="","x","y"),"")))</f>
        <v>#REF!</v>
      </c>
      <c r="AT62" s="270" t="e">
        <f>IF(#REF!="Yes","H",IF($B62="","",IF(AND($C62&lt;=#REF!,$D62&gt;=#REF!),IF($G62="","x","y"),"")))</f>
        <v>#REF!</v>
      </c>
      <c r="AU62" s="270" t="e">
        <f>IF(#REF!="Yes","H",IF($B62="","",IF(AND($C62&lt;=#REF!,$D62&gt;=#REF!),IF($G62="","x","y"),"")))</f>
        <v>#REF!</v>
      </c>
      <c r="AV62" s="270" t="e">
        <f>IF(#REF!="Yes","H",IF($B62="","",IF(AND($C62&lt;=#REF!,$D62&gt;=#REF!),IF($G62="","x","y"),"")))</f>
        <v>#REF!</v>
      </c>
      <c r="AW62" s="273" t="e">
        <f>IF(#REF!="Yes","H",IF($B62="","",IF(AND($C62&lt;=#REF!,$D62&gt;=#REF!),IF($G62="","x","y"),"")))</f>
        <v>#REF!</v>
      </c>
      <c r="AX62" s="274" t="e">
        <f>IF(#REF!="Yes","H",IF($B62="","",IF(AND($C62&lt;=#REF!,$D62&gt;=#REF!),IF($G62="","x","y"),"")))</f>
        <v>#REF!</v>
      </c>
      <c r="AY62" s="270" t="e">
        <f>IF(#REF!="Yes","H",IF($B62="","",IF(AND($C62&lt;=#REF!,$D62&gt;=#REF!),IF($G62="","x","y"),"")))</f>
        <v>#REF!</v>
      </c>
      <c r="AZ62" s="270" t="e">
        <f>IF(#REF!="Yes","H",IF($B62="","",IF(AND($C62&lt;=#REF!,$D62&gt;=#REF!),IF($G62="","x","y"),"")))</f>
        <v>#REF!</v>
      </c>
      <c r="BA62" s="270" t="e">
        <f>IF(#REF!="Yes","H",IF($B62="","",IF(AND($C62&lt;=#REF!,$D62&gt;=#REF!),IF($G62="","x","y"),"")))</f>
        <v>#REF!</v>
      </c>
      <c r="BB62" s="271" t="e">
        <f>IF(#REF!="Yes","H",IF($B62="","",IF(AND($C62&lt;=#REF!,$D62&gt;=#REF!),IF($G62="","x","y"),"")))</f>
        <v>#REF!</v>
      </c>
      <c r="BC62" s="272" t="e">
        <f>IF(#REF!="Yes","H",IF($B62="","",IF(AND($C62&lt;=#REF!,$D62&gt;=#REF!),IF($G62="","x","y"),"")))</f>
        <v>#REF!</v>
      </c>
      <c r="BD62" s="270" t="e">
        <f>IF(#REF!="Yes","H",IF($B62="","",IF(AND($C62&lt;=#REF!,$D62&gt;=#REF!),IF($G62="","x","y"),"")))</f>
        <v>#REF!</v>
      </c>
      <c r="BE62" s="270" t="e">
        <f>IF(#REF!="Yes","H",IF($B62="","",IF(AND($C62&lt;=#REF!,$D62&gt;=#REF!),IF($G62="","x","y"),"")))</f>
        <v>#REF!</v>
      </c>
      <c r="BF62" s="270" t="e">
        <f>IF(#REF!="Yes","H",IF($B62="","",IF(AND($C62&lt;=#REF!,$D62&gt;=#REF!),IF($G62="","x","y"),"")))</f>
        <v>#REF!</v>
      </c>
      <c r="BG62" s="273" t="e">
        <f>IF(#REF!="Yes","H",IF($B62="","",IF(AND($C62&lt;=#REF!,$D62&gt;=#REF!),IF($G62="","x","y"),"")))</f>
        <v>#REF!</v>
      </c>
      <c r="BH62" s="274" t="e">
        <f>IF(#REF!="Yes","H",IF($B62="","",IF(AND($C62&lt;=#REF!,$D62&gt;=#REF!),IF($G62="","x","y"),"")))</f>
        <v>#REF!</v>
      </c>
      <c r="BI62" s="270" t="e">
        <f>IF(#REF!="Yes","H",IF($B62="","",IF(AND($C62&lt;=#REF!,$D62&gt;=#REF!),IF($G62="","x","y"),"")))</f>
        <v>#REF!</v>
      </c>
      <c r="BJ62" s="270" t="e">
        <f>IF(#REF!="Yes","H",IF($B62="","",IF(AND($C62&lt;=#REF!,$D62&gt;=#REF!),IF($G62="","x","y"),"")))</f>
        <v>#REF!</v>
      </c>
      <c r="BK62" s="270" t="e">
        <f>IF(#REF!="Yes","H",IF($B62="","",IF(AND($C62&lt;=#REF!,$D62&gt;=#REF!),IF($G62="","x","y"),"")))</f>
        <v>#REF!</v>
      </c>
      <c r="BL62" s="271" t="e">
        <f>IF(#REF!="Yes","H",IF($B62="","",IF(AND($C62&lt;=#REF!,$D62&gt;=#REF!),IF($G62="","x","y"),"")))</f>
        <v>#REF!</v>
      </c>
      <c r="BM62" s="272" t="e">
        <f>IF(#REF!="Yes","H",IF($B62="","",IF(AND($C62&lt;=#REF!,$D62&gt;=#REF!),IF($G62="","x","y"),"")))</f>
        <v>#REF!</v>
      </c>
      <c r="BN62" s="270" t="e">
        <f>IF(#REF!="Yes","H",IF($B62="","",IF(AND($C62&lt;=#REF!,$D62&gt;=#REF!),IF($G62="","x","y"),"")))</f>
        <v>#REF!</v>
      </c>
      <c r="BO62" s="270" t="e">
        <f>IF(#REF!="Yes","H",IF($B62="","",IF(AND($C62&lt;=#REF!,$D62&gt;=#REF!),IF($G62="","x","y"),"")))</f>
        <v>#REF!</v>
      </c>
      <c r="BP62" s="270" t="e">
        <f>IF(#REF!="Yes","H",IF($B62="","",IF(AND($C62&lt;=#REF!,$D62&gt;=#REF!),IF($G62="","x","y"),"")))</f>
        <v>#REF!</v>
      </c>
      <c r="BQ62" s="273" t="e">
        <f>IF(#REF!="Yes","H",IF($B62="","",IF(AND($C62&lt;=#REF!,$D62&gt;=#REF!),IF($G62="","x","y"),"")))</f>
        <v>#REF!</v>
      </c>
      <c r="BR62" s="274" t="e">
        <f>IF(#REF!="Yes","H",IF($B62="","",IF(AND($C62&lt;=#REF!,$D62&gt;=#REF!),IF($G62="","x","y"),"")))</f>
        <v>#REF!</v>
      </c>
      <c r="BS62" s="270" t="e">
        <f>IF(#REF!="Yes","H",IF($B62="","",IF(AND($C62&lt;=#REF!,$D62&gt;=#REF!),IF($G62="","x","y"),"")))</f>
        <v>#REF!</v>
      </c>
      <c r="BT62" s="270" t="e">
        <f>IF(#REF!="Yes","H",IF($B62="","",IF(AND($C62&lt;=#REF!,$D62&gt;=#REF!),IF($G62="","x","y"),"")))</f>
        <v>#REF!</v>
      </c>
      <c r="BU62" s="270" t="e">
        <f>IF(#REF!="Yes","H",IF($B62="","",IF(AND($C62&lt;=#REF!,$D62&gt;=#REF!),IF($G62="","x","y"),"")))</f>
        <v>#REF!</v>
      </c>
      <c r="BV62" s="271" t="e">
        <f>IF(#REF!="Yes","H",IF($B62="","",IF(AND($C62&lt;=#REF!,$D62&gt;=#REF!),IF($G62="","x","y"),"")))</f>
        <v>#REF!</v>
      </c>
      <c r="BW62" s="272" t="e">
        <f>IF(#REF!="Yes","H",IF($B62="","",IF(AND($C62&lt;=#REF!,$D62&gt;=#REF!),IF($G62="","x","y"),"")))</f>
        <v>#REF!</v>
      </c>
      <c r="BX62" s="270" t="e">
        <f>IF(#REF!="Yes","H",IF($B62="","",IF(AND($C62&lt;=#REF!,$D62&gt;=#REF!),IF($G62="","x","y"),"")))</f>
        <v>#REF!</v>
      </c>
      <c r="BY62" s="270" t="e">
        <f>IF(#REF!="Yes","H",IF($B62="","",IF(AND($C62&lt;=#REF!,$D62&gt;=#REF!),IF($G62="","x","y"),"")))</f>
        <v>#REF!</v>
      </c>
      <c r="BZ62" s="270" t="e">
        <f>IF(#REF!="Yes","H",IF($B62="","",IF(AND($C62&lt;=#REF!,$D62&gt;=#REF!),IF($G62="","x","y"),"")))</f>
        <v>#REF!</v>
      </c>
      <c r="CA62" s="273" t="e">
        <f>IF(#REF!="Yes","H",IF($B62="","",IF(AND($C62&lt;=#REF!,$D62&gt;=#REF!),IF($G62="","x","y"),"")))</f>
        <v>#REF!</v>
      </c>
    </row>
    <row r="63" spans="2:79" ht="15" customHeight="1">
      <c r="B63" s="135"/>
      <c r="C63" s="260"/>
      <c r="D63" s="260"/>
      <c r="E63" s="260"/>
      <c r="F63" s="225"/>
      <c r="G63" s="275"/>
      <c r="H63" s="209"/>
      <c r="I63" s="211"/>
      <c r="J63" s="269" t="e">
        <f>IF(#REF!="Yes","H",IF($B63="","",IF(AND($C63&lt;=#REF!,$D63&gt;=#REF!),IF($G63="","x","y"),"")))</f>
        <v>#REF!</v>
      </c>
      <c r="K63" s="270" t="e">
        <f>IF(#REF!="Yes","H",IF($B63="","",IF(AND($C63&lt;=#REF!,$D63&gt;=#REF!),IF($G63="","x","y"),"")))</f>
        <v>#REF!</v>
      </c>
      <c r="L63" s="270" t="e">
        <f>IF(#REF!="Yes","H",IF($B63="","",IF(AND($C63&lt;=#REF!,$D63&gt;=#REF!),IF($G63="","x","y"),"")))</f>
        <v>#REF!</v>
      </c>
      <c r="M63" s="270" t="e">
        <f>IF(#REF!="Yes","H",IF($B63="","",IF(AND($C63&lt;=#REF!,$D63&gt;=#REF!),IF($G63="","x","y"),"")))</f>
        <v>#REF!</v>
      </c>
      <c r="N63" s="271" t="e">
        <f>IF(#REF!="Yes","H",IF($B63="","",IF(AND($C63&lt;=#REF!,$D63&gt;=#REF!),IF($G63="","x","y"),"")))</f>
        <v>#REF!</v>
      </c>
      <c r="O63" s="272" t="e">
        <f>IF(#REF!="Yes","H",IF($B63="","",IF(AND($C63&lt;=#REF!,$D63&gt;=#REF!),IF($G63="","x","y"),"")))</f>
        <v>#REF!</v>
      </c>
      <c r="P63" s="270" t="e">
        <f>IF(#REF!="Yes","H",IF($B63="","",IF(AND($C63&lt;=#REF!,$D63&gt;=#REF!),IF($G63="","x","y"),"")))</f>
        <v>#REF!</v>
      </c>
      <c r="Q63" s="270" t="e">
        <f>IF(#REF!="Yes","H",IF($B63="","",IF(AND($C63&lt;=#REF!,$D63&gt;=#REF!),IF($G63="","x","y"),"")))</f>
        <v>#REF!</v>
      </c>
      <c r="R63" s="270" t="e">
        <f>IF(#REF!="Yes","H",IF($B63="","",IF(AND($C63&lt;=#REF!,$D63&gt;=#REF!),IF($G63="","x","y"),"")))</f>
        <v>#REF!</v>
      </c>
      <c r="S63" s="273" t="e">
        <f>IF(#REF!="Yes","H",IF($B63="","",IF(AND($C63&lt;=#REF!,$D63&gt;=#REF!),IF($G63="","x","y"),"")))</f>
        <v>#REF!</v>
      </c>
      <c r="T63" s="274" t="e">
        <f>IF(#REF!="Yes","H",IF($B63="","",IF(AND($C63&lt;=#REF!,$D63&gt;=#REF!),IF($G63="","x","y"),"")))</f>
        <v>#REF!</v>
      </c>
      <c r="U63" s="270" t="e">
        <f>IF(#REF!="Yes","H",IF($B63="","",IF(AND($C63&lt;=#REF!,$D63&gt;=#REF!),IF($G63="","x","y"),"")))</f>
        <v>#REF!</v>
      </c>
      <c r="V63" s="270" t="e">
        <f>IF(#REF!="Yes","H",IF($B63="","",IF(AND($C63&lt;=#REF!,$D63&gt;=#REF!),IF($G63="","x","y"),"")))</f>
        <v>#REF!</v>
      </c>
      <c r="W63" s="270" t="e">
        <f>IF(#REF!="Yes","H",IF($B63="","",IF(AND($C63&lt;=#REF!,$D63&gt;=#REF!),IF($G63="","x","y"),"")))</f>
        <v>#REF!</v>
      </c>
      <c r="X63" s="271" t="e">
        <f>IF(#REF!="Yes","H",IF($B63="","",IF(AND($C63&lt;=#REF!,$D63&gt;=#REF!),IF($G63="","x","y"),"")))</f>
        <v>#REF!</v>
      </c>
      <c r="Y63" s="272" t="e">
        <f>IF(#REF!="Yes","H",IF($B63="","",IF(AND($C63&lt;=#REF!,$D63&gt;=#REF!),IF($G63="","x","y"),"")))</f>
        <v>#REF!</v>
      </c>
      <c r="Z63" s="270" t="e">
        <f>IF(#REF!="Yes","H",IF($B63="","",IF(AND($C63&lt;=#REF!,$D63&gt;=#REF!),IF($G63="","x","y"),"")))</f>
        <v>#REF!</v>
      </c>
      <c r="AA63" s="270" t="e">
        <f>IF(#REF!="Yes","H",IF($B63="","",IF(AND($C63&lt;=#REF!,$D63&gt;=#REF!),IF($G63="","x","y"),"")))</f>
        <v>#REF!</v>
      </c>
      <c r="AB63" s="270" t="e">
        <f>IF(#REF!="Yes","H",IF($B63="","",IF(AND($C63&lt;=#REF!,$D63&gt;=#REF!),IF($G63="","x","y"),"")))</f>
        <v>#REF!</v>
      </c>
      <c r="AC63" s="273" t="e">
        <f>IF(#REF!="Yes","H",IF($B63="","",IF(AND($C63&lt;=#REF!,$D63&gt;=#REF!),IF($G63="","x","y"),"")))</f>
        <v>#REF!</v>
      </c>
      <c r="AD63" s="274" t="e">
        <f>IF(#REF!="Yes","H",IF($B63="","",IF(AND($C63&lt;=#REF!,$D63&gt;=#REF!),IF($G63="","x","y"),"")))</f>
        <v>#REF!</v>
      </c>
      <c r="AE63" s="270" t="e">
        <f>IF(#REF!="Yes","H",IF($B63="","",IF(AND($C63&lt;=#REF!,$D63&gt;=#REF!),IF($G63="","x","y"),"")))</f>
        <v>#REF!</v>
      </c>
      <c r="AF63" s="270" t="e">
        <f>IF(#REF!="Yes","H",IF($B63="","",IF(AND($C63&lt;=#REF!,$D63&gt;=#REF!),IF($G63="","x","y"),"")))</f>
        <v>#REF!</v>
      </c>
      <c r="AG63" s="270" t="e">
        <f>IF(#REF!="Yes","H",IF($B63="","",IF(AND($C63&lt;=#REF!,$D63&gt;=#REF!),IF($G63="","x","y"),"")))</f>
        <v>#REF!</v>
      </c>
      <c r="AH63" s="271" t="e">
        <f>IF(#REF!="Yes","H",IF($B63="","",IF(AND($C63&lt;=#REF!,$D63&gt;=#REF!),IF($G63="","x","y"),"")))</f>
        <v>#REF!</v>
      </c>
      <c r="AI63" s="272" t="e">
        <f>IF(#REF!="Yes","H",IF($B63="","",IF(AND($C63&lt;=#REF!,$D63&gt;=#REF!),IF($G63="","x","y"),"")))</f>
        <v>#REF!</v>
      </c>
      <c r="AJ63" s="270" t="e">
        <f>IF(#REF!="Yes","H",IF($B63="","",IF(AND($C63&lt;=#REF!,$D63&gt;=#REF!),IF($G63="","x","y"),"")))</f>
        <v>#REF!</v>
      </c>
      <c r="AK63" s="270" t="e">
        <f>IF(#REF!="Yes","H",IF($B63="","",IF(AND($C63&lt;=#REF!,$D63&gt;=#REF!),IF($G63="","x","y"),"")))</f>
        <v>#REF!</v>
      </c>
      <c r="AL63" s="270" t="e">
        <f>IF(#REF!="Yes","H",IF($B63="","",IF(AND($C63&lt;=#REF!,$D63&gt;=#REF!),IF($G63="","x","y"),"")))</f>
        <v>#REF!</v>
      </c>
      <c r="AM63" s="273" t="e">
        <f>IF(#REF!="Yes","H",IF($B63="","",IF(AND($C63&lt;=#REF!,$D63&gt;=#REF!),IF($G63="","x","y"),"")))</f>
        <v>#REF!</v>
      </c>
      <c r="AN63" s="274" t="e">
        <f>IF(#REF!="Yes","H",IF($B63="","",IF(AND($C63&lt;=#REF!,$D63&gt;=#REF!),IF($G63="","x","y"),"")))</f>
        <v>#REF!</v>
      </c>
      <c r="AO63" s="270" t="e">
        <f>IF(#REF!="Yes","H",IF($B63="","",IF(AND($C63&lt;=#REF!,$D63&gt;=#REF!),IF($G63="","x","y"),"")))</f>
        <v>#REF!</v>
      </c>
      <c r="AP63" s="270" t="e">
        <f>IF(#REF!="Yes","H",IF($B63="","",IF(AND($C63&lt;=#REF!,$D63&gt;=#REF!),IF($G63="","x","y"),"")))</f>
        <v>#REF!</v>
      </c>
      <c r="AQ63" s="270" t="e">
        <f>IF(#REF!="Yes","H",IF($B63="","",IF(AND($C63&lt;=#REF!,$D63&gt;=#REF!),IF($G63="","x","y"),"")))</f>
        <v>#REF!</v>
      </c>
      <c r="AR63" s="271" t="e">
        <f>IF(#REF!="Yes","H",IF($B63="","",IF(AND($C63&lt;=#REF!,$D63&gt;=#REF!),IF($G63="","x","y"),"")))</f>
        <v>#REF!</v>
      </c>
      <c r="AS63" s="272" t="e">
        <f>IF(#REF!="Yes","H",IF($B63="","",IF(AND($C63&lt;=#REF!,$D63&gt;=#REF!),IF($G63="","x","y"),"")))</f>
        <v>#REF!</v>
      </c>
      <c r="AT63" s="270" t="e">
        <f>IF(#REF!="Yes","H",IF($B63="","",IF(AND($C63&lt;=#REF!,$D63&gt;=#REF!),IF($G63="","x","y"),"")))</f>
        <v>#REF!</v>
      </c>
      <c r="AU63" s="270" t="e">
        <f>IF(#REF!="Yes","H",IF($B63="","",IF(AND($C63&lt;=#REF!,$D63&gt;=#REF!),IF($G63="","x","y"),"")))</f>
        <v>#REF!</v>
      </c>
      <c r="AV63" s="270" t="e">
        <f>IF(#REF!="Yes","H",IF($B63="","",IF(AND($C63&lt;=#REF!,$D63&gt;=#REF!),IF($G63="","x","y"),"")))</f>
        <v>#REF!</v>
      </c>
      <c r="AW63" s="273" t="e">
        <f>IF(#REF!="Yes","H",IF($B63="","",IF(AND($C63&lt;=#REF!,$D63&gt;=#REF!),IF($G63="","x","y"),"")))</f>
        <v>#REF!</v>
      </c>
      <c r="AX63" s="274" t="e">
        <f>IF(#REF!="Yes","H",IF($B63="","",IF(AND($C63&lt;=#REF!,$D63&gt;=#REF!),IF($G63="","x","y"),"")))</f>
        <v>#REF!</v>
      </c>
      <c r="AY63" s="270" t="e">
        <f>IF(#REF!="Yes","H",IF($B63="","",IF(AND($C63&lt;=#REF!,$D63&gt;=#REF!),IF($G63="","x","y"),"")))</f>
        <v>#REF!</v>
      </c>
      <c r="AZ63" s="270" t="e">
        <f>IF(#REF!="Yes","H",IF($B63="","",IF(AND($C63&lt;=#REF!,$D63&gt;=#REF!),IF($G63="","x","y"),"")))</f>
        <v>#REF!</v>
      </c>
      <c r="BA63" s="270" t="e">
        <f>IF(#REF!="Yes","H",IF($B63="","",IF(AND($C63&lt;=#REF!,$D63&gt;=#REF!),IF($G63="","x","y"),"")))</f>
        <v>#REF!</v>
      </c>
      <c r="BB63" s="271" t="e">
        <f>IF(#REF!="Yes","H",IF($B63="","",IF(AND($C63&lt;=#REF!,$D63&gt;=#REF!),IF($G63="","x","y"),"")))</f>
        <v>#REF!</v>
      </c>
      <c r="BC63" s="272" t="e">
        <f>IF(#REF!="Yes","H",IF($B63="","",IF(AND($C63&lt;=#REF!,$D63&gt;=#REF!),IF($G63="","x","y"),"")))</f>
        <v>#REF!</v>
      </c>
      <c r="BD63" s="270" t="e">
        <f>IF(#REF!="Yes","H",IF($B63="","",IF(AND($C63&lt;=#REF!,$D63&gt;=#REF!),IF($G63="","x","y"),"")))</f>
        <v>#REF!</v>
      </c>
      <c r="BE63" s="270" t="e">
        <f>IF(#REF!="Yes","H",IF($B63="","",IF(AND($C63&lt;=#REF!,$D63&gt;=#REF!),IF($G63="","x","y"),"")))</f>
        <v>#REF!</v>
      </c>
      <c r="BF63" s="270" t="e">
        <f>IF(#REF!="Yes","H",IF($B63="","",IF(AND($C63&lt;=#REF!,$D63&gt;=#REF!),IF($G63="","x","y"),"")))</f>
        <v>#REF!</v>
      </c>
      <c r="BG63" s="273" t="e">
        <f>IF(#REF!="Yes","H",IF($B63="","",IF(AND($C63&lt;=#REF!,$D63&gt;=#REF!),IF($G63="","x","y"),"")))</f>
        <v>#REF!</v>
      </c>
      <c r="BH63" s="274" t="e">
        <f>IF(#REF!="Yes","H",IF($B63="","",IF(AND($C63&lt;=#REF!,$D63&gt;=#REF!),IF($G63="","x","y"),"")))</f>
        <v>#REF!</v>
      </c>
      <c r="BI63" s="270" t="e">
        <f>IF(#REF!="Yes","H",IF($B63="","",IF(AND($C63&lt;=#REF!,$D63&gt;=#REF!),IF($G63="","x","y"),"")))</f>
        <v>#REF!</v>
      </c>
      <c r="BJ63" s="270" t="e">
        <f>IF(#REF!="Yes","H",IF($B63="","",IF(AND($C63&lt;=#REF!,$D63&gt;=#REF!),IF($G63="","x","y"),"")))</f>
        <v>#REF!</v>
      </c>
      <c r="BK63" s="270" t="e">
        <f>IF(#REF!="Yes","H",IF($B63="","",IF(AND($C63&lt;=#REF!,$D63&gt;=#REF!),IF($G63="","x","y"),"")))</f>
        <v>#REF!</v>
      </c>
      <c r="BL63" s="271" t="e">
        <f>IF(#REF!="Yes","H",IF($B63="","",IF(AND($C63&lt;=#REF!,$D63&gt;=#REF!),IF($G63="","x","y"),"")))</f>
        <v>#REF!</v>
      </c>
      <c r="BM63" s="272" t="e">
        <f>IF(#REF!="Yes","H",IF($B63="","",IF(AND($C63&lt;=#REF!,$D63&gt;=#REF!),IF($G63="","x","y"),"")))</f>
        <v>#REF!</v>
      </c>
      <c r="BN63" s="270" t="e">
        <f>IF(#REF!="Yes","H",IF($B63="","",IF(AND($C63&lt;=#REF!,$D63&gt;=#REF!),IF($G63="","x","y"),"")))</f>
        <v>#REF!</v>
      </c>
      <c r="BO63" s="270" t="e">
        <f>IF(#REF!="Yes","H",IF($B63="","",IF(AND($C63&lt;=#REF!,$D63&gt;=#REF!),IF($G63="","x","y"),"")))</f>
        <v>#REF!</v>
      </c>
      <c r="BP63" s="270" t="e">
        <f>IF(#REF!="Yes","H",IF($B63="","",IF(AND($C63&lt;=#REF!,$D63&gt;=#REF!),IF($G63="","x","y"),"")))</f>
        <v>#REF!</v>
      </c>
      <c r="BQ63" s="273" t="e">
        <f>IF(#REF!="Yes","H",IF($B63="","",IF(AND($C63&lt;=#REF!,$D63&gt;=#REF!),IF($G63="","x","y"),"")))</f>
        <v>#REF!</v>
      </c>
      <c r="BR63" s="274" t="e">
        <f>IF(#REF!="Yes","H",IF($B63="","",IF(AND($C63&lt;=#REF!,$D63&gt;=#REF!),IF($G63="","x","y"),"")))</f>
        <v>#REF!</v>
      </c>
      <c r="BS63" s="270" t="e">
        <f>IF(#REF!="Yes","H",IF($B63="","",IF(AND($C63&lt;=#REF!,$D63&gt;=#REF!),IF($G63="","x","y"),"")))</f>
        <v>#REF!</v>
      </c>
      <c r="BT63" s="270" t="e">
        <f>IF(#REF!="Yes","H",IF($B63="","",IF(AND($C63&lt;=#REF!,$D63&gt;=#REF!),IF($G63="","x","y"),"")))</f>
        <v>#REF!</v>
      </c>
      <c r="BU63" s="270" t="e">
        <f>IF(#REF!="Yes","H",IF($B63="","",IF(AND($C63&lt;=#REF!,$D63&gt;=#REF!),IF($G63="","x","y"),"")))</f>
        <v>#REF!</v>
      </c>
      <c r="BV63" s="271" t="e">
        <f>IF(#REF!="Yes","H",IF($B63="","",IF(AND($C63&lt;=#REF!,$D63&gt;=#REF!),IF($G63="","x","y"),"")))</f>
        <v>#REF!</v>
      </c>
      <c r="BW63" s="272" t="e">
        <f>IF(#REF!="Yes","H",IF($B63="","",IF(AND($C63&lt;=#REF!,$D63&gt;=#REF!),IF($G63="","x","y"),"")))</f>
        <v>#REF!</v>
      </c>
      <c r="BX63" s="270" t="e">
        <f>IF(#REF!="Yes","H",IF($B63="","",IF(AND($C63&lt;=#REF!,$D63&gt;=#REF!),IF($G63="","x","y"),"")))</f>
        <v>#REF!</v>
      </c>
      <c r="BY63" s="270" t="e">
        <f>IF(#REF!="Yes","H",IF($B63="","",IF(AND($C63&lt;=#REF!,$D63&gt;=#REF!),IF($G63="","x","y"),"")))</f>
        <v>#REF!</v>
      </c>
      <c r="BZ63" s="270" t="e">
        <f>IF(#REF!="Yes","H",IF($B63="","",IF(AND($C63&lt;=#REF!,$D63&gt;=#REF!),IF($G63="","x","y"),"")))</f>
        <v>#REF!</v>
      </c>
      <c r="CA63" s="273" t="e">
        <f>IF(#REF!="Yes","H",IF($B63="","",IF(AND($C63&lt;=#REF!,$D63&gt;=#REF!),IF($G63="","x","y"),"")))</f>
        <v>#REF!</v>
      </c>
    </row>
    <row r="64" spans="2:79" ht="15" customHeight="1">
      <c r="B64" s="278"/>
      <c r="C64" s="260"/>
      <c r="D64" s="260"/>
      <c r="E64" s="260"/>
      <c r="F64" s="224"/>
      <c r="G64" s="275"/>
      <c r="H64" s="209"/>
      <c r="I64" s="211"/>
      <c r="J64" s="269" t="e">
        <f>IF(#REF!="Yes","H",IF($B64="","",IF(AND($C64&lt;=#REF!,$D64&gt;=#REF!),IF($G64="","x","y"),"")))</f>
        <v>#REF!</v>
      </c>
      <c r="K64" s="270" t="e">
        <f>IF(#REF!="Yes","H",IF($B64="","",IF(AND($C64&lt;=#REF!,$D64&gt;=#REF!),IF($G64="","x","y"),"")))</f>
        <v>#REF!</v>
      </c>
      <c r="L64" s="270" t="e">
        <f>IF(#REF!="Yes","H",IF($B64="","",IF(AND($C64&lt;=#REF!,$D64&gt;=#REF!),IF($G64="","x","y"),"")))</f>
        <v>#REF!</v>
      </c>
      <c r="M64" s="270" t="e">
        <f>IF(#REF!="Yes","H",IF($B64="","",IF(AND($C64&lt;=#REF!,$D64&gt;=#REF!),IF($G64="","x","y"),"")))</f>
        <v>#REF!</v>
      </c>
      <c r="N64" s="271" t="e">
        <f>IF(#REF!="Yes","H",IF($B64="","",IF(AND($C64&lt;=#REF!,$D64&gt;=#REF!),IF($G64="","x","y"),"")))</f>
        <v>#REF!</v>
      </c>
      <c r="O64" s="272" t="e">
        <f>IF(#REF!="Yes","H",IF($B64="","",IF(AND($C64&lt;=#REF!,$D64&gt;=#REF!),IF($G64="","x","y"),"")))</f>
        <v>#REF!</v>
      </c>
      <c r="P64" s="270" t="e">
        <f>IF(#REF!="Yes","H",IF($B64="","",IF(AND($C64&lt;=#REF!,$D64&gt;=#REF!),IF($G64="","x","y"),"")))</f>
        <v>#REF!</v>
      </c>
      <c r="Q64" s="270" t="e">
        <f>IF(#REF!="Yes","H",IF($B64="","",IF(AND($C64&lt;=#REF!,$D64&gt;=#REF!),IF($G64="","x","y"),"")))</f>
        <v>#REF!</v>
      </c>
      <c r="R64" s="270" t="e">
        <f>IF(#REF!="Yes","H",IF($B64="","",IF(AND($C64&lt;=#REF!,$D64&gt;=#REF!),IF($G64="","x","y"),"")))</f>
        <v>#REF!</v>
      </c>
      <c r="S64" s="273" t="e">
        <f>IF(#REF!="Yes","H",IF($B64="","",IF(AND($C64&lt;=#REF!,$D64&gt;=#REF!),IF($G64="","x","y"),"")))</f>
        <v>#REF!</v>
      </c>
      <c r="T64" s="274" t="e">
        <f>IF(#REF!="Yes","H",IF($B64="","",IF(AND($C64&lt;=#REF!,$D64&gt;=#REF!),IF($G64="","x","y"),"")))</f>
        <v>#REF!</v>
      </c>
      <c r="U64" s="270" t="e">
        <f>IF(#REF!="Yes","H",IF($B64="","",IF(AND($C64&lt;=#REF!,$D64&gt;=#REF!),IF($G64="","x","y"),"")))</f>
        <v>#REF!</v>
      </c>
      <c r="V64" s="270" t="e">
        <f>IF(#REF!="Yes","H",IF($B64="","",IF(AND($C64&lt;=#REF!,$D64&gt;=#REF!),IF($G64="","x","y"),"")))</f>
        <v>#REF!</v>
      </c>
      <c r="W64" s="270" t="e">
        <f>IF(#REF!="Yes","H",IF($B64="","",IF(AND($C64&lt;=#REF!,$D64&gt;=#REF!),IF($G64="","x","y"),"")))</f>
        <v>#REF!</v>
      </c>
      <c r="X64" s="271" t="e">
        <f>IF(#REF!="Yes","H",IF($B64="","",IF(AND($C64&lt;=#REF!,$D64&gt;=#REF!),IF($G64="","x","y"),"")))</f>
        <v>#REF!</v>
      </c>
      <c r="Y64" s="272" t="e">
        <f>IF(#REF!="Yes","H",IF($B64="","",IF(AND($C64&lt;=#REF!,$D64&gt;=#REF!),IF($G64="","x","y"),"")))</f>
        <v>#REF!</v>
      </c>
      <c r="Z64" s="270" t="e">
        <f>IF(#REF!="Yes","H",IF($B64="","",IF(AND($C64&lt;=#REF!,$D64&gt;=#REF!),IF($G64="","x","y"),"")))</f>
        <v>#REF!</v>
      </c>
      <c r="AA64" s="270" t="e">
        <f>IF(#REF!="Yes","H",IF($B64="","",IF(AND($C64&lt;=#REF!,$D64&gt;=#REF!),IF($G64="","x","y"),"")))</f>
        <v>#REF!</v>
      </c>
      <c r="AB64" s="270" t="e">
        <f>IF(#REF!="Yes","H",IF($B64="","",IF(AND($C64&lt;=#REF!,$D64&gt;=#REF!),IF($G64="","x","y"),"")))</f>
        <v>#REF!</v>
      </c>
      <c r="AC64" s="273" t="e">
        <f>IF(#REF!="Yes","H",IF($B64="","",IF(AND($C64&lt;=#REF!,$D64&gt;=#REF!),IF($G64="","x","y"),"")))</f>
        <v>#REF!</v>
      </c>
      <c r="AD64" s="274" t="e">
        <f>IF(#REF!="Yes","H",IF($B64="","",IF(AND($C64&lt;=#REF!,$D64&gt;=#REF!),IF($G64="","x","y"),"")))</f>
        <v>#REF!</v>
      </c>
      <c r="AE64" s="270" t="e">
        <f>IF(#REF!="Yes","H",IF($B64="","",IF(AND($C64&lt;=#REF!,$D64&gt;=#REF!),IF($G64="","x","y"),"")))</f>
        <v>#REF!</v>
      </c>
      <c r="AF64" s="270" t="e">
        <f>IF(#REF!="Yes","H",IF($B64="","",IF(AND($C64&lt;=#REF!,$D64&gt;=#REF!),IF($G64="","x","y"),"")))</f>
        <v>#REF!</v>
      </c>
      <c r="AG64" s="270" t="e">
        <f>IF(#REF!="Yes","H",IF($B64="","",IF(AND($C64&lt;=#REF!,$D64&gt;=#REF!),IF($G64="","x","y"),"")))</f>
        <v>#REF!</v>
      </c>
      <c r="AH64" s="271" t="e">
        <f>IF(#REF!="Yes","H",IF($B64="","",IF(AND($C64&lt;=#REF!,$D64&gt;=#REF!),IF($G64="","x","y"),"")))</f>
        <v>#REF!</v>
      </c>
      <c r="AI64" s="272" t="e">
        <f>IF(#REF!="Yes","H",IF($B64="","",IF(AND($C64&lt;=#REF!,$D64&gt;=#REF!),IF($G64="","x","y"),"")))</f>
        <v>#REF!</v>
      </c>
      <c r="AJ64" s="270" t="e">
        <f>IF(#REF!="Yes","H",IF($B64="","",IF(AND($C64&lt;=#REF!,$D64&gt;=#REF!),IF($G64="","x","y"),"")))</f>
        <v>#REF!</v>
      </c>
      <c r="AK64" s="270" t="e">
        <f>IF(#REF!="Yes","H",IF($B64="","",IF(AND($C64&lt;=#REF!,$D64&gt;=#REF!),IF($G64="","x","y"),"")))</f>
        <v>#REF!</v>
      </c>
      <c r="AL64" s="270" t="e">
        <f>IF(#REF!="Yes","H",IF($B64="","",IF(AND($C64&lt;=#REF!,$D64&gt;=#REF!),IF($G64="","x","y"),"")))</f>
        <v>#REF!</v>
      </c>
      <c r="AM64" s="273" t="e">
        <f>IF(#REF!="Yes","H",IF($B64="","",IF(AND($C64&lt;=#REF!,$D64&gt;=#REF!),IF($G64="","x","y"),"")))</f>
        <v>#REF!</v>
      </c>
      <c r="AN64" s="274" t="e">
        <f>IF(#REF!="Yes","H",IF($B64="","",IF(AND($C64&lt;=#REF!,$D64&gt;=#REF!),IF($G64="","x","y"),"")))</f>
        <v>#REF!</v>
      </c>
      <c r="AO64" s="270" t="e">
        <f>IF(#REF!="Yes","H",IF($B64="","",IF(AND($C64&lt;=#REF!,$D64&gt;=#REF!),IF($G64="","x","y"),"")))</f>
        <v>#REF!</v>
      </c>
      <c r="AP64" s="270" t="e">
        <f>IF(#REF!="Yes","H",IF($B64="","",IF(AND($C64&lt;=#REF!,$D64&gt;=#REF!),IF($G64="","x","y"),"")))</f>
        <v>#REF!</v>
      </c>
      <c r="AQ64" s="270" t="e">
        <f>IF(#REF!="Yes","H",IF($B64="","",IF(AND($C64&lt;=#REF!,$D64&gt;=#REF!),IF($G64="","x","y"),"")))</f>
        <v>#REF!</v>
      </c>
      <c r="AR64" s="271" t="e">
        <f>IF(#REF!="Yes","H",IF($B64="","",IF(AND($C64&lt;=#REF!,$D64&gt;=#REF!),IF($G64="","x","y"),"")))</f>
        <v>#REF!</v>
      </c>
      <c r="AS64" s="272" t="e">
        <f>IF(#REF!="Yes","H",IF($B64="","",IF(AND($C64&lt;=#REF!,$D64&gt;=#REF!),IF($G64="","x","y"),"")))</f>
        <v>#REF!</v>
      </c>
      <c r="AT64" s="270" t="e">
        <f>IF(#REF!="Yes","H",IF($B64="","",IF(AND($C64&lt;=#REF!,$D64&gt;=#REF!),IF($G64="","x","y"),"")))</f>
        <v>#REF!</v>
      </c>
      <c r="AU64" s="270" t="e">
        <f>IF(#REF!="Yes","H",IF($B64="","",IF(AND($C64&lt;=#REF!,$D64&gt;=#REF!),IF($G64="","x","y"),"")))</f>
        <v>#REF!</v>
      </c>
      <c r="AV64" s="270" t="e">
        <f>IF(#REF!="Yes","H",IF($B64="","",IF(AND($C64&lt;=#REF!,$D64&gt;=#REF!),IF($G64="","x","y"),"")))</f>
        <v>#REF!</v>
      </c>
      <c r="AW64" s="273" t="e">
        <f>IF(#REF!="Yes","H",IF($B64="","",IF(AND($C64&lt;=#REF!,$D64&gt;=#REF!),IF($G64="","x","y"),"")))</f>
        <v>#REF!</v>
      </c>
      <c r="AX64" s="274" t="e">
        <f>IF(#REF!="Yes","H",IF($B64="","",IF(AND($C64&lt;=#REF!,$D64&gt;=#REF!),IF($G64="","x","y"),"")))</f>
        <v>#REF!</v>
      </c>
      <c r="AY64" s="270" t="e">
        <f>IF(#REF!="Yes","H",IF($B64="","",IF(AND($C64&lt;=#REF!,$D64&gt;=#REF!),IF($G64="","x","y"),"")))</f>
        <v>#REF!</v>
      </c>
      <c r="AZ64" s="270" t="e">
        <f>IF(#REF!="Yes","H",IF($B64="","",IF(AND($C64&lt;=#REF!,$D64&gt;=#REF!),IF($G64="","x","y"),"")))</f>
        <v>#REF!</v>
      </c>
      <c r="BA64" s="270" t="e">
        <f>IF(#REF!="Yes","H",IF($B64="","",IF(AND($C64&lt;=#REF!,$D64&gt;=#REF!),IF($G64="","x","y"),"")))</f>
        <v>#REF!</v>
      </c>
      <c r="BB64" s="271" t="e">
        <f>IF(#REF!="Yes","H",IF($B64="","",IF(AND($C64&lt;=#REF!,$D64&gt;=#REF!),IF($G64="","x","y"),"")))</f>
        <v>#REF!</v>
      </c>
      <c r="BC64" s="272" t="e">
        <f>IF(#REF!="Yes","H",IF($B64="","",IF(AND($C64&lt;=#REF!,$D64&gt;=#REF!),IF($G64="","x","y"),"")))</f>
        <v>#REF!</v>
      </c>
      <c r="BD64" s="270" t="e">
        <f>IF(#REF!="Yes","H",IF($B64="","",IF(AND($C64&lt;=#REF!,$D64&gt;=#REF!),IF($G64="","x","y"),"")))</f>
        <v>#REF!</v>
      </c>
      <c r="BE64" s="270" t="e">
        <f>IF(#REF!="Yes","H",IF($B64="","",IF(AND($C64&lt;=#REF!,$D64&gt;=#REF!),IF($G64="","x","y"),"")))</f>
        <v>#REF!</v>
      </c>
      <c r="BF64" s="270" t="e">
        <f>IF(#REF!="Yes","H",IF($B64="","",IF(AND($C64&lt;=#REF!,$D64&gt;=#REF!),IF($G64="","x","y"),"")))</f>
        <v>#REF!</v>
      </c>
      <c r="BG64" s="273" t="e">
        <f>IF(#REF!="Yes","H",IF($B64="","",IF(AND($C64&lt;=#REF!,$D64&gt;=#REF!),IF($G64="","x","y"),"")))</f>
        <v>#REF!</v>
      </c>
      <c r="BH64" s="274" t="e">
        <f>IF(#REF!="Yes","H",IF($B64="","",IF(AND($C64&lt;=#REF!,$D64&gt;=#REF!),IF($G64="","x","y"),"")))</f>
        <v>#REF!</v>
      </c>
      <c r="BI64" s="270" t="e">
        <f>IF(#REF!="Yes","H",IF($B64="","",IF(AND($C64&lt;=#REF!,$D64&gt;=#REF!),IF($G64="","x","y"),"")))</f>
        <v>#REF!</v>
      </c>
      <c r="BJ64" s="270" t="e">
        <f>IF(#REF!="Yes","H",IF($B64="","",IF(AND($C64&lt;=#REF!,$D64&gt;=#REF!),IF($G64="","x","y"),"")))</f>
        <v>#REF!</v>
      </c>
      <c r="BK64" s="270" t="e">
        <f>IF(#REF!="Yes","H",IF($B64="","",IF(AND($C64&lt;=#REF!,$D64&gt;=#REF!),IF($G64="","x","y"),"")))</f>
        <v>#REF!</v>
      </c>
      <c r="BL64" s="271" t="e">
        <f>IF(#REF!="Yes","H",IF($B64="","",IF(AND($C64&lt;=#REF!,$D64&gt;=#REF!),IF($G64="","x","y"),"")))</f>
        <v>#REF!</v>
      </c>
      <c r="BM64" s="272" t="e">
        <f>IF(#REF!="Yes","H",IF($B64="","",IF(AND($C64&lt;=#REF!,$D64&gt;=#REF!),IF($G64="","x","y"),"")))</f>
        <v>#REF!</v>
      </c>
      <c r="BN64" s="270" t="e">
        <f>IF(#REF!="Yes","H",IF($B64="","",IF(AND($C64&lt;=#REF!,$D64&gt;=#REF!),IF($G64="","x","y"),"")))</f>
        <v>#REF!</v>
      </c>
      <c r="BO64" s="270" t="e">
        <f>IF(#REF!="Yes","H",IF($B64="","",IF(AND($C64&lt;=#REF!,$D64&gt;=#REF!),IF($G64="","x","y"),"")))</f>
        <v>#REF!</v>
      </c>
      <c r="BP64" s="270" t="e">
        <f>IF(#REF!="Yes","H",IF($B64="","",IF(AND($C64&lt;=#REF!,$D64&gt;=#REF!),IF($G64="","x","y"),"")))</f>
        <v>#REF!</v>
      </c>
      <c r="BQ64" s="273" t="e">
        <f>IF(#REF!="Yes","H",IF($B64="","",IF(AND($C64&lt;=#REF!,$D64&gt;=#REF!),IF($G64="","x","y"),"")))</f>
        <v>#REF!</v>
      </c>
      <c r="BR64" s="274" t="e">
        <f>IF(#REF!="Yes","H",IF($B64="","",IF(AND($C64&lt;=#REF!,$D64&gt;=#REF!),IF($G64="","x","y"),"")))</f>
        <v>#REF!</v>
      </c>
      <c r="BS64" s="270" t="e">
        <f>IF(#REF!="Yes","H",IF($B64="","",IF(AND($C64&lt;=#REF!,$D64&gt;=#REF!),IF($G64="","x","y"),"")))</f>
        <v>#REF!</v>
      </c>
      <c r="BT64" s="270" t="e">
        <f>IF(#REF!="Yes","H",IF($B64="","",IF(AND($C64&lt;=#REF!,$D64&gt;=#REF!),IF($G64="","x","y"),"")))</f>
        <v>#REF!</v>
      </c>
      <c r="BU64" s="270" t="e">
        <f>IF(#REF!="Yes","H",IF($B64="","",IF(AND($C64&lt;=#REF!,$D64&gt;=#REF!),IF($G64="","x","y"),"")))</f>
        <v>#REF!</v>
      </c>
      <c r="BV64" s="271" t="e">
        <f>IF(#REF!="Yes","H",IF($B64="","",IF(AND($C64&lt;=#REF!,$D64&gt;=#REF!),IF($G64="","x","y"),"")))</f>
        <v>#REF!</v>
      </c>
      <c r="BW64" s="272" t="e">
        <f>IF(#REF!="Yes","H",IF($B64="","",IF(AND($C64&lt;=#REF!,$D64&gt;=#REF!),IF($G64="","x","y"),"")))</f>
        <v>#REF!</v>
      </c>
      <c r="BX64" s="270" t="e">
        <f>IF(#REF!="Yes","H",IF($B64="","",IF(AND($C64&lt;=#REF!,$D64&gt;=#REF!),IF($G64="","x","y"),"")))</f>
        <v>#REF!</v>
      </c>
      <c r="BY64" s="270" t="e">
        <f>IF(#REF!="Yes","H",IF($B64="","",IF(AND($C64&lt;=#REF!,$D64&gt;=#REF!),IF($G64="","x","y"),"")))</f>
        <v>#REF!</v>
      </c>
      <c r="BZ64" s="270" t="e">
        <f>IF(#REF!="Yes","H",IF($B64="","",IF(AND($C64&lt;=#REF!,$D64&gt;=#REF!),IF($G64="","x","y"),"")))</f>
        <v>#REF!</v>
      </c>
      <c r="CA64" s="273" t="e">
        <f>IF(#REF!="Yes","H",IF($B64="","",IF(AND($C64&lt;=#REF!,$D64&gt;=#REF!),IF($G64="","x","y"),"")))</f>
        <v>#REF!</v>
      </c>
    </row>
    <row r="65" spans="2:79" ht="15" customHeight="1">
      <c r="B65" s="278"/>
      <c r="C65" s="260"/>
      <c r="D65" s="260"/>
      <c r="E65" s="260"/>
      <c r="F65" s="224"/>
      <c r="G65" s="275"/>
      <c r="H65" s="209"/>
      <c r="I65" s="211"/>
      <c r="J65" s="269" t="e">
        <f>IF(#REF!="Yes","H",IF($B65="","",IF(AND($C65&lt;=#REF!,$D65&gt;=#REF!),IF($G65="","x","y"),"")))</f>
        <v>#REF!</v>
      </c>
      <c r="K65" s="270" t="e">
        <f>IF(#REF!="Yes","H",IF($B65="","",IF(AND($C65&lt;=#REF!,$D65&gt;=#REF!),IF($G65="","x","y"),"")))</f>
        <v>#REF!</v>
      </c>
      <c r="L65" s="270" t="e">
        <f>IF(#REF!="Yes","H",IF($B65="","",IF(AND($C65&lt;=#REF!,$D65&gt;=#REF!),IF($G65="","x","y"),"")))</f>
        <v>#REF!</v>
      </c>
      <c r="M65" s="270" t="e">
        <f>IF(#REF!="Yes","H",IF($B65="","",IF(AND($C65&lt;=#REF!,$D65&gt;=#REF!),IF($G65="","x","y"),"")))</f>
        <v>#REF!</v>
      </c>
      <c r="N65" s="271" t="e">
        <f>IF(#REF!="Yes","H",IF($B65="","",IF(AND($C65&lt;=#REF!,$D65&gt;=#REF!),IF($G65="","x","y"),"")))</f>
        <v>#REF!</v>
      </c>
      <c r="O65" s="272" t="e">
        <f>IF(#REF!="Yes","H",IF($B65="","",IF(AND($C65&lt;=#REF!,$D65&gt;=#REF!),IF($G65="","x","y"),"")))</f>
        <v>#REF!</v>
      </c>
      <c r="P65" s="270" t="e">
        <f>IF(#REF!="Yes","H",IF($B65="","",IF(AND($C65&lt;=#REF!,$D65&gt;=#REF!),IF($G65="","x","y"),"")))</f>
        <v>#REF!</v>
      </c>
      <c r="Q65" s="270" t="e">
        <f>IF(#REF!="Yes","H",IF($B65="","",IF(AND($C65&lt;=#REF!,$D65&gt;=#REF!),IF($G65="","x","y"),"")))</f>
        <v>#REF!</v>
      </c>
      <c r="R65" s="270" t="e">
        <f>IF(#REF!="Yes","H",IF($B65="","",IF(AND($C65&lt;=#REF!,$D65&gt;=#REF!),IF($G65="","x","y"),"")))</f>
        <v>#REF!</v>
      </c>
      <c r="S65" s="273" t="e">
        <f>IF(#REF!="Yes","H",IF($B65="","",IF(AND($C65&lt;=#REF!,$D65&gt;=#REF!),IF($G65="","x","y"),"")))</f>
        <v>#REF!</v>
      </c>
      <c r="T65" s="274" t="e">
        <f>IF(#REF!="Yes","H",IF($B65="","",IF(AND($C65&lt;=#REF!,$D65&gt;=#REF!),IF($G65="","x","y"),"")))</f>
        <v>#REF!</v>
      </c>
      <c r="U65" s="270" t="e">
        <f>IF(#REF!="Yes","H",IF($B65="","",IF(AND($C65&lt;=#REF!,$D65&gt;=#REF!),IF($G65="","x","y"),"")))</f>
        <v>#REF!</v>
      </c>
      <c r="V65" s="270" t="e">
        <f>IF(#REF!="Yes","H",IF($B65="","",IF(AND($C65&lt;=#REF!,$D65&gt;=#REF!),IF($G65="","x","y"),"")))</f>
        <v>#REF!</v>
      </c>
      <c r="W65" s="270" t="e">
        <f>IF(#REF!="Yes","H",IF($B65="","",IF(AND($C65&lt;=#REF!,$D65&gt;=#REF!),IF($G65="","x","y"),"")))</f>
        <v>#REF!</v>
      </c>
      <c r="X65" s="271" t="e">
        <f>IF(#REF!="Yes","H",IF($B65="","",IF(AND($C65&lt;=#REF!,$D65&gt;=#REF!),IF($G65="","x","y"),"")))</f>
        <v>#REF!</v>
      </c>
      <c r="Y65" s="272" t="e">
        <f>IF(#REF!="Yes","H",IF($B65="","",IF(AND($C65&lt;=#REF!,$D65&gt;=#REF!),IF($G65="","x","y"),"")))</f>
        <v>#REF!</v>
      </c>
      <c r="Z65" s="270" t="e">
        <f>IF(#REF!="Yes","H",IF($B65="","",IF(AND($C65&lt;=#REF!,$D65&gt;=#REF!),IF($G65="","x","y"),"")))</f>
        <v>#REF!</v>
      </c>
      <c r="AA65" s="270" t="e">
        <f>IF(#REF!="Yes","H",IF($B65="","",IF(AND($C65&lt;=#REF!,$D65&gt;=#REF!),IF($G65="","x","y"),"")))</f>
        <v>#REF!</v>
      </c>
      <c r="AB65" s="270" t="e">
        <f>IF(#REF!="Yes","H",IF($B65="","",IF(AND($C65&lt;=#REF!,$D65&gt;=#REF!),IF($G65="","x","y"),"")))</f>
        <v>#REF!</v>
      </c>
      <c r="AC65" s="273" t="e">
        <f>IF(#REF!="Yes","H",IF($B65="","",IF(AND($C65&lt;=#REF!,$D65&gt;=#REF!),IF($G65="","x","y"),"")))</f>
        <v>#REF!</v>
      </c>
      <c r="AD65" s="274" t="e">
        <f>IF(#REF!="Yes","H",IF($B65="","",IF(AND($C65&lt;=#REF!,$D65&gt;=#REF!),IF($G65="","x","y"),"")))</f>
        <v>#REF!</v>
      </c>
      <c r="AE65" s="270" t="e">
        <f>IF(#REF!="Yes","H",IF($B65="","",IF(AND($C65&lt;=#REF!,$D65&gt;=#REF!),IF($G65="","x","y"),"")))</f>
        <v>#REF!</v>
      </c>
      <c r="AF65" s="270" t="e">
        <f>IF(#REF!="Yes","H",IF($B65="","",IF(AND($C65&lt;=#REF!,$D65&gt;=#REF!),IF($G65="","x","y"),"")))</f>
        <v>#REF!</v>
      </c>
      <c r="AG65" s="270" t="e">
        <f>IF(#REF!="Yes","H",IF($B65="","",IF(AND($C65&lt;=#REF!,$D65&gt;=#REF!),IF($G65="","x","y"),"")))</f>
        <v>#REF!</v>
      </c>
      <c r="AH65" s="271" t="e">
        <f>IF(#REF!="Yes","H",IF($B65="","",IF(AND($C65&lt;=#REF!,$D65&gt;=#REF!),IF($G65="","x","y"),"")))</f>
        <v>#REF!</v>
      </c>
      <c r="AI65" s="272" t="e">
        <f>IF(#REF!="Yes","H",IF($B65="","",IF(AND($C65&lt;=#REF!,$D65&gt;=#REF!),IF($G65="","x","y"),"")))</f>
        <v>#REF!</v>
      </c>
      <c r="AJ65" s="270" t="e">
        <f>IF(#REF!="Yes","H",IF($B65="","",IF(AND($C65&lt;=#REF!,$D65&gt;=#REF!),IF($G65="","x","y"),"")))</f>
        <v>#REF!</v>
      </c>
      <c r="AK65" s="270" t="e">
        <f>IF(#REF!="Yes","H",IF($B65="","",IF(AND($C65&lt;=#REF!,$D65&gt;=#REF!),IF($G65="","x","y"),"")))</f>
        <v>#REF!</v>
      </c>
      <c r="AL65" s="270" t="e">
        <f>IF(#REF!="Yes","H",IF($B65="","",IF(AND($C65&lt;=#REF!,$D65&gt;=#REF!),IF($G65="","x","y"),"")))</f>
        <v>#REF!</v>
      </c>
      <c r="AM65" s="273" t="e">
        <f>IF(#REF!="Yes","H",IF($B65="","",IF(AND($C65&lt;=#REF!,$D65&gt;=#REF!),IF($G65="","x","y"),"")))</f>
        <v>#REF!</v>
      </c>
      <c r="AN65" s="274" t="e">
        <f>IF(#REF!="Yes","H",IF($B65="","",IF(AND($C65&lt;=#REF!,$D65&gt;=#REF!),IF($G65="","x","y"),"")))</f>
        <v>#REF!</v>
      </c>
      <c r="AO65" s="270" t="e">
        <f>IF(#REF!="Yes","H",IF($B65="","",IF(AND($C65&lt;=#REF!,$D65&gt;=#REF!),IF($G65="","x","y"),"")))</f>
        <v>#REF!</v>
      </c>
      <c r="AP65" s="270" t="e">
        <f>IF(#REF!="Yes","H",IF($B65="","",IF(AND($C65&lt;=#REF!,$D65&gt;=#REF!),IF($G65="","x","y"),"")))</f>
        <v>#REF!</v>
      </c>
      <c r="AQ65" s="270" t="e">
        <f>IF(#REF!="Yes","H",IF($B65="","",IF(AND($C65&lt;=#REF!,$D65&gt;=#REF!),IF($G65="","x","y"),"")))</f>
        <v>#REF!</v>
      </c>
      <c r="AR65" s="271" t="e">
        <f>IF(#REF!="Yes","H",IF($B65="","",IF(AND($C65&lt;=#REF!,$D65&gt;=#REF!),IF($G65="","x","y"),"")))</f>
        <v>#REF!</v>
      </c>
      <c r="AS65" s="272" t="e">
        <f>IF(#REF!="Yes","H",IF($B65="","",IF(AND($C65&lt;=#REF!,$D65&gt;=#REF!),IF($G65="","x","y"),"")))</f>
        <v>#REF!</v>
      </c>
      <c r="AT65" s="270" t="e">
        <f>IF(#REF!="Yes","H",IF($B65="","",IF(AND($C65&lt;=#REF!,$D65&gt;=#REF!),IF($G65="","x","y"),"")))</f>
        <v>#REF!</v>
      </c>
      <c r="AU65" s="270" t="e">
        <f>IF(#REF!="Yes","H",IF($B65="","",IF(AND($C65&lt;=#REF!,$D65&gt;=#REF!),IF($G65="","x","y"),"")))</f>
        <v>#REF!</v>
      </c>
      <c r="AV65" s="270" t="e">
        <f>IF(#REF!="Yes","H",IF($B65="","",IF(AND($C65&lt;=#REF!,$D65&gt;=#REF!),IF($G65="","x","y"),"")))</f>
        <v>#REF!</v>
      </c>
      <c r="AW65" s="273" t="e">
        <f>IF(#REF!="Yes","H",IF($B65="","",IF(AND($C65&lt;=#REF!,$D65&gt;=#REF!),IF($G65="","x","y"),"")))</f>
        <v>#REF!</v>
      </c>
      <c r="AX65" s="274" t="e">
        <f>IF(#REF!="Yes","H",IF($B65="","",IF(AND($C65&lt;=#REF!,$D65&gt;=#REF!),IF($G65="","x","y"),"")))</f>
        <v>#REF!</v>
      </c>
      <c r="AY65" s="270" t="e">
        <f>IF(#REF!="Yes","H",IF($B65="","",IF(AND($C65&lt;=#REF!,$D65&gt;=#REF!),IF($G65="","x","y"),"")))</f>
        <v>#REF!</v>
      </c>
      <c r="AZ65" s="270" t="e">
        <f>IF(#REF!="Yes","H",IF($B65="","",IF(AND($C65&lt;=#REF!,$D65&gt;=#REF!),IF($G65="","x","y"),"")))</f>
        <v>#REF!</v>
      </c>
      <c r="BA65" s="270" t="e">
        <f>IF(#REF!="Yes","H",IF($B65="","",IF(AND($C65&lt;=#REF!,$D65&gt;=#REF!),IF($G65="","x","y"),"")))</f>
        <v>#REF!</v>
      </c>
      <c r="BB65" s="271" t="e">
        <f>IF(#REF!="Yes","H",IF($B65="","",IF(AND($C65&lt;=#REF!,$D65&gt;=#REF!),IF($G65="","x","y"),"")))</f>
        <v>#REF!</v>
      </c>
      <c r="BC65" s="272" t="e">
        <f>IF(#REF!="Yes","H",IF($B65="","",IF(AND($C65&lt;=#REF!,$D65&gt;=#REF!),IF($G65="","x","y"),"")))</f>
        <v>#REF!</v>
      </c>
      <c r="BD65" s="270" t="e">
        <f>IF(#REF!="Yes","H",IF($B65="","",IF(AND($C65&lt;=#REF!,$D65&gt;=#REF!),IF($G65="","x","y"),"")))</f>
        <v>#REF!</v>
      </c>
      <c r="BE65" s="270" t="e">
        <f>IF(#REF!="Yes","H",IF($B65="","",IF(AND($C65&lt;=#REF!,$D65&gt;=#REF!),IF($G65="","x","y"),"")))</f>
        <v>#REF!</v>
      </c>
      <c r="BF65" s="270" t="e">
        <f>IF(#REF!="Yes","H",IF($B65="","",IF(AND($C65&lt;=#REF!,$D65&gt;=#REF!),IF($G65="","x","y"),"")))</f>
        <v>#REF!</v>
      </c>
      <c r="BG65" s="273" t="e">
        <f>IF(#REF!="Yes","H",IF($B65="","",IF(AND($C65&lt;=#REF!,$D65&gt;=#REF!),IF($G65="","x","y"),"")))</f>
        <v>#REF!</v>
      </c>
      <c r="BH65" s="274" t="e">
        <f>IF(#REF!="Yes","H",IF($B65="","",IF(AND($C65&lt;=#REF!,$D65&gt;=#REF!),IF($G65="","x","y"),"")))</f>
        <v>#REF!</v>
      </c>
      <c r="BI65" s="270" t="e">
        <f>IF(#REF!="Yes","H",IF($B65="","",IF(AND($C65&lt;=#REF!,$D65&gt;=#REF!),IF($G65="","x","y"),"")))</f>
        <v>#REF!</v>
      </c>
      <c r="BJ65" s="270" t="e">
        <f>IF(#REF!="Yes","H",IF($B65="","",IF(AND($C65&lt;=#REF!,$D65&gt;=#REF!),IF($G65="","x","y"),"")))</f>
        <v>#REF!</v>
      </c>
      <c r="BK65" s="270" t="e">
        <f>IF(#REF!="Yes","H",IF($B65="","",IF(AND($C65&lt;=#REF!,$D65&gt;=#REF!),IF($G65="","x","y"),"")))</f>
        <v>#REF!</v>
      </c>
      <c r="BL65" s="271" t="e">
        <f>IF(#REF!="Yes","H",IF($B65="","",IF(AND($C65&lt;=#REF!,$D65&gt;=#REF!),IF($G65="","x","y"),"")))</f>
        <v>#REF!</v>
      </c>
      <c r="BM65" s="272" t="e">
        <f>IF(#REF!="Yes","H",IF($B65="","",IF(AND($C65&lt;=#REF!,$D65&gt;=#REF!),IF($G65="","x","y"),"")))</f>
        <v>#REF!</v>
      </c>
      <c r="BN65" s="270" t="e">
        <f>IF(#REF!="Yes","H",IF($B65="","",IF(AND($C65&lt;=#REF!,$D65&gt;=#REF!),IF($G65="","x","y"),"")))</f>
        <v>#REF!</v>
      </c>
      <c r="BO65" s="270" t="e">
        <f>IF(#REF!="Yes","H",IF($B65="","",IF(AND($C65&lt;=#REF!,$D65&gt;=#REF!),IF($G65="","x","y"),"")))</f>
        <v>#REF!</v>
      </c>
      <c r="BP65" s="270" t="e">
        <f>IF(#REF!="Yes","H",IF($B65="","",IF(AND($C65&lt;=#REF!,$D65&gt;=#REF!),IF($G65="","x","y"),"")))</f>
        <v>#REF!</v>
      </c>
      <c r="BQ65" s="273" t="e">
        <f>IF(#REF!="Yes","H",IF($B65="","",IF(AND($C65&lt;=#REF!,$D65&gt;=#REF!),IF($G65="","x","y"),"")))</f>
        <v>#REF!</v>
      </c>
      <c r="BR65" s="274" t="e">
        <f>IF(#REF!="Yes","H",IF($B65="","",IF(AND($C65&lt;=#REF!,$D65&gt;=#REF!),IF($G65="","x","y"),"")))</f>
        <v>#REF!</v>
      </c>
      <c r="BS65" s="270" t="e">
        <f>IF(#REF!="Yes","H",IF($B65="","",IF(AND($C65&lt;=#REF!,$D65&gt;=#REF!),IF($G65="","x","y"),"")))</f>
        <v>#REF!</v>
      </c>
      <c r="BT65" s="270" t="e">
        <f>IF(#REF!="Yes","H",IF($B65="","",IF(AND($C65&lt;=#REF!,$D65&gt;=#REF!),IF($G65="","x","y"),"")))</f>
        <v>#REF!</v>
      </c>
      <c r="BU65" s="270" t="e">
        <f>IF(#REF!="Yes","H",IF($B65="","",IF(AND($C65&lt;=#REF!,$D65&gt;=#REF!),IF($G65="","x","y"),"")))</f>
        <v>#REF!</v>
      </c>
      <c r="BV65" s="271" t="e">
        <f>IF(#REF!="Yes","H",IF($B65="","",IF(AND($C65&lt;=#REF!,$D65&gt;=#REF!),IF($G65="","x","y"),"")))</f>
        <v>#REF!</v>
      </c>
      <c r="BW65" s="272" t="e">
        <f>IF(#REF!="Yes","H",IF($B65="","",IF(AND($C65&lt;=#REF!,$D65&gt;=#REF!),IF($G65="","x","y"),"")))</f>
        <v>#REF!</v>
      </c>
      <c r="BX65" s="270" t="e">
        <f>IF(#REF!="Yes","H",IF($B65="","",IF(AND($C65&lt;=#REF!,$D65&gt;=#REF!),IF($G65="","x","y"),"")))</f>
        <v>#REF!</v>
      </c>
      <c r="BY65" s="270" t="e">
        <f>IF(#REF!="Yes","H",IF($B65="","",IF(AND($C65&lt;=#REF!,$D65&gt;=#REF!),IF($G65="","x","y"),"")))</f>
        <v>#REF!</v>
      </c>
      <c r="BZ65" s="270" t="e">
        <f>IF(#REF!="Yes","H",IF($B65="","",IF(AND($C65&lt;=#REF!,$D65&gt;=#REF!),IF($G65="","x","y"),"")))</f>
        <v>#REF!</v>
      </c>
      <c r="CA65" s="273" t="e">
        <f>IF(#REF!="Yes","H",IF($B65="","",IF(AND($C65&lt;=#REF!,$D65&gt;=#REF!),IF($G65="","x","y"),"")))</f>
        <v>#REF!</v>
      </c>
    </row>
    <row r="66" spans="2:79" ht="15" customHeight="1">
      <c r="B66" s="278"/>
      <c r="C66" s="260"/>
      <c r="D66" s="260"/>
      <c r="E66" s="260"/>
      <c r="F66" s="224"/>
      <c r="G66" s="275"/>
      <c r="H66" s="209"/>
      <c r="I66" s="211"/>
      <c r="J66" s="269" t="e">
        <f>IF(#REF!="Yes","H",IF($B66="","",IF(AND($C66&lt;=#REF!,$D66&gt;=#REF!),IF($G66="","x","y"),"")))</f>
        <v>#REF!</v>
      </c>
      <c r="K66" s="270" t="e">
        <f>IF(#REF!="Yes","H",IF($B66="","",IF(AND($C66&lt;=#REF!,$D66&gt;=#REF!),IF($G66="","x","y"),"")))</f>
        <v>#REF!</v>
      </c>
      <c r="L66" s="270" t="e">
        <f>IF(#REF!="Yes","H",IF($B66="","",IF(AND($C66&lt;=#REF!,$D66&gt;=#REF!),IF($G66="","x","y"),"")))</f>
        <v>#REF!</v>
      </c>
      <c r="M66" s="270" t="e">
        <f>IF(#REF!="Yes","H",IF($B66="","",IF(AND($C66&lt;=#REF!,$D66&gt;=#REF!),IF($G66="","x","y"),"")))</f>
        <v>#REF!</v>
      </c>
      <c r="N66" s="271" t="e">
        <f>IF(#REF!="Yes","H",IF($B66="","",IF(AND($C66&lt;=#REF!,$D66&gt;=#REF!),IF($G66="","x","y"),"")))</f>
        <v>#REF!</v>
      </c>
      <c r="O66" s="272" t="e">
        <f>IF(#REF!="Yes","H",IF($B66="","",IF(AND($C66&lt;=#REF!,$D66&gt;=#REF!),IF($G66="","x","y"),"")))</f>
        <v>#REF!</v>
      </c>
      <c r="P66" s="270" t="e">
        <f>IF(#REF!="Yes","H",IF($B66="","",IF(AND($C66&lt;=#REF!,$D66&gt;=#REF!),IF($G66="","x","y"),"")))</f>
        <v>#REF!</v>
      </c>
      <c r="Q66" s="270" t="e">
        <f>IF(#REF!="Yes","H",IF($B66="","",IF(AND($C66&lt;=#REF!,$D66&gt;=#REF!),IF($G66="","x","y"),"")))</f>
        <v>#REF!</v>
      </c>
      <c r="R66" s="270" t="e">
        <f>IF(#REF!="Yes","H",IF($B66="","",IF(AND($C66&lt;=#REF!,$D66&gt;=#REF!),IF($G66="","x","y"),"")))</f>
        <v>#REF!</v>
      </c>
      <c r="S66" s="273" t="e">
        <f>IF(#REF!="Yes","H",IF($B66="","",IF(AND($C66&lt;=#REF!,$D66&gt;=#REF!),IF($G66="","x","y"),"")))</f>
        <v>#REF!</v>
      </c>
      <c r="T66" s="274" t="e">
        <f>IF(#REF!="Yes","H",IF($B66="","",IF(AND($C66&lt;=#REF!,$D66&gt;=#REF!),IF($G66="","x","y"),"")))</f>
        <v>#REF!</v>
      </c>
      <c r="U66" s="270" t="e">
        <f>IF(#REF!="Yes","H",IF($B66="","",IF(AND($C66&lt;=#REF!,$D66&gt;=#REF!),IF($G66="","x","y"),"")))</f>
        <v>#REF!</v>
      </c>
      <c r="V66" s="270" t="e">
        <f>IF(#REF!="Yes","H",IF($B66="","",IF(AND($C66&lt;=#REF!,$D66&gt;=#REF!),IF($G66="","x","y"),"")))</f>
        <v>#REF!</v>
      </c>
      <c r="W66" s="270" t="e">
        <f>IF(#REF!="Yes","H",IF($B66="","",IF(AND($C66&lt;=#REF!,$D66&gt;=#REF!),IF($G66="","x","y"),"")))</f>
        <v>#REF!</v>
      </c>
      <c r="X66" s="271" t="e">
        <f>IF(#REF!="Yes","H",IF($B66="","",IF(AND($C66&lt;=#REF!,$D66&gt;=#REF!),IF($G66="","x","y"),"")))</f>
        <v>#REF!</v>
      </c>
      <c r="Y66" s="272" t="e">
        <f>IF(#REF!="Yes","H",IF($B66="","",IF(AND($C66&lt;=#REF!,$D66&gt;=#REF!),IF($G66="","x","y"),"")))</f>
        <v>#REF!</v>
      </c>
      <c r="Z66" s="270" t="e">
        <f>IF(#REF!="Yes","H",IF($B66="","",IF(AND($C66&lt;=#REF!,$D66&gt;=#REF!),IF($G66="","x","y"),"")))</f>
        <v>#REF!</v>
      </c>
      <c r="AA66" s="270" t="e">
        <f>IF(#REF!="Yes","H",IF($B66="","",IF(AND($C66&lt;=#REF!,$D66&gt;=#REF!),IF($G66="","x","y"),"")))</f>
        <v>#REF!</v>
      </c>
      <c r="AB66" s="270" t="e">
        <f>IF(#REF!="Yes","H",IF($B66="","",IF(AND($C66&lt;=#REF!,$D66&gt;=#REF!),IF($G66="","x","y"),"")))</f>
        <v>#REF!</v>
      </c>
      <c r="AC66" s="273" t="e">
        <f>IF(#REF!="Yes","H",IF($B66="","",IF(AND($C66&lt;=#REF!,$D66&gt;=#REF!),IF($G66="","x","y"),"")))</f>
        <v>#REF!</v>
      </c>
      <c r="AD66" s="274" t="e">
        <f>IF(#REF!="Yes","H",IF($B66="","",IF(AND($C66&lt;=#REF!,$D66&gt;=#REF!),IF($G66="","x","y"),"")))</f>
        <v>#REF!</v>
      </c>
      <c r="AE66" s="270" t="e">
        <f>IF(#REF!="Yes","H",IF($B66="","",IF(AND($C66&lt;=#REF!,$D66&gt;=#REF!),IF($G66="","x","y"),"")))</f>
        <v>#REF!</v>
      </c>
      <c r="AF66" s="270" t="e">
        <f>IF(#REF!="Yes","H",IF($B66="","",IF(AND($C66&lt;=#REF!,$D66&gt;=#REF!),IF($G66="","x","y"),"")))</f>
        <v>#REF!</v>
      </c>
      <c r="AG66" s="270" t="e">
        <f>IF(#REF!="Yes","H",IF($B66="","",IF(AND($C66&lt;=#REF!,$D66&gt;=#REF!),IF($G66="","x","y"),"")))</f>
        <v>#REF!</v>
      </c>
      <c r="AH66" s="271" t="e">
        <f>IF(#REF!="Yes","H",IF($B66="","",IF(AND($C66&lt;=#REF!,$D66&gt;=#REF!),IF($G66="","x","y"),"")))</f>
        <v>#REF!</v>
      </c>
      <c r="AI66" s="272" t="e">
        <f>IF(#REF!="Yes","H",IF($B66="","",IF(AND($C66&lt;=#REF!,$D66&gt;=#REF!),IF($G66="","x","y"),"")))</f>
        <v>#REF!</v>
      </c>
      <c r="AJ66" s="270" t="e">
        <f>IF(#REF!="Yes","H",IF($B66="","",IF(AND($C66&lt;=#REF!,$D66&gt;=#REF!),IF($G66="","x","y"),"")))</f>
        <v>#REF!</v>
      </c>
      <c r="AK66" s="270" t="e">
        <f>IF(#REF!="Yes","H",IF($B66="","",IF(AND($C66&lt;=#REF!,$D66&gt;=#REF!),IF($G66="","x","y"),"")))</f>
        <v>#REF!</v>
      </c>
      <c r="AL66" s="270" t="e">
        <f>IF(#REF!="Yes","H",IF($B66="","",IF(AND($C66&lt;=#REF!,$D66&gt;=#REF!),IF($G66="","x","y"),"")))</f>
        <v>#REF!</v>
      </c>
      <c r="AM66" s="273" t="e">
        <f>IF(#REF!="Yes","H",IF($B66="","",IF(AND($C66&lt;=#REF!,$D66&gt;=#REF!),IF($G66="","x","y"),"")))</f>
        <v>#REF!</v>
      </c>
      <c r="AN66" s="274" t="e">
        <f>IF(#REF!="Yes","H",IF($B66="","",IF(AND($C66&lt;=#REF!,$D66&gt;=#REF!),IF($G66="","x","y"),"")))</f>
        <v>#REF!</v>
      </c>
      <c r="AO66" s="270" t="e">
        <f>IF(#REF!="Yes","H",IF($B66="","",IF(AND($C66&lt;=#REF!,$D66&gt;=#REF!),IF($G66="","x","y"),"")))</f>
        <v>#REF!</v>
      </c>
      <c r="AP66" s="270" t="e">
        <f>IF(#REF!="Yes","H",IF($B66="","",IF(AND($C66&lt;=#REF!,$D66&gt;=#REF!),IF($G66="","x","y"),"")))</f>
        <v>#REF!</v>
      </c>
      <c r="AQ66" s="270" t="e">
        <f>IF(#REF!="Yes","H",IF($B66="","",IF(AND($C66&lt;=#REF!,$D66&gt;=#REF!),IF($G66="","x","y"),"")))</f>
        <v>#REF!</v>
      </c>
      <c r="AR66" s="271" t="e">
        <f>IF(#REF!="Yes","H",IF($B66="","",IF(AND($C66&lt;=#REF!,$D66&gt;=#REF!),IF($G66="","x","y"),"")))</f>
        <v>#REF!</v>
      </c>
      <c r="AS66" s="272" t="e">
        <f>IF(#REF!="Yes","H",IF($B66="","",IF(AND($C66&lt;=#REF!,$D66&gt;=#REF!),IF($G66="","x","y"),"")))</f>
        <v>#REF!</v>
      </c>
      <c r="AT66" s="270" t="e">
        <f>IF(#REF!="Yes","H",IF($B66="","",IF(AND($C66&lt;=#REF!,$D66&gt;=#REF!),IF($G66="","x","y"),"")))</f>
        <v>#REF!</v>
      </c>
      <c r="AU66" s="270" t="e">
        <f>IF(#REF!="Yes","H",IF($B66="","",IF(AND($C66&lt;=#REF!,$D66&gt;=#REF!),IF($G66="","x","y"),"")))</f>
        <v>#REF!</v>
      </c>
      <c r="AV66" s="270" t="e">
        <f>IF(#REF!="Yes","H",IF($B66="","",IF(AND($C66&lt;=#REF!,$D66&gt;=#REF!),IF($G66="","x","y"),"")))</f>
        <v>#REF!</v>
      </c>
      <c r="AW66" s="273" t="e">
        <f>IF(#REF!="Yes","H",IF($B66="","",IF(AND($C66&lt;=#REF!,$D66&gt;=#REF!),IF($G66="","x","y"),"")))</f>
        <v>#REF!</v>
      </c>
      <c r="AX66" s="274" t="e">
        <f>IF(#REF!="Yes","H",IF($B66="","",IF(AND($C66&lt;=#REF!,$D66&gt;=#REF!),IF($G66="","x","y"),"")))</f>
        <v>#REF!</v>
      </c>
      <c r="AY66" s="270" t="e">
        <f>IF(#REF!="Yes","H",IF($B66="","",IF(AND($C66&lt;=#REF!,$D66&gt;=#REF!),IF($G66="","x","y"),"")))</f>
        <v>#REF!</v>
      </c>
      <c r="AZ66" s="270" t="e">
        <f>IF(#REF!="Yes","H",IF($B66="","",IF(AND($C66&lt;=#REF!,$D66&gt;=#REF!),IF($G66="","x","y"),"")))</f>
        <v>#REF!</v>
      </c>
      <c r="BA66" s="270" t="e">
        <f>IF(#REF!="Yes","H",IF($B66="","",IF(AND($C66&lt;=#REF!,$D66&gt;=#REF!),IF($G66="","x","y"),"")))</f>
        <v>#REF!</v>
      </c>
      <c r="BB66" s="271" t="e">
        <f>IF(#REF!="Yes","H",IF($B66="","",IF(AND($C66&lt;=#REF!,$D66&gt;=#REF!),IF($G66="","x","y"),"")))</f>
        <v>#REF!</v>
      </c>
      <c r="BC66" s="272" t="e">
        <f>IF(#REF!="Yes","H",IF($B66="","",IF(AND($C66&lt;=#REF!,$D66&gt;=#REF!),IF($G66="","x","y"),"")))</f>
        <v>#REF!</v>
      </c>
      <c r="BD66" s="270" t="e">
        <f>IF(#REF!="Yes","H",IF($B66="","",IF(AND($C66&lt;=#REF!,$D66&gt;=#REF!),IF($G66="","x","y"),"")))</f>
        <v>#REF!</v>
      </c>
      <c r="BE66" s="270" t="e">
        <f>IF(#REF!="Yes","H",IF($B66="","",IF(AND($C66&lt;=#REF!,$D66&gt;=#REF!),IF($G66="","x","y"),"")))</f>
        <v>#REF!</v>
      </c>
      <c r="BF66" s="270" t="e">
        <f>IF(#REF!="Yes","H",IF($B66="","",IF(AND($C66&lt;=#REF!,$D66&gt;=#REF!),IF($G66="","x","y"),"")))</f>
        <v>#REF!</v>
      </c>
      <c r="BG66" s="273" t="e">
        <f>IF(#REF!="Yes","H",IF($B66="","",IF(AND($C66&lt;=#REF!,$D66&gt;=#REF!),IF($G66="","x","y"),"")))</f>
        <v>#REF!</v>
      </c>
      <c r="BH66" s="274" t="e">
        <f>IF(#REF!="Yes","H",IF($B66="","",IF(AND($C66&lt;=#REF!,$D66&gt;=#REF!),IF($G66="","x","y"),"")))</f>
        <v>#REF!</v>
      </c>
      <c r="BI66" s="270" t="e">
        <f>IF(#REF!="Yes","H",IF($B66="","",IF(AND($C66&lt;=#REF!,$D66&gt;=#REF!),IF($G66="","x","y"),"")))</f>
        <v>#REF!</v>
      </c>
      <c r="BJ66" s="270" t="e">
        <f>IF(#REF!="Yes","H",IF($B66="","",IF(AND($C66&lt;=#REF!,$D66&gt;=#REF!),IF($G66="","x","y"),"")))</f>
        <v>#REF!</v>
      </c>
      <c r="BK66" s="270" t="e">
        <f>IF(#REF!="Yes","H",IF($B66="","",IF(AND($C66&lt;=#REF!,$D66&gt;=#REF!),IF($G66="","x","y"),"")))</f>
        <v>#REF!</v>
      </c>
      <c r="BL66" s="271" t="e">
        <f>IF(#REF!="Yes","H",IF($B66="","",IF(AND($C66&lt;=#REF!,$D66&gt;=#REF!),IF($G66="","x","y"),"")))</f>
        <v>#REF!</v>
      </c>
      <c r="BM66" s="272" t="e">
        <f>IF(#REF!="Yes","H",IF($B66="","",IF(AND($C66&lt;=#REF!,$D66&gt;=#REF!),IF($G66="","x","y"),"")))</f>
        <v>#REF!</v>
      </c>
      <c r="BN66" s="270" t="e">
        <f>IF(#REF!="Yes","H",IF($B66="","",IF(AND($C66&lt;=#REF!,$D66&gt;=#REF!),IF($G66="","x","y"),"")))</f>
        <v>#REF!</v>
      </c>
      <c r="BO66" s="270" t="e">
        <f>IF(#REF!="Yes","H",IF($B66="","",IF(AND($C66&lt;=#REF!,$D66&gt;=#REF!),IF($G66="","x","y"),"")))</f>
        <v>#REF!</v>
      </c>
      <c r="BP66" s="270" t="e">
        <f>IF(#REF!="Yes","H",IF($B66="","",IF(AND($C66&lt;=#REF!,$D66&gt;=#REF!),IF($G66="","x","y"),"")))</f>
        <v>#REF!</v>
      </c>
      <c r="BQ66" s="273" t="e">
        <f>IF(#REF!="Yes","H",IF($B66="","",IF(AND($C66&lt;=#REF!,$D66&gt;=#REF!),IF($G66="","x","y"),"")))</f>
        <v>#REF!</v>
      </c>
      <c r="BR66" s="274" t="e">
        <f>IF(#REF!="Yes","H",IF($B66="","",IF(AND($C66&lt;=#REF!,$D66&gt;=#REF!),IF($G66="","x","y"),"")))</f>
        <v>#REF!</v>
      </c>
      <c r="BS66" s="270" t="e">
        <f>IF(#REF!="Yes","H",IF($B66="","",IF(AND($C66&lt;=#REF!,$D66&gt;=#REF!),IF($G66="","x","y"),"")))</f>
        <v>#REF!</v>
      </c>
      <c r="BT66" s="270" t="e">
        <f>IF(#REF!="Yes","H",IF($B66="","",IF(AND($C66&lt;=#REF!,$D66&gt;=#REF!),IF($G66="","x","y"),"")))</f>
        <v>#REF!</v>
      </c>
      <c r="BU66" s="270" t="e">
        <f>IF(#REF!="Yes","H",IF($B66="","",IF(AND($C66&lt;=#REF!,$D66&gt;=#REF!),IF($G66="","x","y"),"")))</f>
        <v>#REF!</v>
      </c>
      <c r="BV66" s="271" t="e">
        <f>IF(#REF!="Yes","H",IF($B66="","",IF(AND($C66&lt;=#REF!,$D66&gt;=#REF!),IF($G66="","x","y"),"")))</f>
        <v>#REF!</v>
      </c>
      <c r="BW66" s="272" t="e">
        <f>IF(#REF!="Yes","H",IF($B66="","",IF(AND($C66&lt;=#REF!,$D66&gt;=#REF!),IF($G66="","x","y"),"")))</f>
        <v>#REF!</v>
      </c>
      <c r="BX66" s="270" t="e">
        <f>IF(#REF!="Yes","H",IF($B66="","",IF(AND($C66&lt;=#REF!,$D66&gt;=#REF!),IF($G66="","x","y"),"")))</f>
        <v>#REF!</v>
      </c>
      <c r="BY66" s="270" t="e">
        <f>IF(#REF!="Yes","H",IF($B66="","",IF(AND($C66&lt;=#REF!,$D66&gt;=#REF!),IF($G66="","x","y"),"")))</f>
        <v>#REF!</v>
      </c>
      <c r="BZ66" s="270" t="e">
        <f>IF(#REF!="Yes","H",IF($B66="","",IF(AND($C66&lt;=#REF!,$D66&gt;=#REF!),IF($G66="","x","y"),"")))</f>
        <v>#REF!</v>
      </c>
      <c r="CA66" s="273" t="e">
        <f>IF(#REF!="Yes","H",IF($B66="","",IF(AND($C66&lt;=#REF!,$D66&gt;=#REF!),IF($G66="","x","y"),"")))</f>
        <v>#REF!</v>
      </c>
    </row>
    <row r="67" spans="2:79">
      <c r="B67" s="278"/>
      <c r="C67" s="260"/>
      <c r="D67" s="260"/>
      <c r="E67" s="260"/>
      <c r="F67" s="224"/>
      <c r="G67" s="275"/>
      <c r="H67" s="209"/>
      <c r="I67" s="211"/>
      <c r="J67" s="269" t="e">
        <f>IF(#REF!="Yes","H",IF($B67="","",IF(AND($C67&lt;=#REF!,$D67&gt;=#REF!),IF($G67="","x","y"),"")))</f>
        <v>#REF!</v>
      </c>
      <c r="K67" s="270" t="e">
        <f>IF(#REF!="Yes","H",IF($B67="","",IF(AND($C67&lt;=#REF!,$D67&gt;=#REF!),IF($G67="","x","y"),"")))</f>
        <v>#REF!</v>
      </c>
      <c r="L67" s="270" t="e">
        <f>IF(#REF!="Yes","H",IF($B67="","",IF(AND($C67&lt;=#REF!,$D67&gt;=#REF!),IF($G67="","x","y"),"")))</f>
        <v>#REF!</v>
      </c>
      <c r="M67" s="270" t="e">
        <f>IF(#REF!="Yes","H",IF($B67="","",IF(AND($C67&lt;=#REF!,$D67&gt;=#REF!),IF($G67="","x","y"),"")))</f>
        <v>#REF!</v>
      </c>
      <c r="N67" s="271" t="e">
        <f>IF(#REF!="Yes","H",IF($B67="","",IF(AND($C67&lt;=#REF!,$D67&gt;=#REF!),IF($G67="","x","y"),"")))</f>
        <v>#REF!</v>
      </c>
      <c r="O67" s="272" t="e">
        <f>IF(#REF!="Yes","H",IF($B67="","",IF(AND($C67&lt;=#REF!,$D67&gt;=#REF!),IF($G67="","x","y"),"")))</f>
        <v>#REF!</v>
      </c>
      <c r="P67" s="270" t="e">
        <f>IF(#REF!="Yes","H",IF($B67="","",IF(AND($C67&lt;=#REF!,$D67&gt;=#REF!),IF($G67="","x","y"),"")))</f>
        <v>#REF!</v>
      </c>
      <c r="Q67" s="270" t="e">
        <f>IF(#REF!="Yes","H",IF($B67="","",IF(AND($C67&lt;=#REF!,$D67&gt;=#REF!),IF($G67="","x","y"),"")))</f>
        <v>#REF!</v>
      </c>
      <c r="R67" s="270" t="e">
        <f>IF(#REF!="Yes","H",IF($B67="","",IF(AND($C67&lt;=#REF!,$D67&gt;=#REF!),IF($G67="","x","y"),"")))</f>
        <v>#REF!</v>
      </c>
      <c r="S67" s="273" t="e">
        <f>IF(#REF!="Yes","H",IF($B67="","",IF(AND($C67&lt;=#REF!,$D67&gt;=#REF!),IF($G67="","x","y"),"")))</f>
        <v>#REF!</v>
      </c>
      <c r="T67" s="274" t="e">
        <f>IF(#REF!="Yes","H",IF($B67="","",IF(AND($C67&lt;=#REF!,$D67&gt;=#REF!),IF($G67="","x","y"),"")))</f>
        <v>#REF!</v>
      </c>
      <c r="U67" s="270" t="e">
        <f>IF(#REF!="Yes","H",IF($B67="","",IF(AND($C67&lt;=#REF!,$D67&gt;=#REF!),IF($G67="","x","y"),"")))</f>
        <v>#REF!</v>
      </c>
      <c r="V67" s="270" t="e">
        <f>IF(#REF!="Yes","H",IF($B67="","",IF(AND($C67&lt;=#REF!,$D67&gt;=#REF!),IF($G67="","x","y"),"")))</f>
        <v>#REF!</v>
      </c>
      <c r="W67" s="270" t="e">
        <f>IF(#REF!="Yes","H",IF($B67="","",IF(AND($C67&lt;=#REF!,$D67&gt;=#REF!),IF($G67="","x","y"),"")))</f>
        <v>#REF!</v>
      </c>
      <c r="X67" s="271" t="e">
        <f>IF(#REF!="Yes","H",IF($B67="","",IF(AND($C67&lt;=#REF!,$D67&gt;=#REF!),IF($G67="","x","y"),"")))</f>
        <v>#REF!</v>
      </c>
      <c r="Y67" s="272" t="e">
        <f>IF(#REF!="Yes","H",IF($B67="","",IF(AND($C67&lt;=#REF!,$D67&gt;=#REF!),IF($G67="","x","y"),"")))</f>
        <v>#REF!</v>
      </c>
      <c r="Z67" s="270" t="e">
        <f>IF(#REF!="Yes","H",IF($B67="","",IF(AND($C67&lt;=#REF!,$D67&gt;=#REF!),IF($G67="","x","y"),"")))</f>
        <v>#REF!</v>
      </c>
      <c r="AA67" s="270" t="e">
        <f>IF(#REF!="Yes","H",IF($B67="","",IF(AND($C67&lt;=#REF!,$D67&gt;=#REF!),IF($G67="","x","y"),"")))</f>
        <v>#REF!</v>
      </c>
      <c r="AB67" s="270" t="e">
        <f>IF(#REF!="Yes","H",IF($B67="","",IF(AND($C67&lt;=#REF!,$D67&gt;=#REF!),IF($G67="","x","y"),"")))</f>
        <v>#REF!</v>
      </c>
      <c r="AC67" s="273" t="e">
        <f>IF(#REF!="Yes","H",IF($B67="","",IF(AND($C67&lt;=#REF!,$D67&gt;=#REF!),IF($G67="","x","y"),"")))</f>
        <v>#REF!</v>
      </c>
      <c r="AD67" s="274" t="e">
        <f>IF(#REF!="Yes","H",IF($B67="","",IF(AND($C67&lt;=#REF!,$D67&gt;=#REF!),IF($G67="","x","y"),"")))</f>
        <v>#REF!</v>
      </c>
      <c r="AE67" s="270" t="e">
        <f>IF(#REF!="Yes","H",IF($B67="","",IF(AND($C67&lt;=#REF!,$D67&gt;=#REF!),IF($G67="","x","y"),"")))</f>
        <v>#REF!</v>
      </c>
      <c r="AF67" s="270" t="e">
        <f>IF(#REF!="Yes","H",IF($B67="","",IF(AND($C67&lt;=#REF!,$D67&gt;=#REF!),IF($G67="","x","y"),"")))</f>
        <v>#REF!</v>
      </c>
      <c r="AG67" s="270" t="e">
        <f>IF(#REF!="Yes","H",IF($B67="","",IF(AND($C67&lt;=#REF!,$D67&gt;=#REF!),IF($G67="","x","y"),"")))</f>
        <v>#REF!</v>
      </c>
      <c r="AH67" s="271" t="e">
        <f>IF(#REF!="Yes","H",IF($B67="","",IF(AND($C67&lt;=#REF!,$D67&gt;=#REF!),IF($G67="","x","y"),"")))</f>
        <v>#REF!</v>
      </c>
      <c r="AI67" s="272" t="e">
        <f>IF(#REF!="Yes","H",IF($B67="","",IF(AND($C67&lt;=#REF!,$D67&gt;=#REF!),IF($G67="","x","y"),"")))</f>
        <v>#REF!</v>
      </c>
      <c r="AJ67" s="270" t="e">
        <f>IF(#REF!="Yes","H",IF($B67="","",IF(AND($C67&lt;=#REF!,$D67&gt;=#REF!),IF($G67="","x","y"),"")))</f>
        <v>#REF!</v>
      </c>
      <c r="AK67" s="270" t="e">
        <f>IF(#REF!="Yes","H",IF($B67="","",IF(AND($C67&lt;=#REF!,$D67&gt;=#REF!),IF($G67="","x","y"),"")))</f>
        <v>#REF!</v>
      </c>
      <c r="AL67" s="270" t="e">
        <f>IF(#REF!="Yes","H",IF($B67="","",IF(AND($C67&lt;=#REF!,$D67&gt;=#REF!),IF($G67="","x","y"),"")))</f>
        <v>#REF!</v>
      </c>
      <c r="AM67" s="273" t="e">
        <f>IF(#REF!="Yes","H",IF($B67="","",IF(AND($C67&lt;=#REF!,$D67&gt;=#REF!),IF($G67="","x","y"),"")))</f>
        <v>#REF!</v>
      </c>
      <c r="AN67" s="274" t="e">
        <f>IF(#REF!="Yes","H",IF($B67="","",IF(AND($C67&lt;=#REF!,$D67&gt;=#REF!),IF($G67="","x","y"),"")))</f>
        <v>#REF!</v>
      </c>
      <c r="AO67" s="270" t="e">
        <f>IF(#REF!="Yes","H",IF($B67="","",IF(AND($C67&lt;=#REF!,$D67&gt;=#REF!),IF($G67="","x","y"),"")))</f>
        <v>#REF!</v>
      </c>
      <c r="AP67" s="270" t="e">
        <f>IF(#REF!="Yes","H",IF($B67="","",IF(AND($C67&lt;=#REF!,$D67&gt;=#REF!),IF($G67="","x","y"),"")))</f>
        <v>#REF!</v>
      </c>
      <c r="AQ67" s="270" t="e">
        <f>IF(#REF!="Yes","H",IF($B67="","",IF(AND($C67&lt;=#REF!,$D67&gt;=#REF!),IF($G67="","x","y"),"")))</f>
        <v>#REF!</v>
      </c>
      <c r="AR67" s="271" t="e">
        <f>IF(#REF!="Yes","H",IF($B67="","",IF(AND($C67&lt;=#REF!,$D67&gt;=#REF!),IF($G67="","x","y"),"")))</f>
        <v>#REF!</v>
      </c>
      <c r="AS67" s="272" t="e">
        <f>IF(#REF!="Yes","H",IF($B67="","",IF(AND($C67&lt;=#REF!,$D67&gt;=#REF!),IF($G67="","x","y"),"")))</f>
        <v>#REF!</v>
      </c>
      <c r="AT67" s="270" t="e">
        <f>IF(#REF!="Yes","H",IF($B67="","",IF(AND($C67&lt;=#REF!,$D67&gt;=#REF!),IF($G67="","x","y"),"")))</f>
        <v>#REF!</v>
      </c>
      <c r="AU67" s="270" t="e">
        <f>IF(#REF!="Yes","H",IF($B67="","",IF(AND($C67&lt;=#REF!,$D67&gt;=#REF!),IF($G67="","x","y"),"")))</f>
        <v>#REF!</v>
      </c>
      <c r="AV67" s="270" t="e">
        <f>IF(#REF!="Yes","H",IF($B67="","",IF(AND($C67&lt;=#REF!,$D67&gt;=#REF!),IF($G67="","x","y"),"")))</f>
        <v>#REF!</v>
      </c>
      <c r="AW67" s="273" t="e">
        <f>IF(#REF!="Yes","H",IF($B67="","",IF(AND($C67&lt;=#REF!,$D67&gt;=#REF!),IF($G67="","x","y"),"")))</f>
        <v>#REF!</v>
      </c>
      <c r="AX67" s="274" t="e">
        <f>IF(#REF!="Yes","H",IF($B67="","",IF(AND($C67&lt;=#REF!,$D67&gt;=#REF!),IF($G67="","x","y"),"")))</f>
        <v>#REF!</v>
      </c>
      <c r="AY67" s="270" t="e">
        <f>IF(#REF!="Yes","H",IF($B67="","",IF(AND($C67&lt;=#REF!,$D67&gt;=#REF!),IF($G67="","x","y"),"")))</f>
        <v>#REF!</v>
      </c>
      <c r="AZ67" s="270" t="e">
        <f>IF(#REF!="Yes","H",IF($B67="","",IF(AND($C67&lt;=#REF!,$D67&gt;=#REF!),IF($G67="","x","y"),"")))</f>
        <v>#REF!</v>
      </c>
      <c r="BA67" s="270" t="e">
        <f>IF(#REF!="Yes","H",IF($B67="","",IF(AND($C67&lt;=#REF!,$D67&gt;=#REF!),IF($G67="","x","y"),"")))</f>
        <v>#REF!</v>
      </c>
      <c r="BB67" s="271" t="e">
        <f>IF(#REF!="Yes","H",IF($B67="","",IF(AND($C67&lt;=#REF!,$D67&gt;=#REF!),IF($G67="","x","y"),"")))</f>
        <v>#REF!</v>
      </c>
      <c r="BC67" s="272" t="e">
        <f>IF(#REF!="Yes","H",IF($B67="","",IF(AND($C67&lt;=#REF!,$D67&gt;=#REF!),IF($G67="","x","y"),"")))</f>
        <v>#REF!</v>
      </c>
      <c r="BD67" s="270" t="e">
        <f>IF(#REF!="Yes","H",IF($B67="","",IF(AND($C67&lt;=#REF!,$D67&gt;=#REF!),IF($G67="","x","y"),"")))</f>
        <v>#REF!</v>
      </c>
      <c r="BE67" s="270" t="e">
        <f>IF(#REF!="Yes","H",IF($B67="","",IF(AND($C67&lt;=#REF!,$D67&gt;=#REF!),IF($G67="","x","y"),"")))</f>
        <v>#REF!</v>
      </c>
      <c r="BF67" s="270" t="e">
        <f>IF(#REF!="Yes","H",IF($B67="","",IF(AND($C67&lt;=#REF!,$D67&gt;=#REF!),IF($G67="","x","y"),"")))</f>
        <v>#REF!</v>
      </c>
      <c r="BG67" s="273" t="e">
        <f>IF(#REF!="Yes","H",IF($B67="","",IF(AND($C67&lt;=#REF!,$D67&gt;=#REF!),IF($G67="","x","y"),"")))</f>
        <v>#REF!</v>
      </c>
      <c r="BH67" s="274" t="e">
        <f>IF(#REF!="Yes","H",IF($B67="","",IF(AND($C67&lt;=#REF!,$D67&gt;=#REF!),IF($G67="","x","y"),"")))</f>
        <v>#REF!</v>
      </c>
      <c r="BI67" s="270" t="e">
        <f>IF(#REF!="Yes","H",IF($B67="","",IF(AND($C67&lt;=#REF!,$D67&gt;=#REF!),IF($G67="","x","y"),"")))</f>
        <v>#REF!</v>
      </c>
      <c r="BJ67" s="270" t="e">
        <f>IF(#REF!="Yes","H",IF($B67="","",IF(AND($C67&lt;=#REF!,$D67&gt;=#REF!),IF($G67="","x","y"),"")))</f>
        <v>#REF!</v>
      </c>
      <c r="BK67" s="270" t="e">
        <f>IF(#REF!="Yes","H",IF($B67="","",IF(AND($C67&lt;=#REF!,$D67&gt;=#REF!),IF($G67="","x","y"),"")))</f>
        <v>#REF!</v>
      </c>
      <c r="BL67" s="271" t="e">
        <f>IF(#REF!="Yes","H",IF($B67="","",IF(AND($C67&lt;=#REF!,$D67&gt;=#REF!),IF($G67="","x","y"),"")))</f>
        <v>#REF!</v>
      </c>
      <c r="BM67" s="272" t="e">
        <f>IF(#REF!="Yes","H",IF($B67="","",IF(AND($C67&lt;=#REF!,$D67&gt;=#REF!),IF($G67="","x","y"),"")))</f>
        <v>#REF!</v>
      </c>
      <c r="BN67" s="270" t="e">
        <f>IF(#REF!="Yes","H",IF($B67="","",IF(AND($C67&lt;=#REF!,$D67&gt;=#REF!),IF($G67="","x","y"),"")))</f>
        <v>#REF!</v>
      </c>
      <c r="BO67" s="270" t="e">
        <f>IF(#REF!="Yes","H",IF($B67="","",IF(AND($C67&lt;=#REF!,$D67&gt;=#REF!),IF($G67="","x","y"),"")))</f>
        <v>#REF!</v>
      </c>
      <c r="BP67" s="270" t="e">
        <f>IF(#REF!="Yes","H",IF($B67="","",IF(AND($C67&lt;=#REF!,$D67&gt;=#REF!),IF($G67="","x","y"),"")))</f>
        <v>#REF!</v>
      </c>
      <c r="BQ67" s="273" t="e">
        <f>IF(#REF!="Yes","H",IF($B67="","",IF(AND($C67&lt;=#REF!,$D67&gt;=#REF!),IF($G67="","x","y"),"")))</f>
        <v>#REF!</v>
      </c>
      <c r="BR67" s="274" t="e">
        <f>IF(#REF!="Yes","H",IF($B67="","",IF(AND($C67&lt;=#REF!,$D67&gt;=#REF!),IF($G67="","x","y"),"")))</f>
        <v>#REF!</v>
      </c>
      <c r="BS67" s="270" t="e">
        <f>IF(#REF!="Yes","H",IF($B67="","",IF(AND($C67&lt;=#REF!,$D67&gt;=#REF!),IF($G67="","x","y"),"")))</f>
        <v>#REF!</v>
      </c>
      <c r="BT67" s="270" t="e">
        <f>IF(#REF!="Yes","H",IF($B67="","",IF(AND($C67&lt;=#REF!,$D67&gt;=#REF!),IF($G67="","x","y"),"")))</f>
        <v>#REF!</v>
      </c>
      <c r="BU67" s="270" t="e">
        <f>IF(#REF!="Yes","H",IF($B67="","",IF(AND($C67&lt;=#REF!,$D67&gt;=#REF!),IF($G67="","x","y"),"")))</f>
        <v>#REF!</v>
      </c>
      <c r="BV67" s="271" t="e">
        <f>IF(#REF!="Yes","H",IF($B67="","",IF(AND($C67&lt;=#REF!,$D67&gt;=#REF!),IF($G67="","x","y"),"")))</f>
        <v>#REF!</v>
      </c>
      <c r="BW67" s="272" t="e">
        <f>IF(#REF!="Yes","H",IF($B67="","",IF(AND($C67&lt;=#REF!,$D67&gt;=#REF!),IF($G67="","x","y"),"")))</f>
        <v>#REF!</v>
      </c>
      <c r="BX67" s="270" t="e">
        <f>IF(#REF!="Yes","H",IF($B67="","",IF(AND($C67&lt;=#REF!,$D67&gt;=#REF!),IF($G67="","x","y"),"")))</f>
        <v>#REF!</v>
      </c>
      <c r="BY67" s="270" t="e">
        <f>IF(#REF!="Yes","H",IF($B67="","",IF(AND($C67&lt;=#REF!,$D67&gt;=#REF!),IF($G67="","x","y"),"")))</f>
        <v>#REF!</v>
      </c>
      <c r="BZ67" s="270" t="e">
        <f>IF(#REF!="Yes","H",IF($B67="","",IF(AND($C67&lt;=#REF!,$D67&gt;=#REF!),IF($G67="","x","y"),"")))</f>
        <v>#REF!</v>
      </c>
      <c r="CA67" s="273" t="e">
        <f>IF(#REF!="Yes","H",IF($B67="","",IF(AND($C67&lt;=#REF!,$D67&gt;=#REF!),IF($G67="","x","y"),"")))</f>
        <v>#REF!</v>
      </c>
    </row>
    <row r="68" spans="2:79" ht="15" customHeight="1">
      <c r="B68" s="278"/>
      <c r="C68" s="260"/>
      <c r="D68" s="260"/>
      <c r="E68" s="260"/>
      <c r="F68" s="224"/>
      <c r="G68" s="275"/>
      <c r="H68" s="209"/>
      <c r="I68" s="211"/>
      <c r="J68" s="269" t="e">
        <f>IF(#REF!="Yes","H",IF($B68="","",IF(AND($C68&lt;=#REF!,$D68&gt;=#REF!),IF($G68="","x","y"),"")))</f>
        <v>#REF!</v>
      </c>
      <c r="K68" s="270" t="e">
        <f>IF(#REF!="Yes","H",IF($B68="","",IF(AND($C68&lt;=#REF!,$D68&gt;=#REF!),IF($G68="","x","y"),"")))</f>
        <v>#REF!</v>
      </c>
      <c r="L68" s="270" t="e">
        <f>IF(#REF!="Yes","H",IF($B68="","",IF(AND($C68&lt;=#REF!,$D68&gt;=#REF!),IF($G68="","x","y"),"")))</f>
        <v>#REF!</v>
      </c>
      <c r="M68" s="270" t="e">
        <f>IF(#REF!="Yes","H",IF($B68="","",IF(AND($C68&lt;=#REF!,$D68&gt;=#REF!),IF($G68="","x","y"),"")))</f>
        <v>#REF!</v>
      </c>
      <c r="N68" s="271" t="e">
        <f>IF(#REF!="Yes","H",IF($B68="","",IF(AND($C68&lt;=#REF!,$D68&gt;=#REF!),IF($G68="","x","y"),"")))</f>
        <v>#REF!</v>
      </c>
      <c r="O68" s="272" t="e">
        <f>IF(#REF!="Yes","H",IF($B68="","",IF(AND($C68&lt;=#REF!,$D68&gt;=#REF!),IF($G68="","x","y"),"")))</f>
        <v>#REF!</v>
      </c>
      <c r="P68" s="270" t="e">
        <f>IF(#REF!="Yes","H",IF($B68="","",IF(AND($C68&lt;=#REF!,$D68&gt;=#REF!),IF($G68="","x","y"),"")))</f>
        <v>#REF!</v>
      </c>
      <c r="Q68" s="270" t="e">
        <f>IF(#REF!="Yes","H",IF($B68="","",IF(AND($C68&lt;=#REF!,$D68&gt;=#REF!),IF($G68="","x","y"),"")))</f>
        <v>#REF!</v>
      </c>
      <c r="R68" s="270" t="e">
        <f>IF(#REF!="Yes","H",IF($B68="","",IF(AND($C68&lt;=#REF!,$D68&gt;=#REF!),IF($G68="","x","y"),"")))</f>
        <v>#REF!</v>
      </c>
      <c r="S68" s="273" t="e">
        <f>IF(#REF!="Yes","H",IF($B68="","",IF(AND($C68&lt;=#REF!,$D68&gt;=#REF!),IF($G68="","x","y"),"")))</f>
        <v>#REF!</v>
      </c>
      <c r="T68" s="274" t="e">
        <f>IF(#REF!="Yes","H",IF($B68="","",IF(AND($C68&lt;=#REF!,$D68&gt;=#REF!),IF($G68="","x","y"),"")))</f>
        <v>#REF!</v>
      </c>
      <c r="U68" s="270" t="e">
        <f>IF(#REF!="Yes","H",IF($B68="","",IF(AND($C68&lt;=#REF!,$D68&gt;=#REF!),IF($G68="","x","y"),"")))</f>
        <v>#REF!</v>
      </c>
      <c r="V68" s="270" t="e">
        <f>IF(#REF!="Yes","H",IF($B68="","",IF(AND($C68&lt;=#REF!,$D68&gt;=#REF!),IF($G68="","x","y"),"")))</f>
        <v>#REF!</v>
      </c>
      <c r="W68" s="270" t="e">
        <f>IF(#REF!="Yes","H",IF($B68="","",IF(AND($C68&lt;=#REF!,$D68&gt;=#REF!),IF($G68="","x","y"),"")))</f>
        <v>#REF!</v>
      </c>
      <c r="X68" s="271" t="e">
        <f>IF(#REF!="Yes","H",IF($B68="","",IF(AND($C68&lt;=#REF!,$D68&gt;=#REF!),IF($G68="","x","y"),"")))</f>
        <v>#REF!</v>
      </c>
      <c r="Y68" s="272" t="e">
        <f>IF(#REF!="Yes","H",IF($B68="","",IF(AND($C68&lt;=#REF!,$D68&gt;=#REF!),IF($G68="","x","y"),"")))</f>
        <v>#REF!</v>
      </c>
      <c r="Z68" s="270" t="e">
        <f>IF(#REF!="Yes","H",IF($B68="","",IF(AND($C68&lt;=#REF!,$D68&gt;=#REF!),IF($G68="","x","y"),"")))</f>
        <v>#REF!</v>
      </c>
      <c r="AA68" s="270" t="e">
        <f>IF(#REF!="Yes","H",IF($B68="","",IF(AND($C68&lt;=#REF!,$D68&gt;=#REF!),IF($G68="","x","y"),"")))</f>
        <v>#REF!</v>
      </c>
      <c r="AB68" s="270" t="e">
        <f>IF(#REF!="Yes","H",IF($B68="","",IF(AND($C68&lt;=#REF!,$D68&gt;=#REF!),IF($G68="","x","y"),"")))</f>
        <v>#REF!</v>
      </c>
      <c r="AC68" s="273" t="e">
        <f>IF(#REF!="Yes","H",IF($B68="","",IF(AND($C68&lt;=#REF!,$D68&gt;=#REF!),IF($G68="","x","y"),"")))</f>
        <v>#REF!</v>
      </c>
      <c r="AD68" s="274" t="e">
        <f>IF(#REF!="Yes","H",IF($B68="","",IF(AND($C68&lt;=#REF!,$D68&gt;=#REF!),IF($G68="","x","y"),"")))</f>
        <v>#REF!</v>
      </c>
      <c r="AE68" s="270" t="e">
        <f>IF(#REF!="Yes","H",IF($B68="","",IF(AND($C68&lt;=#REF!,$D68&gt;=#REF!),IF($G68="","x","y"),"")))</f>
        <v>#REF!</v>
      </c>
      <c r="AF68" s="270" t="e">
        <f>IF(#REF!="Yes","H",IF($B68="","",IF(AND($C68&lt;=#REF!,$D68&gt;=#REF!),IF($G68="","x","y"),"")))</f>
        <v>#REF!</v>
      </c>
      <c r="AG68" s="270" t="e">
        <f>IF(#REF!="Yes","H",IF($B68="","",IF(AND($C68&lt;=#REF!,$D68&gt;=#REF!),IF($G68="","x","y"),"")))</f>
        <v>#REF!</v>
      </c>
      <c r="AH68" s="271" t="e">
        <f>IF(#REF!="Yes","H",IF($B68="","",IF(AND($C68&lt;=#REF!,$D68&gt;=#REF!),IF($G68="","x","y"),"")))</f>
        <v>#REF!</v>
      </c>
      <c r="AI68" s="272" t="e">
        <f>IF(#REF!="Yes","H",IF($B68="","",IF(AND($C68&lt;=#REF!,$D68&gt;=#REF!),IF($G68="","x","y"),"")))</f>
        <v>#REF!</v>
      </c>
      <c r="AJ68" s="270" t="e">
        <f>IF(#REF!="Yes","H",IF($B68="","",IF(AND($C68&lt;=#REF!,$D68&gt;=#REF!),IF($G68="","x","y"),"")))</f>
        <v>#REF!</v>
      </c>
      <c r="AK68" s="270" t="e">
        <f>IF(#REF!="Yes","H",IF($B68="","",IF(AND($C68&lt;=#REF!,$D68&gt;=#REF!),IF($G68="","x","y"),"")))</f>
        <v>#REF!</v>
      </c>
      <c r="AL68" s="270" t="e">
        <f>IF(#REF!="Yes","H",IF($B68="","",IF(AND($C68&lt;=#REF!,$D68&gt;=#REF!),IF($G68="","x","y"),"")))</f>
        <v>#REF!</v>
      </c>
      <c r="AM68" s="273" t="e">
        <f>IF(#REF!="Yes","H",IF($B68="","",IF(AND($C68&lt;=#REF!,$D68&gt;=#REF!),IF($G68="","x","y"),"")))</f>
        <v>#REF!</v>
      </c>
      <c r="AN68" s="274" t="e">
        <f>IF(#REF!="Yes","H",IF($B68="","",IF(AND($C68&lt;=#REF!,$D68&gt;=#REF!),IF($G68="","x","y"),"")))</f>
        <v>#REF!</v>
      </c>
      <c r="AO68" s="270" t="e">
        <f>IF(#REF!="Yes","H",IF($B68="","",IF(AND($C68&lt;=#REF!,$D68&gt;=#REF!),IF($G68="","x","y"),"")))</f>
        <v>#REF!</v>
      </c>
      <c r="AP68" s="270" t="e">
        <f>IF(#REF!="Yes","H",IF($B68="","",IF(AND($C68&lt;=#REF!,$D68&gt;=#REF!),IF($G68="","x","y"),"")))</f>
        <v>#REF!</v>
      </c>
      <c r="AQ68" s="270" t="e">
        <f>IF(#REF!="Yes","H",IF($B68="","",IF(AND($C68&lt;=#REF!,$D68&gt;=#REF!),IF($G68="","x","y"),"")))</f>
        <v>#REF!</v>
      </c>
      <c r="AR68" s="271" t="e">
        <f>IF(#REF!="Yes","H",IF($B68="","",IF(AND($C68&lt;=#REF!,$D68&gt;=#REF!),IF($G68="","x","y"),"")))</f>
        <v>#REF!</v>
      </c>
      <c r="AS68" s="272" t="e">
        <f>IF(#REF!="Yes","H",IF($B68="","",IF(AND($C68&lt;=#REF!,$D68&gt;=#REF!),IF($G68="","x","y"),"")))</f>
        <v>#REF!</v>
      </c>
      <c r="AT68" s="270" t="e">
        <f>IF(#REF!="Yes","H",IF($B68="","",IF(AND($C68&lt;=#REF!,$D68&gt;=#REF!),IF($G68="","x","y"),"")))</f>
        <v>#REF!</v>
      </c>
      <c r="AU68" s="270" t="e">
        <f>IF(#REF!="Yes","H",IF($B68="","",IF(AND($C68&lt;=#REF!,$D68&gt;=#REF!),IF($G68="","x","y"),"")))</f>
        <v>#REF!</v>
      </c>
      <c r="AV68" s="270" t="e">
        <f>IF(#REF!="Yes","H",IF($B68="","",IF(AND($C68&lt;=#REF!,$D68&gt;=#REF!),IF($G68="","x","y"),"")))</f>
        <v>#REF!</v>
      </c>
      <c r="AW68" s="273" t="e">
        <f>IF(#REF!="Yes","H",IF($B68="","",IF(AND($C68&lt;=#REF!,$D68&gt;=#REF!),IF($G68="","x","y"),"")))</f>
        <v>#REF!</v>
      </c>
      <c r="AX68" s="274" t="e">
        <f>IF(#REF!="Yes","H",IF($B68="","",IF(AND($C68&lt;=#REF!,$D68&gt;=#REF!),IF($G68="","x","y"),"")))</f>
        <v>#REF!</v>
      </c>
      <c r="AY68" s="270" t="e">
        <f>IF(#REF!="Yes","H",IF($B68="","",IF(AND($C68&lt;=#REF!,$D68&gt;=#REF!),IF($G68="","x","y"),"")))</f>
        <v>#REF!</v>
      </c>
      <c r="AZ68" s="270" t="e">
        <f>IF(#REF!="Yes","H",IF($B68="","",IF(AND($C68&lt;=#REF!,$D68&gt;=#REF!),IF($G68="","x","y"),"")))</f>
        <v>#REF!</v>
      </c>
      <c r="BA68" s="270" t="e">
        <f>IF(#REF!="Yes","H",IF($B68="","",IF(AND($C68&lt;=#REF!,$D68&gt;=#REF!),IF($G68="","x","y"),"")))</f>
        <v>#REF!</v>
      </c>
      <c r="BB68" s="271" t="e">
        <f>IF(#REF!="Yes","H",IF($B68="","",IF(AND($C68&lt;=#REF!,$D68&gt;=#REF!),IF($G68="","x","y"),"")))</f>
        <v>#REF!</v>
      </c>
      <c r="BC68" s="272" t="e">
        <f>IF(#REF!="Yes","H",IF($B68="","",IF(AND($C68&lt;=#REF!,$D68&gt;=#REF!),IF($G68="","x","y"),"")))</f>
        <v>#REF!</v>
      </c>
      <c r="BD68" s="270" t="e">
        <f>IF(#REF!="Yes","H",IF($B68="","",IF(AND($C68&lt;=#REF!,$D68&gt;=#REF!),IF($G68="","x","y"),"")))</f>
        <v>#REF!</v>
      </c>
      <c r="BE68" s="270" t="e">
        <f>IF(#REF!="Yes","H",IF($B68="","",IF(AND($C68&lt;=#REF!,$D68&gt;=#REF!),IF($G68="","x","y"),"")))</f>
        <v>#REF!</v>
      </c>
      <c r="BF68" s="270" t="e">
        <f>IF(#REF!="Yes","H",IF($B68="","",IF(AND($C68&lt;=#REF!,$D68&gt;=#REF!),IF($G68="","x","y"),"")))</f>
        <v>#REF!</v>
      </c>
      <c r="BG68" s="273" t="e">
        <f>IF(#REF!="Yes","H",IF($B68="","",IF(AND($C68&lt;=#REF!,$D68&gt;=#REF!),IF($G68="","x","y"),"")))</f>
        <v>#REF!</v>
      </c>
      <c r="BH68" s="274" t="e">
        <f>IF(#REF!="Yes","H",IF($B68="","",IF(AND($C68&lt;=#REF!,$D68&gt;=#REF!),IF($G68="","x","y"),"")))</f>
        <v>#REF!</v>
      </c>
      <c r="BI68" s="270" t="e">
        <f>IF(#REF!="Yes","H",IF($B68="","",IF(AND($C68&lt;=#REF!,$D68&gt;=#REF!),IF($G68="","x","y"),"")))</f>
        <v>#REF!</v>
      </c>
      <c r="BJ68" s="270" t="e">
        <f>IF(#REF!="Yes","H",IF($B68="","",IF(AND($C68&lt;=#REF!,$D68&gt;=#REF!),IF($G68="","x","y"),"")))</f>
        <v>#REF!</v>
      </c>
      <c r="BK68" s="270" t="e">
        <f>IF(#REF!="Yes","H",IF($B68="","",IF(AND($C68&lt;=#REF!,$D68&gt;=#REF!),IF($G68="","x","y"),"")))</f>
        <v>#REF!</v>
      </c>
      <c r="BL68" s="271" t="e">
        <f>IF(#REF!="Yes","H",IF($B68="","",IF(AND($C68&lt;=#REF!,$D68&gt;=#REF!),IF($G68="","x","y"),"")))</f>
        <v>#REF!</v>
      </c>
      <c r="BM68" s="272" t="e">
        <f>IF(#REF!="Yes","H",IF($B68="","",IF(AND($C68&lt;=#REF!,$D68&gt;=#REF!),IF($G68="","x","y"),"")))</f>
        <v>#REF!</v>
      </c>
      <c r="BN68" s="270" t="e">
        <f>IF(#REF!="Yes","H",IF($B68="","",IF(AND($C68&lt;=#REF!,$D68&gt;=#REF!),IF($G68="","x","y"),"")))</f>
        <v>#REF!</v>
      </c>
      <c r="BO68" s="270" t="e">
        <f>IF(#REF!="Yes","H",IF($B68="","",IF(AND($C68&lt;=#REF!,$D68&gt;=#REF!),IF($G68="","x","y"),"")))</f>
        <v>#REF!</v>
      </c>
      <c r="BP68" s="270" t="e">
        <f>IF(#REF!="Yes","H",IF($B68="","",IF(AND($C68&lt;=#REF!,$D68&gt;=#REF!),IF($G68="","x","y"),"")))</f>
        <v>#REF!</v>
      </c>
      <c r="BQ68" s="273" t="e">
        <f>IF(#REF!="Yes","H",IF($B68="","",IF(AND($C68&lt;=#REF!,$D68&gt;=#REF!),IF($G68="","x","y"),"")))</f>
        <v>#REF!</v>
      </c>
      <c r="BR68" s="274" t="e">
        <f>IF(#REF!="Yes","H",IF($B68="","",IF(AND($C68&lt;=#REF!,$D68&gt;=#REF!),IF($G68="","x","y"),"")))</f>
        <v>#REF!</v>
      </c>
      <c r="BS68" s="270" t="e">
        <f>IF(#REF!="Yes","H",IF($B68="","",IF(AND($C68&lt;=#REF!,$D68&gt;=#REF!),IF($G68="","x","y"),"")))</f>
        <v>#REF!</v>
      </c>
      <c r="BT68" s="270" t="e">
        <f>IF(#REF!="Yes","H",IF($B68="","",IF(AND($C68&lt;=#REF!,$D68&gt;=#REF!),IF($G68="","x","y"),"")))</f>
        <v>#REF!</v>
      </c>
      <c r="BU68" s="270" t="e">
        <f>IF(#REF!="Yes","H",IF($B68="","",IF(AND($C68&lt;=#REF!,$D68&gt;=#REF!),IF($G68="","x","y"),"")))</f>
        <v>#REF!</v>
      </c>
      <c r="BV68" s="271" t="e">
        <f>IF(#REF!="Yes","H",IF($B68="","",IF(AND($C68&lt;=#REF!,$D68&gt;=#REF!),IF($G68="","x","y"),"")))</f>
        <v>#REF!</v>
      </c>
      <c r="BW68" s="272" t="e">
        <f>IF(#REF!="Yes","H",IF($B68="","",IF(AND($C68&lt;=#REF!,$D68&gt;=#REF!),IF($G68="","x","y"),"")))</f>
        <v>#REF!</v>
      </c>
      <c r="BX68" s="270" t="e">
        <f>IF(#REF!="Yes","H",IF($B68="","",IF(AND($C68&lt;=#REF!,$D68&gt;=#REF!),IF($G68="","x","y"),"")))</f>
        <v>#REF!</v>
      </c>
      <c r="BY68" s="270" t="e">
        <f>IF(#REF!="Yes","H",IF($B68="","",IF(AND($C68&lt;=#REF!,$D68&gt;=#REF!),IF($G68="","x","y"),"")))</f>
        <v>#REF!</v>
      </c>
      <c r="BZ68" s="270" t="e">
        <f>IF(#REF!="Yes","H",IF($B68="","",IF(AND($C68&lt;=#REF!,$D68&gt;=#REF!),IF($G68="","x","y"),"")))</f>
        <v>#REF!</v>
      </c>
      <c r="CA68" s="273" t="e">
        <f>IF(#REF!="Yes","H",IF($B68="","",IF(AND($C68&lt;=#REF!,$D68&gt;=#REF!),IF($G68="","x","y"),"")))</f>
        <v>#REF!</v>
      </c>
    </row>
    <row r="69" spans="2:79" ht="15" customHeight="1">
      <c r="B69" s="278"/>
      <c r="C69" s="260"/>
      <c r="D69" s="260"/>
      <c r="E69" s="260"/>
      <c r="F69" s="224"/>
      <c r="G69" s="275"/>
      <c r="H69" s="209"/>
      <c r="I69" s="211"/>
      <c r="J69" s="269" t="e">
        <f>IF(#REF!="Yes","H",IF($B69="","",IF(AND($C69&lt;=#REF!,$D69&gt;=#REF!),IF($G69="","x","y"),"")))</f>
        <v>#REF!</v>
      </c>
      <c r="K69" s="270" t="e">
        <f>IF(#REF!="Yes","H",IF($B69="","",IF(AND($C69&lt;=#REF!,$D69&gt;=#REF!),IF($G69="","x","y"),"")))</f>
        <v>#REF!</v>
      </c>
      <c r="L69" s="270" t="e">
        <f>IF(#REF!="Yes","H",IF($B69="","",IF(AND($C69&lt;=#REF!,$D69&gt;=#REF!),IF($G69="","x","y"),"")))</f>
        <v>#REF!</v>
      </c>
      <c r="M69" s="270" t="e">
        <f>IF(#REF!="Yes","H",IF($B69="","",IF(AND($C69&lt;=#REF!,$D69&gt;=#REF!),IF($G69="","x","y"),"")))</f>
        <v>#REF!</v>
      </c>
      <c r="N69" s="271" t="e">
        <f>IF(#REF!="Yes","H",IF($B69="","",IF(AND($C69&lt;=#REF!,$D69&gt;=#REF!),IF($G69="","x","y"),"")))</f>
        <v>#REF!</v>
      </c>
      <c r="O69" s="272" t="e">
        <f>IF(#REF!="Yes","H",IF($B69="","",IF(AND($C69&lt;=#REF!,$D69&gt;=#REF!),IF($G69="","x","y"),"")))</f>
        <v>#REF!</v>
      </c>
      <c r="P69" s="270" t="e">
        <f>IF(#REF!="Yes","H",IF($B69="","",IF(AND($C69&lt;=#REF!,$D69&gt;=#REF!),IF($G69="","x","y"),"")))</f>
        <v>#REF!</v>
      </c>
      <c r="Q69" s="270" t="e">
        <f>IF(#REF!="Yes","H",IF($B69="","",IF(AND($C69&lt;=#REF!,$D69&gt;=#REF!),IF($G69="","x","y"),"")))</f>
        <v>#REF!</v>
      </c>
      <c r="R69" s="270" t="e">
        <f>IF(#REF!="Yes","H",IF($B69="","",IF(AND($C69&lt;=#REF!,$D69&gt;=#REF!),IF($G69="","x","y"),"")))</f>
        <v>#REF!</v>
      </c>
      <c r="S69" s="273" t="e">
        <f>IF(#REF!="Yes","H",IF($B69="","",IF(AND($C69&lt;=#REF!,$D69&gt;=#REF!),IF($G69="","x","y"),"")))</f>
        <v>#REF!</v>
      </c>
      <c r="T69" s="274" t="e">
        <f>IF(#REF!="Yes","H",IF($B69="","",IF(AND($C69&lt;=#REF!,$D69&gt;=#REF!),IF($G69="","x","y"),"")))</f>
        <v>#REF!</v>
      </c>
      <c r="U69" s="270" t="e">
        <f>IF(#REF!="Yes","H",IF($B69="","",IF(AND($C69&lt;=#REF!,$D69&gt;=#REF!),IF($G69="","x","y"),"")))</f>
        <v>#REF!</v>
      </c>
      <c r="V69" s="270" t="e">
        <f>IF(#REF!="Yes","H",IF($B69="","",IF(AND($C69&lt;=#REF!,$D69&gt;=#REF!),IF($G69="","x","y"),"")))</f>
        <v>#REF!</v>
      </c>
      <c r="W69" s="270" t="e">
        <f>IF(#REF!="Yes","H",IF($B69="","",IF(AND($C69&lt;=#REF!,$D69&gt;=#REF!),IF($G69="","x","y"),"")))</f>
        <v>#REF!</v>
      </c>
      <c r="X69" s="271" t="e">
        <f>IF(#REF!="Yes","H",IF($B69="","",IF(AND($C69&lt;=#REF!,$D69&gt;=#REF!),IF($G69="","x","y"),"")))</f>
        <v>#REF!</v>
      </c>
      <c r="Y69" s="272" t="e">
        <f>IF(#REF!="Yes","H",IF($B69="","",IF(AND($C69&lt;=#REF!,$D69&gt;=#REF!),IF($G69="","x","y"),"")))</f>
        <v>#REF!</v>
      </c>
      <c r="Z69" s="270" t="e">
        <f>IF(#REF!="Yes","H",IF($B69="","",IF(AND($C69&lt;=#REF!,$D69&gt;=#REF!),IF($G69="","x","y"),"")))</f>
        <v>#REF!</v>
      </c>
      <c r="AA69" s="270" t="e">
        <f>IF(#REF!="Yes","H",IF($B69="","",IF(AND($C69&lt;=#REF!,$D69&gt;=#REF!),IF($G69="","x","y"),"")))</f>
        <v>#REF!</v>
      </c>
      <c r="AB69" s="270" t="e">
        <f>IF(#REF!="Yes","H",IF($B69="","",IF(AND($C69&lt;=#REF!,$D69&gt;=#REF!),IF($G69="","x","y"),"")))</f>
        <v>#REF!</v>
      </c>
      <c r="AC69" s="273" t="e">
        <f>IF(#REF!="Yes","H",IF($B69="","",IF(AND($C69&lt;=#REF!,$D69&gt;=#REF!),IF($G69="","x","y"),"")))</f>
        <v>#REF!</v>
      </c>
      <c r="AD69" s="274" t="e">
        <f>IF(#REF!="Yes","H",IF($B69="","",IF(AND($C69&lt;=#REF!,$D69&gt;=#REF!),IF($G69="","x","y"),"")))</f>
        <v>#REF!</v>
      </c>
      <c r="AE69" s="270" t="e">
        <f>IF(#REF!="Yes","H",IF($B69="","",IF(AND($C69&lt;=#REF!,$D69&gt;=#REF!),IF($G69="","x","y"),"")))</f>
        <v>#REF!</v>
      </c>
      <c r="AF69" s="270" t="e">
        <f>IF(#REF!="Yes","H",IF($B69="","",IF(AND($C69&lt;=#REF!,$D69&gt;=#REF!),IF($G69="","x","y"),"")))</f>
        <v>#REF!</v>
      </c>
      <c r="AG69" s="270" t="e">
        <f>IF(#REF!="Yes","H",IF($B69="","",IF(AND($C69&lt;=#REF!,$D69&gt;=#REF!),IF($G69="","x","y"),"")))</f>
        <v>#REF!</v>
      </c>
      <c r="AH69" s="271" t="e">
        <f>IF(#REF!="Yes","H",IF($B69="","",IF(AND($C69&lt;=#REF!,$D69&gt;=#REF!),IF($G69="","x","y"),"")))</f>
        <v>#REF!</v>
      </c>
      <c r="AI69" s="272" t="e">
        <f>IF(#REF!="Yes","H",IF($B69="","",IF(AND($C69&lt;=#REF!,$D69&gt;=#REF!),IF($G69="","x","y"),"")))</f>
        <v>#REF!</v>
      </c>
      <c r="AJ69" s="270" t="e">
        <f>IF(#REF!="Yes","H",IF($B69="","",IF(AND($C69&lt;=#REF!,$D69&gt;=#REF!),IF($G69="","x","y"),"")))</f>
        <v>#REF!</v>
      </c>
      <c r="AK69" s="270" t="e">
        <f>IF(#REF!="Yes","H",IF($B69="","",IF(AND($C69&lt;=#REF!,$D69&gt;=#REF!),IF($G69="","x","y"),"")))</f>
        <v>#REF!</v>
      </c>
      <c r="AL69" s="270" t="e">
        <f>IF(#REF!="Yes","H",IF($B69="","",IF(AND($C69&lt;=#REF!,$D69&gt;=#REF!),IF($G69="","x","y"),"")))</f>
        <v>#REF!</v>
      </c>
      <c r="AM69" s="273" t="e">
        <f>IF(#REF!="Yes","H",IF($B69="","",IF(AND($C69&lt;=#REF!,$D69&gt;=#REF!),IF($G69="","x","y"),"")))</f>
        <v>#REF!</v>
      </c>
      <c r="AN69" s="274" t="e">
        <f>IF(#REF!="Yes","H",IF($B69="","",IF(AND($C69&lt;=#REF!,$D69&gt;=#REF!),IF($G69="","x","y"),"")))</f>
        <v>#REF!</v>
      </c>
      <c r="AO69" s="270" t="e">
        <f>IF(#REF!="Yes","H",IF($B69="","",IF(AND($C69&lt;=#REF!,$D69&gt;=#REF!),IF($G69="","x","y"),"")))</f>
        <v>#REF!</v>
      </c>
      <c r="AP69" s="270" t="e">
        <f>IF(#REF!="Yes","H",IF($B69="","",IF(AND($C69&lt;=#REF!,$D69&gt;=#REF!),IF($G69="","x","y"),"")))</f>
        <v>#REF!</v>
      </c>
      <c r="AQ69" s="270" t="e">
        <f>IF(#REF!="Yes","H",IF($B69="","",IF(AND($C69&lt;=#REF!,$D69&gt;=#REF!),IF($G69="","x","y"),"")))</f>
        <v>#REF!</v>
      </c>
      <c r="AR69" s="271" t="e">
        <f>IF(#REF!="Yes","H",IF($B69="","",IF(AND($C69&lt;=#REF!,$D69&gt;=#REF!),IF($G69="","x","y"),"")))</f>
        <v>#REF!</v>
      </c>
      <c r="AS69" s="272" t="e">
        <f>IF(#REF!="Yes","H",IF($B69="","",IF(AND($C69&lt;=#REF!,$D69&gt;=#REF!),IF($G69="","x","y"),"")))</f>
        <v>#REF!</v>
      </c>
      <c r="AT69" s="270" t="e">
        <f>IF(#REF!="Yes","H",IF($B69="","",IF(AND($C69&lt;=#REF!,$D69&gt;=#REF!),IF($G69="","x","y"),"")))</f>
        <v>#REF!</v>
      </c>
      <c r="AU69" s="270" t="e">
        <f>IF(#REF!="Yes","H",IF($B69="","",IF(AND($C69&lt;=#REF!,$D69&gt;=#REF!),IF($G69="","x","y"),"")))</f>
        <v>#REF!</v>
      </c>
      <c r="AV69" s="270" t="e">
        <f>IF(#REF!="Yes","H",IF($B69="","",IF(AND($C69&lt;=#REF!,$D69&gt;=#REF!),IF($G69="","x","y"),"")))</f>
        <v>#REF!</v>
      </c>
      <c r="AW69" s="273" t="e">
        <f>IF(#REF!="Yes","H",IF($B69="","",IF(AND($C69&lt;=#REF!,$D69&gt;=#REF!),IF($G69="","x","y"),"")))</f>
        <v>#REF!</v>
      </c>
      <c r="AX69" s="274" t="e">
        <f>IF(#REF!="Yes","H",IF($B69="","",IF(AND($C69&lt;=#REF!,$D69&gt;=#REF!),IF($G69="","x","y"),"")))</f>
        <v>#REF!</v>
      </c>
      <c r="AY69" s="270" t="e">
        <f>IF(#REF!="Yes","H",IF($B69="","",IF(AND($C69&lt;=#REF!,$D69&gt;=#REF!),IF($G69="","x","y"),"")))</f>
        <v>#REF!</v>
      </c>
      <c r="AZ69" s="270" t="e">
        <f>IF(#REF!="Yes","H",IF($B69="","",IF(AND($C69&lt;=#REF!,$D69&gt;=#REF!),IF($G69="","x","y"),"")))</f>
        <v>#REF!</v>
      </c>
      <c r="BA69" s="270" t="e">
        <f>IF(#REF!="Yes","H",IF($B69="","",IF(AND($C69&lt;=#REF!,$D69&gt;=#REF!),IF($G69="","x","y"),"")))</f>
        <v>#REF!</v>
      </c>
      <c r="BB69" s="271" t="e">
        <f>IF(#REF!="Yes","H",IF($B69="","",IF(AND($C69&lt;=#REF!,$D69&gt;=#REF!),IF($G69="","x","y"),"")))</f>
        <v>#REF!</v>
      </c>
      <c r="BC69" s="272" t="e">
        <f>IF(#REF!="Yes","H",IF($B69="","",IF(AND($C69&lt;=#REF!,$D69&gt;=#REF!),IF($G69="","x","y"),"")))</f>
        <v>#REF!</v>
      </c>
      <c r="BD69" s="270" t="e">
        <f>IF(#REF!="Yes","H",IF($B69="","",IF(AND($C69&lt;=#REF!,$D69&gt;=#REF!),IF($G69="","x","y"),"")))</f>
        <v>#REF!</v>
      </c>
      <c r="BE69" s="270" t="e">
        <f>IF(#REF!="Yes","H",IF($B69="","",IF(AND($C69&lt;=#REF!,$D69&gt;=#REF!),IF($G69="","x","y"),"")))</f>
        <v>#REF!</v>
      </c>
      <c r="BF69" s="270" t="e">
        <f>IF(#REF!="Yes","H",IF($B69="","",IF(AND($C69&lt;=#REF!,$D69&gt;=#REF!),IF($G69="","x","y"),"")))</f>
        <v>#REF!</v>
      </c>
      <c r="BG69" s="273" t="e">
        <f>IF(#REF!="Yes","H",IF($B69="","",IF(AND($C69&lt;=#REF!,$D69&gt;=#REF!),IF($G69="","x","y"),"")))</f>
        <v>#REF!</v>
      </c>
      <c r="BH69" s="274" t="e">
        <f>IF(#REF!="Yes","H",IF($B69="","",IF(AND($C69&lt;=#REF!,$D69&gt;=#REF!),IF($G69="","x","y"),"")))</f>
        <v>#REF!</v>
      </c>
      <c r="BI69" s="270" t="e">
        <f>IF(#REF!="Yes","H",IF($B69="","",IF(AND($C69&lt;=#REF!,$D69&gt;=#REF!),IF($G69="","x","y"),"")))</f>
        <v>#REF!</v>
      </c>
      <c r="BJ69" s="270" t="e">
        <f>IF(#REF!="Yes","H",IF($B69="","",IF(AND($C69&lt;=#REF!,$D69&gt;=#REF!),IF($G69="","x","y"),"")))</f>
        <v>#REF!</v>
      </c>
      <c r="BK69" s="270" t="e">
        <f>IF(#REF!="Yes","H",IF($B69="","",IF(AND($C69&lt;=#REF!,$D69&gt;=#REF!),IF($G69="","x","y"),"")))</f>
        <v>#REF!</v>
      </c>
      <c r="BL69" s="271" t="e">
        <f>IF(#REF!="Yes","H",IF($B69="","",IF(AND($C69&lt;=#REF!,$D69&gt;=#REF!),IF($G69="","x","y"),"")))</f>
        <v>#REF!</v>
      </c>
      <c r="BM69" s="272" t="e">
        <f>IF(#REF!="Yes","H",IF($B69="","",IF(AND($C69&lt;=#REF!,$D69&gt;=#REF!),IF($G69="","x","y"),"")))</f>
        <v>#REF!</v>
      </c>
      <c r="BN69" s="270" t="e">
        <f>IF(#REF!="Yes","H",IF($B69="","",IF(AND($C69&lt;=#REF!,$D69&gt;=#REF!),IF($G69="","x","y"),"")))</f>
        <v>#REF!</v>
      </c>
      <c r="BO69" s="270" t="e">
        <f>IF(#REF!="Yes","H",IF($B69="","",IF(AND($C69&lt;=#REF!,$D69&gt;=#REF!),IF($G69="","x","y"),"")))</f>
        <v>#REF!</v>
      </c>
      <c r="BP69" s="270" t="e">
        <f>IF(#REF!="Yes","H",IF($B69="","",IF(AND($C69&lt;=#REF!,$D69&gt;=#REF!),IF($G69="","x","y"),"")))</f>
        <v>#REF!</v>
      </c>
      <c r="BQ69" s="273" t="e">
        <f>IF(#REF!="Yes","H",IF($B69="","",IF(AND($C69&lt;=#REF!,$D69&gt;=#REF!),IF($G69="","x","y"),"")))</f>
        <v>#REF!</v>
      </c>
      <c r="BR69" s="274" t="e">
        <f>IF(#REF!="Yes","H",IF($B69="","",IF(AND($C69&lt;=#REF!,$D69&gt;=#REF!),IF($G69="","x","y"),"")))</f>
        <v>#REF!</v>
      </c>
      <c r="BS69" s="270" t="e">
        <f>IF(#REF!="Yes","H",IF($B69="","",IF(AND($C69&lt;=#REF!,$D69&gt;=#REF!),IF($G69="","x","y"),"")))</f>
        <v>#REF!</v>
      </c>
      <c r="BT69" s="270" t="e">
        <f>IF(#REF!="Yes","H",IF($B69="","",IF(AND($C69&lt;=#REF!,$D69&gt;=#REF!),IF($G69="","x","y"),"")))</f>
        <v>#REF!</v>
      </c>
      <c r="BU69" s="270" t="e">
        <f>IF(#REF!="Yes","H",IF($B69="","",IF(AND($C69&lt;=#REF!,$D69&gt;=#REF!),IF($G69="","x","y"),"")))</f>
        <v>#REF!</v>
      </c>
      <c r="BV69" s="271" t="e">
        <f>IF(#REF!="Yes","H",IF($B69="","",IF(AND($C69&lt;=#REF!,$D69&gt;=#REF!),IF($G69="","x","y"),"")))</f>
        <v>#REF!</v>
      </c>
      <c r="BW69" s="272" t="e">
        <f>IF(#REF!="Yes","H",IF($B69="","",IF(AND($C69&lt;=#REF!,$D69&gt;=#REF!),IF($G69="","x","y"),"")))</f>
        <v>#REF!</v>
      </c>
      <c r="BX69" s="270" t="e">
        <f>IF(#REF!="Yes","H",IF($B69="","",IF(AND($C69&lt;=#REF!,$D69&gt;=#REF!),IF($G69="","x","y"),"")))</f>
        <v>#REF!</v>
      </c>
      <c r="BY69" s="270" t="e">
        <f>IF(#REF!="Yes","H",IF($B69="","",IF(AND($C69&lt;=#REF!,$D69&gt;=#REF!),IF($G69="","x","y"),"")))</f>
        <v>#REF!</v>
      </c>
      <c r="BZ69" s="270" t="e">
        <f>IF(#REF!="Yes","H",IF($B69="","",IF(AND($C69&lt;=#REF!,$D69&gt;=#REF!),IF($G69="","x","y"),"")))</f>
        <v>#REF!</v>
      </c>
      <c r="CA69" s="273" t="e">
        <f>IF(#REF!="Yes","H",IF($B69="","",IF(AND($C69&lt;=#REF!,$D69&gt;=#REF!),IF($G69="","x","y"),"")))</f>
        <v>#REF!</v>
      </c>
    </row>
    <row r="70" spans="2:79" ht="15" customHeight="1">
      <c r="B70" s="278"/>
      <c r="C70" s="260"/>
      <c r="D70" s="260"/>
      <c r="E70" s="260"/>
      <c r="F70" s="224"/>
      <c r="G70" s="275"/>
      <c r="H70" s="209"/>
      <c r="I70" s="211"/>
      <c r="J70" s="269" t="e">
        <f>IF(#REF!="Yes","H",IF($B70="","",IF(AND($C70&lt;=#REF!,$D70&gt;=#REF!),IF($G70="","x","y"),"")))</f>
        <v>#REF!</v>
      </c>
      <c r="K70" s="270" t="e">
        <f>IF(#REF!="Yes","H",IF($B70="","",IF(AND($C70&lt;=#REF!,$D70&gt;=#REF!),IF($G70="","x","y"),"")))</f>
        <v>#REF!</v>
      </c>
      <c r="L70" s="270" t="e">
        <f>IF(#REF!="Yes","H",IF($B70="","",IF(AND($C70&lt;=#REF!,$D70&gt;=#REF!),IF($G70="","x","y"),"")))</f>
        <v>#REF!</v>
      </c>
      <c r="M70" s="270" t="e">
        <f>IF(#REF!="Yes","H",IF($B70="","",IF(AND($C70&lt;=#REF!,$D70&gt;=#REF!),IF($G70="","x","y"),"")))</f>
        <v>#REF!</v>
      </c>
      <c r="N70" s="271" t="e">
        <f>IF(#REF!="Yes","H",IF($B70="","",IF(AND($C70&lt;=#REF!,$D70&gt;=#REF!),IF($G70="","x","y"),"")))</f>
        <v>#REF!</v>
      </c>
      <c r="O70" s="272" t="e">
        <f>IF(#REF!="Yes","H",IF($B70="","",IF(AND($C70&lt;=#REF!,$D70&gt;=#REF!),IF($G70="","x","y"),"")))</f>
        <v>#REF!</v>
      </c>
      <c r="P70" s="270" t="e">
        <f>IF(#REF!="Yes","H",IF($B70="","",IF(AND($C70&lt;=#REF!,$D70&gt;=#REF!),IF($G70="","x","y"),"")))</f>
        <v>#REF!</v>
      </c>
      <c r="Q70" s="270" t="e">
        <f>IF(#REF!="Yes","H",IF($B70="","",IF(AND($C70&lt;=#REF!,$D70&gt;=#REF!),IF($G70="","x","y"),"")))</f>
        <v>#REF!</v>
      </c>
      <c r="R70" s="270" t="e">
        <f>IF(#REF!="Yes","H",IF($B70="","",IF(AND($C70&lt;=#REF!,$D70&gt;=#REF!),IF($G70="","x","y"),"")))</f>
        <v>#REF!</v>
      </c>
      <c r="S70" s="273" t="e">
        <f>IF(#REF!="Yes","H",IF($B70="","",IF(AND($C70&lt;=#REF!,$D70&gt;=#REF!),IF($G70="","x","y"),"")))</f>
        <v>#REF!</v>
      </c>
      <c r="T70" s="274" t="e">
        <f>IF(#REF!="Yes","H",IF($B70="","",IF(AND($C70&lt;=#REF!,$D70&gt;=#REF!),IF($G70="","x","y"),"")))</f>
        <v>#REF!</v>
      </c>
      <c r="U70" s="270" t="e">
        <f>IF(#REF!="Yes","H",IF($B70="","",IF(AND($C70&lt;=#REF!,$D70&gt;=#REF!),IF($G70="","x","y"),"")))</f>
        <v>#REF!</v>
      </c>
      <c r="V70" s="270" t="e">
        <f>IF(#REF!="Yes","H",IF($B70="","",IF(AND($C70&lt;=#REF!,$D70&gt;=#REF!),IF($G70="","x","y"),"")))</f>
        <v>#REF!</v>
      </c>
      <c r="W70" s="270" t="e">
        <f>IF(#REF!="Yes","H",IF($B70="","",IF(AND($C70&lt;=#REF!,$D70&gt;=#REF!),IF($G70="","x","y"),"")))</f>
        <v>#REF!</v>
      </c>
      <c r="X70" s="271" t="e">
        <f>IF(#REF!="Yes","H",IF($B70="","",IF(AND($C70&lt;=#REF!,$D70&gt;=#REF!),IF($G70="","x","y"),"")))</f>
        <v>#REF!</v>
      </c>
      <c r="Y70" s="272" t="e">
        <f>IF(#REF!="Yes","H",IF($B70="","",IF(AND($C70&lt;=#REF!,$D70&gt;=#REF!),IF($G70="","x","y"),"")))</f>
        <v>#REF!</v>
      </c>
      <c r="Z70" s="270" t="e">
        <f>IF(#REF!="Yes","H",IF($B70="","",IF(AND($C70&lt;=#REF!,$D70&gt;=#REF!),IF($G70="","x","y"),"")))</f>
        <v>#REF!</v>
      </c>
      <c r="AA70" s="270" t="e">
        <f>IF(#REF!="Yes","H",IF($B70="","",IF(AND($C70&lt;=#REF!,$D70&gt;=#REF!),IF($G70="","x","y"),"")))</f>
        <v>#REF!</v>
      </c>
      <c r="AB70" s="270" t="e">
        <f>IF(#REF!="Yes","H",IF($B70="","",IF(AND($C70&lt;=#REF!,$D70&gt;=#REF!),IF($G70="","x","y"),"")))</f>
        <v>#REF!</v>
      </c>
      <c r="AC70" s="273" t="e">
        <f>IF(#REF!="Yes","H",IF($B70="","",IF(AND($C70&lt;=#REF!,$D70&gt;=#REF!),IF($G70="","x","y"),"")))</f>
        <v>#REF!</v>
      </c>
      <c r="AD70" s="274" t="e">
        <f>IF(#REF!="Yes","H",IF($B70="","",IF(AND($C70&lt;=#REF!,$D70&gt;=#REF!),IF($G70="","x","y"),"")))</f>
        <v>#REF!</v>
      </c>
      <c r="AE70" s="270" t="e">
        <f>IF(#REF!="Yes","H",IF($B70="","",IF(AND($C70&lt;=#REF!,$D70&gt;=#REF!),IF($G70="","x","y"),"")))</f>
        <v>#REF!</v>
      </c>
      <c r="AF70" s="270" t="e">
        <f>IF(#REF!="Yes","H",IF($B70="","",IF(AND($C70&lt;=#REF!,$D70&gt;=#REF!),IF($G70="","x","y"),"")))</f>
        <v>#REF!</v>
      </c>
      <c r="AG70" s="270" t="e">
        <f>IF(#REF!="Yes","H",IF($B70="","",IF(AND($C70&lt;=#REF!,$D70&gt;=#REF!),IF($G70="","x","y"),"")))</f>
        <v>#REF!</v>
      </c>
      <c r="AH70" s="271" t="e">
        <f>IF(#REF!="Yes","H",IF($B70="","",IF(AND($C70&lt;=#REF!,$D70&gt;=#REF!),IF($G70="","x","y"),"")))</f>
        <v>#REF!</v>
      </c>
      <c r="AI70" s="272" t="e">
        <f>IF(#REF!="Yes","H",IF($B70="","",IF(AND($C70&lt;=#REF!,$D70&gt;=#REF!),IF($G70="","x","y"),"")))</f>
        <v>#REF!</v>
      </c>
      <c r="AJ70" s="270" t="e">
        <f>IF(#REF!="Yes","H",IF($B70="","",IF(AND($C70&lt;=#REF!,$D70&gt;=#REF!),IF($G70="","x","y"),"")))</f>
        <v>#REF!</v>
      </c>
      <c r="AK70" s="270" t="e">
        <f>IF(#REF!="Yes","H",IF($B70="","",IF(AND($C70&lt;=#REF!,$D70&gt;=#REF!),IF($G70="","x","y"),"")))</f>
        <v>#REF!</v>
      </c>
      <c r="AL70" s="270" t="e">
        <f>IF(#REF!="Yes","H",IF($B70="","",IF(AND($C70&lt;=#REF!,$D70&gt;=#REF!),IF($G70="","x","y"),"")))</f>
        <v>#REF!</v>
      </c>
      <c r="AM70" s="273" t="e">
        <f>IF(#REF!="Yes","H",IF($B70="","",IF(AND($C70&lt;=#REF!,$D70&gt;=#REF!),IF($G70="","x","y"),"")))</f>
        <v>#REF!</v>
      </c>
      <c r="AN70" s="274" t="e">
        <f>IF(#REF!="Yes","H",IF($B70="","",IF(AND($C70&lt;=#REF!,$D70&gt;=#REF!),IF($G70="","x","y"),"")))</f>
        <v>#REF!</v>
      </c>
      <c r="AO70" s="270" t="e">
        <f>IF(#REF!="Yes","H",IF($B70="","",IF(AND($C70&lt;=#REF!,$D70&gt;=#REF!),IF($G70="","x","y"),"")))</f>
        <v>#REF!</v>
      </c>
      <c r="AP70" s="270" t="e">
        <f>IF(#REF!="Yes","H",IF($B70="","",IF(AND($C70&lt;=#REF!,$D70&gt;=#REF!),IF($G70="","x","y"),"")))</f>
        <v>#REF!</v>
      </c>
      <c r="AQ70" s="270" t="e">
        <f>IF(#REF!="Yes","H",IF($B70="","",IF(AND($C70&lt;=#REF!,$D70&gt;=#REF!),IF($G70="","x","y"),"")))</f>
        <v>#REF!</v>
      </c>
      <c r="AR70" s="271" t="e">
        <f>IF(#REF!="Yes","H",IF($B70="","",IF(AND($C70&lt;=#REF!,$D70&gt;=#REF!),IF($G70="","x","y"),"")))</f>
        <v>#REF!</v>
      </c>
      <c r="AS70" s="272" t="e">
        <f>IF(#REF!="Yes","H",IF($B70="","",IF(AND($C70&lt;=#REF!,$D70&gt;=#REF!),IF($G70="","x","y"),"")))</f>
        <v>#REF!</v>
      </c>
      <c r="AT70" s="270" t="e">
        <f>IF(#REF!="Yes","H",IF($B70="","",IF(AND($C70&lt;=#REF!,$D70&gt;=#REF!),IF($G70="","x","y"),"")))</f>
        <v>#REF!</v>
      </c>
      <c r="AU70" s="270" t="e">
        <f>IF(#REF!="Yes","H",IF($B70="","",IF(AND($C70&lt;=#REF!,$D70&gt;=#REF!),IF($G70="","x","y"),"")))</f>
        <v>#REF!</v>
      </c>
      <c r="AV70" s="270" t="e">
        <f>IF(#REF!="Yes","H",IF($B70="","",IF(AND($C70&lt;=#REF!,$D70&gt;=#REF!),IF($G70="","x","y"),"")))</f>
        <v>#REF!</v>
      </c>
      <c r="AW70" s="273" t="e">
        <f>IF(#REF!="Yes","H",IF($B70="","",IF(AND($C70&lt;=#REF!,$D70&gt;=#REF!),IF($G70="","x","y"),"")))</f>
        <v>#REF!</v>
      </c>
      <c r="AX70" s="274" t="e">
        <f>IF(#REF!="Yes","H",IF($B70="","",IF(AND($C70&lt;=#REF!,$D70&gt;=#REF!),IF($G70="","x","y"),"")))</f>
        <v>#REF!</v>
      </c>
      <c r="AY70" s="270" t="e">
        <f>IF(#REF!="Yes","H",IF($B70="","",IF(AND($C70&lt;=#REF!,$D70&gt;=#REF!),IF($G70="","x","y"),"")))</f>
        <v>#REF!</v>
      </c>
      <c r="AZ70" s="270" t="e">
        <f>IF(#REF!="Yes","H",IF($B70="","",IF(AND($C70&lt;=#REF!,$D70&gt;=#REF!),IF($G70="","x","y"),"")))</f>
        <v>#REF!</v>
      </c>
      <c r="BA70" s="270" t="e">
        <f>IF(#REF!="Yes","H",IF($B70="","",IF(AND($C70&lt;=#REF!,$D70&gt;=#REF!),IF($G70="","x","y"),"")))</f>
        <v>#REF!</v>
      </c>
      <c r="BB70" s="271" t="e">
        <f>IF(#REF!="Yes","H",IF($B70="","",IF(AND($C70&lt;=#REF!,$D70&gt;=#REF!),IF($G70="","x","y"),"")))</f>
        <v>#REF!</v>
      </c>
      <c r="BC70" s="272" t="e">
        <f>IF(#REF!="Yes","H",IF($B70="","",IF(AND($C70&lt;=#REF!,$D70&gt;=#REF!),IF($G70="","x","y"),"")))</f>
        <v>#REF!</v>
      </c>
      <c r="BD70" s="270" t="e">
        <f>IF(#REF!="Yes","H",IF($B70="","",IF(AND($C70&lt;=#REF!,$D70&gt;=#REF!),IF($G70="","x","y"),"")))</f>
        <v>#REF!</v>
      </c>
      <c r="BE70" s="270" t="e">
        <f>IF(#REF!="Yes","H",IF($B70="","",IF(AND($C70&lt;=#REF!,$D70&gt;=#REF!),IF($G70="","x","y"),"")))</f>
        <v>#REF!</v>
      </c>
      <c r="BF70" s="270" t="e">
        <f>IF(#REF!="Yes","H",IF($B70="","",IF(AND($C70&lt;=#REF!,$D70&gt;=#REF!),IF($G70="","x","y"),"")))</f>
        <v>#REF!</v>
      </c>
      <c r="BG70" s="273" t="e">
        <f>IF(#REF!="Yes","H",IF($B70="","",IF(AND($C70&lt;=#REF!,$D70&gt;=#REF!),IF($G70="","x","y"),"")))</f>
        <v>#REF!</v>
      </c>
      <c r="BH70" s="274" t="e">
        <f>IF(#REF!="Yes","H",IF($B70="","",IF(AND($C70&lt;=#REF!,$D70&gt;=#REF!),IF($G70="","x","y"),"")))</f>
        <v>#REF!</v>
      </c>
      <c r="BI70" s="270" t="e">
        <f>IF(#REF!="Yes","H",IF($B70="","",IF(AND($C70&lt;=#REF!,$D70&gt;=#REF!),IF($G70="","x","y"),"")))</f>
        <v>#REF!</v>
      </c>
      <c r="BJ70" s="270" t="e">
        <f>IF(#REF!="Yes","H",IF($B70="","",IF(AND($C70&lt;=#REF!,$D70&gt;=#REF!),IF($G70="","x","y"),"")))</f>
        <v>#REF!</v>
      </c>
      <c r="BK70" s="270" t="e">
        <f>IF(#REF!="Yes","H",IF($B70="","",IF(AND($C70&lt;=#REF!,$D70&gt;=#REF!),IF($G70="","x","y"),"")))</f>
        <v>#REF!</v>
      </c>
      <c r="BL70" s="271" t="e">
        <f>IF(#REF!="Yes","H",IF($B70="","",IF(AND($C70&lt;=#REF!,$D70&gt;=#REF!),IF($G70="","x","y"),"")))</f>
        <v>#REF!</v>
      </c>
      <c r="BM70" s="272" t="e">
        <f>IF(#REF!="Yes","H",IF($B70="","",IF(AND($C70&lt;=#REF!,$D70&gt;=#REF!),IF($G70="","x","y"),"")))</f>
        <v>#REF!</v>
      </c>
      <c r="BN70" s="270" t="e">
        <f>IF(#REF!="Yes","H",IF($B70="","",IF(AND($C70&lt;=#REF!,$D70&gt;=#REF!),IF($G70="","x","y"),"")))</f>
        <v>#REF!</v>
      </c>
      <c r="BO70" s="270" t="e">
        <f>IF(#REF!="Yes","H",IF($B70="","",IF(AND($C70&lt;=#REF!,$D70&gt;=#REF!),IF($G70="","x","y"),"")))</f>
        <v>#REF!</v>
      </c>
      <c r="BP70" s="270" t="e">
        <f>IF(#REF!="Yes","H",IF($B70="","",IF(AND($C70&lt;=#REF!,$D70&gt;=#REF!),IF($G70="","x","y"),"")))</f>
        <v>#REF!</v>
      </c>
      <c r="BQ70" s="273" t="e">
        <f>IF(#REF!="Yes","H",IF($B70="","",IF(AND($C70&lt;=#REF!,$D70&gt;=#REF!),IF($G70="","x","y"),"")))</f>
        <v>#REF!</v>
      </c>
      <c r="BR70" s="274" t="e">
        <f>IF(#REF!="Yes","H",IF($B70="","",IF(AND($C70&lt;=#REF!,$D70&gt;=#REF!),IF($G70="","x","y"),"")))</f>
        <v>#REF!</v>
      </c>
      <c r="BS70" s="270" t="e">
        <f>IF(#REF!="Yes","H",IF($B70="","",IF(AND($C70&lt;=#REF!,$D70&gt;=#REF!),IF($G70="","x","y"),"")))</f>
        <v>#REF!</v>
      </c>
      <c r="BT70" s="270" t="e">
        <f>IF(#REF!="Yes","H",IF($B70="","",IF(AND($C70&lt;=#REF!,$D70&gt;=#REF!),IF($G70="","x","y"),"")))</f>
        <v>#REF!</v>
      </c>
      <c r="BU70" s="270" t="e">
        <f>IF(#REF!="Yes","H",IF($B70="","",IF(AND($C70&lt;=#REF!,$D70&gt;=#REF!),IF($G70="","x","y"),"")))</f>
        <v>#REF!</v>
      </c>
      <c r="BV70" s="271" t="e">
        <f>IF(#REF!="Yes","H",IF($B70="","",IF(AND($C70&lt;=#REF!,$D70&gt;=#REF!),IF($G70="","x","y"),"")))</f>
        <v>#REF!</v>
      </c>
      <c r="BW70" s="272" t="e">
        <f>IF(#REF!="Yes","H",IF($B70="","",IF(AND($C70&lt;=#REF!,$D70&gt;=#REF!),IF($G70="","x","y"),"")))</f>
        <v>#REF!</v>
      </c>
      <c r="BX70" s="270" t="e">
        <f>IF(#REF!="Yes","H",IF($B70="","",IF(AND($C70&lt;=#REF!,$D70&gt;=#REF!),IF($G70="","x","y"),"")))</f>
        <v>#REF!</v>
      </c>
      <c r="BY70" s="270" t="e">
        <f>IF(#REF!="Yes","H",IF($B70="","",IF(AND($C70&lt;=#REF!,$D70&gt;=#REF!),IF($G70="","x","y"),"")))</f>
        <v>#REF!</v>
      </c>
      <c r="BZ70" s="270" t="e">
        <f>IF(#REF!="Yes","H",IF($B70="","",IF(AND($C70&lt;=#REF!,$D70&gt;=#REF!),IF($G70="","x","y"),"")))</f>
        <v>#REF!</v>
      </c>
      <c r="CA70" s="273" t="e">
        <f>IF(#REF!="Yes","H",IF($B70="","",IF(AND($C70&lt;=#REF!,$D70&gt;=#REF!),IF($G70="","x","y"),"")))</f>
        <v>#REF!</v>
      </c>
    </row>
    <row r="71" spans="2:79" ht="15" customHeight="1">
      <c r="B71" s="278"/>
      <c r="C71" s="260"/>
      <c r="D71" s="260"/>
      <c r="E71" s="260"/>
      <c r="F71" s="224"/>
      <c r="G71" s="275"/>
      <c r="H71" s="209"/>
      <c r="I71" s="211"/>
      <c r="J71" s="269" t="e">
        <f>IF(#REF!="Yes","H",IF($B71="","",IF(AND($C71&lt;=#REF!,$D71&gt;=#REF!),IF($G71="","x","y"),"")))</f>
        <v>#REF!</v>
      </c>
      <c r="K71" s="270" t="e">
        <f>IF(#REF!="Yes","H",IF($B71="","",IF(AND($C71&lt;=#REF!,$D71&gt;=#REF!),IF($G71="","x","y"),"")))</f>
        <v>#REF!</v>
      </c>
      <c r="L71" s="270" t="e">
        <f>IF(#REF!="Yes","H",IF($B71="","",IF(AND($C71&lt;=#REF!,$D71&gt;=#REF!),IF($G71="","x","y"),"")))</f>
        <v>#REF!</v>
      </c>
      <c r="M71" s="270" t="e">
        <f>IF(#REF!="Yes","H",IF($B71="","",IF(AND($C71&lt;=#REF!,$D71&gt;=#REF!),IF($G71="","x","y"),"")))</f>
        <v>#REF!</v>
      </c>
      <c r="N71" s="271" t="e">
        <f>IF(#REF!="Yes","H",IF($B71="","",IF(AND($C71&lt;=#REF!,$D71&gt;=#REF!),IF($G71="","x","y"),"")))</f>
        <v>#REF!</v>
      </c>
      <c r="O71" s="272" t="e">
        <f>IF(#REF!="Yes","H",IF($B71="","",IF(AND($C71&lt;=#REF!,$D71&gt;=#REF!),IF($G71="","x","y"),"")))</f>
        <v>#REF!</v>
      </c>
      <c r="P71" s="270" t="e">
        <f>IF(#REF!="Yes","H",IF($B71="","",IF(AND($C71&lt;=#REF!,$D71&gt;=#REF!),IF($G71="","x","y"),"")))</f>
        <v>#REF!</v>
      </c>
      <c r="Q71" s="270" t="e">
        <f>IF(#REF!="Yes","H",IF($B71="","",IF(AND($C71&lt;=#REF!,$D71&gt;=#REF!),IF($G71="","x","y"),"")))</f>
        <v>#REF!</v>
      </c>
      <c r="R71" s="270" t="e">
        <f>IF(#REF!="Yes","H",IF($B71="","",IF(AND($C71&lt;=#REF!,$D71&gt;=#REF!),IF($G71="","x","y"),"")))</f>
        <v>#REF!</v>
      </c>
      <c r="S71" s="273" t="e">
        <f>IF(#REF!="Yes","H",IF($B71="","",IF(AND($C71&lt;=#REF!,$D71&gt;=#REF!),IF($G71="","x","y"),"")))</f>
        <v>#REF!</v>
      </c>
      <c r="T71" s="274" t="e">
        <f>IF(#REF!="Yes","H",IF($B71="","",IF(AND($C71&lt;=#REF!,$D71&gt;=#REF!),IF($G71="","x","y"),"")))</f>
        <v>#REF!</v>
      </c>
      <c r="U71" s="270" t="e">
        <f>IF(#REF!="Yes","H",IF($B71="","",IF(AND($C71&lt;=#REF!,$D71&gt;=#REF!),IF($G71="","x","y"),"")))</f>
        <v>#REF!</v>
      </c>
      <c r="V71" s="270" t="e">
        <f>IF(#REF!="Yes","H",IF($B71="","",IF(AND($C71&lt;=#REF!,$D71&gt;=#REF!),IF($G71="","x","y"),"")))</f>
        <v>#REF!</v>
      </c>
      <c r="W71" s="270" t="e">
        <f>IF(#REF!="Yes","H",IF($B71="","",IF(AND($C71&lt;=#REF!,$D71&gt;=#REF!),IF($G71="","x","y"),"")))</f>
        <v>#REF!</v>
      </c>
      <c r="X71" s="271" t="e">
        <f>IF(#REF!="Yes","H",IF($B71="","",IF(AND($C71&lt;=#REF!,$D71&gt;=#REF!),IF($G71="","x","y"),"")))</f>
        <v>#REF!</v>
      </c>
      <c r="Y71" s="272" t="e">
        <f>IF(#REF!="Yes","H",IF($B71="","",IF(AND($C71&lt;=#REF!,$D71&gt;=#REF!),IF($G71="","x","y"),"")))</f>
        <v>#REF!</v>
      </c>
      <c r="Z71" s="270" t="e">
        <f>IF(#REF!="Yes","H",IF($B71="","",IF(AND($C71&lt;=#REF!,$D71&gt;=#REF!),IF($G71="","x","y"),"")))</f>
        <v>#REF!</v>
      </c>
      <c r="AA71" s="270" t="e">
        <f>IF(#REF!="Yes","H",IF($B71="","",IF(AND($C71&lt;=#REF!,$D71&gt;=#REF!),IF($G71="","x","y"),"")))</f>
        <v>#REF!</v>
      </c>
      <c r="AB71" s="270" t="e">
        <f>IF(#REF!="Yes","H",IF($B71="","",IF(AND($C71&lt;=#REF!,$D71&gt;=#REF!),IF($G71="","x","y"),"")))</f>
        <v>#REF!</v>
      </c>
      <c r="AC71" s="273" t="e">
        <f>IF(#REF!="Yes","H",IF($B71="","",IF(AND($C71&lt;=#REF!,$D71&gt;=#REF!),IF($G71="","x","y"),"")))</f>
        <v>#REF!</v>
      </c>
      <c r="AD71" s="274" t="e">
        <f>IF(#REF!="Yes","H",IF($B71="","",IF(AND($C71&lt;=#REF!,$D71&gt;=#REF!),IF($G71="","x","y"),"")))</f>
        <v>#REF!</v>
      </c>
      <c r="AE71" s="270" t="e">
        <f>IF(#REF!="Yes","H",IF($B71="","",IF(AND($C71&lt;=#REF!,$D71&gt;=#REF!),IF($G71="","x","y"),"")))</f>
        <v>#REF!</v>
      </c>
      <c r="AF71" s="270" t="e">
        <f>IF(#REF!="Yes","H",IF($B71="","",IF(AND($C71&lt;=#REF!,$D71&gt;=#REF!),IF($G71="","x","y"),"")))</f>
        <v>#REF!</v>
      </c>
      <c r="AG71" s="270" t="e">
        <f>IF(#REF!="Yes","H",IF($B71="","",IF(AND($C71&lt;=#REF!,$D71&gt;=#REF!),IF($G71="","x","y"),"")))</f>
        <v>#REF!</v>
      </c>
      <c r="AH71" s="271" t="e">
        <f>IF(#REF!="Yes","H",IF($B71="","",IF(AND($C71&lt;=#REF!,$D71&gt;=#REF!),IF($G71="","x","y"),"")))</f>
        <v>#REF!</v>
      </c>
      <c r="AI71" s="272" t="e">
        <f>IF(#REF!="Yes","H",IF($B71="","",IF(AND($C71&lt;=#REF!,$D71&gt;=#REF!),IF($G71="","x","y"),"")))</f>
        <v>#REF!</v>
      </c>
      <c r="AJ71" s="270" t="e">
        <f>IF(#REF!="Yes","H",IF($B71="","",IF(AND($C71&lt;=#REF!,$D71&gt;=#REF!),IF($G71="","x","y"),"")))</f>
        <v>#REF!</v>
      </c>
      <c r="AK71" s="270" t="e">
        <f>IF(#REF!="Yes","H",IF($B71="","",IF(AND($C71&lt;=#REF!,$D71&gt;=#REF!),IF($G71="","x","y"),"")))</f>
        <v>#REF!</v>
      </c>
      <c r="AL71" s="270" t="e">
        <f>IF(#REF!="Yes","H",IF($B71="","",IF(AND($C71&lt;=#REF!,$D71&gt;=#REF!),IF($G71="","x","y"),"")))</f>
        <v>#REF!</v>
      </c>
      <c r="AM71" s="273" t="e">
        <f>IF(#REF!="Yes","H",IF($B71="","",IF(AND($C71&lt;=#REF!,$D71&gt;=#REF!),IF($G71="","x","y"),"")))</f>
        <v>#REF!</v>
      </c>
      <c r="AN71" s="274" t="e">
        <f>IF(#REF!="Yes","H",IF($B71="","",IF(AND($C71&lt;=#REF!,$D71&gt;=#REF!),IF($G71="","x","y"),"")))</f>
        <v>#REF!</v>
      </c>
      <c r="AO71" s="270" t="e">
        <f>IF(#REF!="Yes","H",IF($B71="","",IF(AND($C71&lt;=#REF!,$D71&gt;=#REF!),IF($G71="","x","y"),"")))</f>
        <v>#REF!</v>
      </c>
      <c r="AP71" s="270" t="e">
        <f>IF(#REF!="Yes","H",IF($B71="","",IF(AND($C71&lt;=#REF!,$D71&gt;=#REF!),IF($G71="","x","y"),"")))</f>
        <v>#REF!</v>
      </c>
      <c r="AQ71" s="270" t="e">
        <f>IF(#REF!="Yes","H",IF($B71="","",IF(AND($C71&lt;=#REF!,$D71&gt;=#REF!),IF($G71="","x","y"),"")))</f>
        <v>#REF!</v>
      </c>
      <c r="AR71" s="271" t="e">
        <f>IF(#REF!="Yes","H",IF($B71="","",IF(AND($C71&lt;=#REF!,$D71&gt;=#REF!),IF($G71="","x","y"),"")))</f>
        <v>#REF!</v>
      </c>
      <c r="AS71" s="272" t="e">
        <f>IF(#REF!="Yes","H",IF($B71="","",IF(AND($C71&lt;=#REF!,$D71&gt;=#REF!),IF($G71="","x","y"),"")))</f>
        <v>#REF!</v>
      </c>
      <c r="AT71" s="270" t="e">
        <f>IF(#REF!="Yes","H",IF($B71="","",IF(AND($C71&lt;=#REF!,$D71&gt;=#REF!),IF($G71="","x","y"),"")))</f>
        <v>#REF!</v>
      </c>
      <c r="AU71" s="270" t="e">
        <f>IF(#REF!="Yes","H",IF($B71="","",IF(AND($C71&lt;=#REF!,$D71&gt;=#REF!),IF($G71="","x","y"),"")))</f>
        <v>#REF!</v>
      </c>
      <c r="AV71" s="270" t="e">
        <f>IF(#REF!="Yes","H",IF($B71="","",IF(AND($C71&lt;=#REF!,$D71&gt;=#REF!),IF($G71="","x","y"),"")))</f>
        <v>#REF!</v>
      </c>
      <c r="AW71" s="273" t="e">
        <f>IF(#REF!="Yes","H",IF($B71="","",IF(AND($C71&lt;=#REF!,$D71&gt;=#REF!),IF($G71="","x","y"),"")))</f>
        <v>#REF!</v>
      </c>
      <c r="AX71" s="274" t="e">
        <f>IF(#REF!="Yes","H",IF($B71="","",IF(AND($C71&lt;=#REF!,$D71&gt;=#REF!),IF($G71="","x","y"),"")))</f>
        <v>#REF!</v>
      </c>
      <c r="AY71" s="270" t="e">
        <f>IF(#REF!="Yes","H",IF($B71="","",IF(AND($C71&lt;=#REF!,$D71&gt;=#REF!),IF($G71="","x","y"),"")))</f>
        <v>#REF!</v>
      </c>
      <c r="AZ71" s="270" t="e">
        <f>IF(#REF!="Yes","H",IF($B71="","",IF(AND($C71&lt;=#REF!,$D71&gt;=#REF!),IF($G71="","x","y"),"")))</f>
        <v>#REF!</v>
      </c>
      <c r="BA71" s="270" t="e">
        <f>IF(#REF!="Yes","H",IF($B71="","",IF(AND($C71&lt;=#REF!,$D71&gt;=#REF!),IF($G71="","x","y"),"")))</f>
        <v>#REF!</v>
      </c>
      <c r="BB71" s="271" t="e">
        <f>IF(#REF!="Yes","H",IF($B71="","",IF(AND($C71&lt;=#REF!,$D71&gt;=#REF!),IF($G71="","x","y"),"")))</f>
        <v>#REF!</v>
      </c>
      <c r="BC71" s="272" t="e">
        <f>IF(#REF!="Yes","H",IF($B71="","",IF(AND($C71&lt;=#REF!,$D71&gt;=#REF!),IF($G71="","x","y"),"")))</f>
        <v>#REF!</v>
      </c>
      <c r="BD71" s="270" t="e">
        <f>IF(#REF!="Yes","H",IF($B71="","",IF(AND($C71&lt;=#REF!,$D71&gt;=#REF!),IF($G71="","x","y"),"")))</f>
        <v>#REF!</v>
      </c>
      <c r="BE71" s="270" t="e">
        <f>IF(#REF!="Yes","H",IF($B71="","",IF(AND($C71&lt;=#REF!,$D71&gt;=#REF!),IF($G71="","x","y"),"")))</f>
        <v>#REF!</v>
      </c>
      <c r="BF71" s="270" t="e">
        <f>IF(#REF!="Yes","H",IF($B71="","",IF(AND($C71&lt;=#REF!,$D71&gt;=#REF!),IF($G71="","x","y"),"")))</f>
        <v>#REF!</v>
      </c>
      <c r="BG71" s="273" t="e">
        <f>IF(#REF!="Yes","H",IF($B71="","",IF(AND($C71&lt;=#REF!,$D71&gt;=#REF!),IF($G71="","x","y"),"")))</f>
        <v>#REF!</v>
      </c>
      <c r="BH71" s="274" t="e">
        <f>IF(#REF!="Yes","H",IF($B71="","",IF(AND($C71&lt;=#REF!,$D71&gt;=#REF!),IF($G71="","x","y"),"")))</f>
        <v>#REF!</v>
      </c>
      <c r="BI71" s="270" t="e">
        <f>IF(#REF!="Yes","H",IF($B71="","",IF(AND($C71&lt;=#REF!,$D71&gt;=#REF!),IF($G71="","x","y"),"")))</f>
        <v>#REF!</v>
      </c>
      <c r="BJ71" s="270" t="e">
        <f>IF(#REF!="Yes","H",IF($B71="","",IF(AND($C71&lt;=#REF!,$D71&gt;=#REF!),IF($G71="","x","y"),"")))</f>
        <v>#REF!</v>
      </c>
      <c r="BK71" s="270" t="e">
        <f>IF(#REF!="Yes","H",IF($B71="","",IF(AND($C71&lt;=#REF!,$D71&gt;=#REF!),IF($G71="","x","y"),"")))</f>
        <v>#REF!</v>
      </c>
      <c r="BL71" s="271" t="e">
        <f>IF(#REF!="Yes","H",IF($B71="","",IF(AND($C71&lt;=#REF!,$D71&gt;=#REF!),IF($G71="","x","y"),"")))</f>
        <v>#REF!</v>
      </c>
      <c r="BM71" s="272" t="e">
        <f>IF(#REF!="Yes","H",IF($B71="","",IF(AND($C71&lt;=#REF!,$D71&gt;=#REF!),IF($G71="","x","y"),"")))</f>
        <v>#REF!</v>
      </c>
      <c r="BN71" s="270" t="e">
        <f>IF(#REF!="Yes","H",IF($B71="","",IF(AND($C71&lt;=#REF!,$D71&gt;=#REF!),IF($G71="","x","y"),"")))</f>
        <v>#REF!</v>
      </c>
      <c r="BO71" s="270" t="e">
        <f>IF(#REF!="Yes","H",IF($B71="","",IF(AND($C71&lt;=#REF!,$D71&gt;=#REF!),IF($G71="","x","y"),"")))</f>
        <v>#REF!</v>
      </c>
      <c r="BP71" s="270" t="e">
        <f>IF(#REF!="Yes","H",IF($B71="","",IF(AND($C71&lt;=#REF!,$D71&gt;=#REF!),IF($G71="","x","y"),"")))</f>
        <v>#REF!</v>
      </c>
      <c r="BQ71" s="273" t="e">
        <f>IF(#REF!="Yes","H",IF($B71="","",IF(AND($C71&lt;=#REF!,$D71&gt;=#REF!),IF($G71="","x","y"),"")))</f>
        <v>#REF!</v>
      </c>
      <c r="BR71" s="274" t="e">
        <f>IF(#REF!="Yes","H",IF($B71="","",IF(AND($C71&lt;=#REF!,$D71&gt;=#REF!),IF($G71="","x","y"),"")))</f>
        <v>#REF!</v>
      </c>
      <c r="BS71" s="270" t="e">
        <f>IF(#REF!="Yes","H",IF($B71="","",IF(AND($C71&lt;=#REF!,$D71&gt;=#REF!),IF($G71="","x","y"),"")))</f>
        <v>#REF!</v>
      </c>
      <c r="BT71" s="270" t="e">
        <f>IF(#REF!="Yes","H",IF($B71="","",IF(AND($C71&lt;=#REF!,$D71&gt;=#REF!),IF($G71="","x","y"),"")))</f>
        <v>#REF!</v>
      </c>
      <c r="BU71" s="270" t="e">
        <f>IF(#REF!="Yes","H",IF($B71="","",IF(AND($C71&lt;=#REF!,$D71&gt;=#REF!),IF($G71="","x","y"),"")))</f>
        <v>#REF!</v>
      </c>
      <c r="BV71" s="271" t="e">
        <f>IF(#REF!="Yes","H",IF($B71="","",IF(AND($C71&lt;=#REF!,$D71&gt;=#REF!),IF($G71="","x","y"),"")))</f>
        <v>#REF!</v>
      </c>
      <c r="BW71" s="272" t="e">
        <f>IF(#REF!="Yes","H",IF($B71="","",IF(AND($C71&lt;=#REF!,$D71&gt;=#REF!),IF($G71="","x","y"),"")))</f>
        <v>#REF!</v>
      </c>
      <c r="BX71" s="270" t="e">
        <f>IF(#REF!="Yes","H",IF($B71="","",IF(AND($C71&lt;=#REF!,$D71&gt;=#REF!),IF($G71="","x","y"),"")))</f>
        <v>#REF!</v>
      </c>
      <c r="BY71" s="270" t="e">
        <f>IF(#REF!="Yes","H",IF($B71="","",IF(AND($C71&lt;=#REF!,$D71&gt;=#REF!),IF($G71="","x","y"),"")))</f>
        <v>#REF!</v>
      </c>
      <c r="BZ71" s="270" t="e">
        <f>IF(#REF!="Yes","H",IF($B71="","",IF(AND($C71&lt;=#REF!,$D71&gt;=#REF!),IF($G71="","x","y"),"")))</f>
        <v>#REF!</v>
      </c>
      <c r="CA71" s="273" t="e">
        <f>IF(#REF!="Yes","H",IF($B71="","",IF(AND($C71&lt;=#REF!,$D71&gt;=#REF!),IF($G71="","x","y"),"")))</f>
        <v>#REF!</v>
      </c>
    </row>
    <row r="72" spans="2:79" ht="15" customHeight="1">
      <c r="B72" s="135"/>
      <c r="C72" s="260"/>
      <c r="D72" s="260"/>
      <c r="E72" s="260"/>
      <c r="F72" s="224"/>
      <c r="G72" s="275"/>
      <c r="H72" s="209"/>
      <c r="I72" s="211"/>
      <c r="J72" s="269" t="e">
        <f>IF(#REF!="Yes","H",IF($B72="","",IF(AND($C72&lt;=#REF!,$D72&gt;=#REF!),IF($G72="","x","y"),"")))</f>
        <v>#REF!</v>
      </c>
      <c r="K72" s="270" t="e">
        <f>IF(#REF!="Yes","H",IF($B72="","",IF(AND($C72&lt;=#REF!,$D72&gt;=#REF!),IF($G72="","x","y"),"")))</f>
        <v>#REF!</v>
      </c>
      <c r="L72" s="270" t="e">
        <f>IF(#REF!="Yes","H",IF($B72="","",IF(AND($C72&lt;=#REF!,$D72&gt;=#REF!),IF($G72="","x","y"),"")))</f>
        <v>#REF!</v>
      </c>
      <c r="M72" s="270" t="e">
        <f>IF(#REF!="Yes","H",IF($B72="","",IF(AND($C72&lt;=#REF!,$D72&gt;=#REF!),IF($G72="","x","y"),"")))</f>
        <v>#REF!</v>
      </c>
      <c r="N72" s="271" t="e">
        <f>IF(#REF!="Yes","H",IF($B72="","",IF(AND($C72&lt;=#REF!,$D72&gt;=#REF!),IF($G72="","x","y"),"")))</f>
        <v>#REF!</v>
      </c>
      <c r="O72" s="272" t="e">
        <f>IF(#REF!="Yes","H",IF($B72="","",IF(AND($C72&lt;=#REF!,$D72&gt;=#REF!),IF($G72="","x","y"),"")))</f>
        <v>#REF!</v>
      </c>
      <c r="P72" s="270" t="e">
        <f>IF(#REF!="Yes","H",IF($B72="","",IF(AND($C72&lt;=#REF!,$D72&gt;=#REF!),IF($G72="","x","y"),"")))</f>
        <v>#REF!</v>
      </c>
      <c r="Q72" s="270" t="e">
        <f>IF(#REF!="Yes","H",IF($B72="","",IF(AND($C72&lt;=#REF!,$D72&gt;=#REF!),IF($G72="","x","y"),"")))</f>
        <v>#REF!</v>
      </c>
      <c r="R72" s="270" t="e">
        <f>IF(#REF!="Yes","H",IF($B72="","",IF(AND($C72&lt;=#REF!,$D72&gt;=#REF!),IF($G72="","x","y"),"")))</f>
        <v>#REF!</v>
      </c>
      <c r="S72" s="273" t="e">
        <f>IF(#REF!="Yes","H",IF($B72="","",IF(AND($C72&lt;=#REF!,$D72&gt;=#REF!),IF($G72="","x","y"),"")))</f>
        <v>#REF!</v>
      </c>
      <c r="T72" s="274" t="e">
        <f>IF(#REF!="Yes","H",IF($B72="","",IF(AND($C72&lt;=#REF!,$D72&gt;=#REF!),IF($G72="","x","y"),"")))</f>
        <v>#REF!</v>
      </c>
      <c r="U72" s="270" t="e">
        <f>IF(#REF!="Yes","H",IF($B72="","",IF(AND($C72&lt;=#REF!,$D72&gt;=#REF!),IF($G72="","x","y"),"")))</f>
        <v>#REF!</v>
      </c>
      <c r="V72" s="270" t="e">
        <f>IF(#REF!="Yes","H",IF($B72="","",IF(AND($C72&lt;=#REF!,$D72&gt;=#REF!),IF($G72="","x","y"),"")))</f>
        <v>#REF!</v>
      </c>
      <c r="W72" s="270" t="e">
        <f>IF(#REF!="Yes","H",IF($B72="","",IF(AND($C72&lt;=#REF!,$D72&gt;=#REF!),IF($G72="","x","y"),"")))</f>
        <v>#REF!</v>
      </c>
      <c r="X72" s="271" t="e">
        <f>IF(#REF!="Yes","H",IF($B72="","",IF(AND($C72&lt;=#REF!,$D72&gt;=#REF!),IF($G72="","x","y"),"")))</f>
        <v>#REF!</v>
      </c>
      <c r="Y72" s="272" t="e">
        <f>IF(#REF!="Yes","H",IF($B72="","",IF(AND($C72&lt;=#REF!,$D72&gt;=#REF!),IF($G72="","x","y"),"")))</f>
        <v>#REF!</v>
      </c>
      <c r="Z72" s="270" t="e">
        <f>IF(#REF!="Yes","H",IF($B72="","",IF(AND($C72&lt;=#REF!,$D72&gt;=#REF!),IF($G72="","x","y"),"")))</f>
        <v>#REF!</v>
      </c>
      <c r="AA72" s="270" t="e">
        <f>IF(#REF!="Yes","H",IF($B72="","",IF(AND($C72&lt;=#REF!,$D72&gt;=#REF!),IF($G72="","x","y"),"")))</f>
        <v>#REF!</v>
      </c>
      <c r="AB72" s="270" t="e">
        <f>IF(#REF!="Yes","H",IF($B72="","",IF(AND($C72&lt;=#REF!,$D72&gt;=#REF!),IF($G72="","x","y"),"")))</f>
        <v>#REF!</v>
      </c>
      <c r="AC72" s="273" t="e">
        <f>IF(#REF!="Yes","H",IF($B72="","",IF(AND($C72&lt;=#REF!,$D72&gt;=#REF!),IF($G72="","x","y"),"")))</f>
        <v>#REF!</v>
      </c>
      <c r="AD72" s="274" t="e">
        <f>IF(#REF!="Yes","H",IF($B72="","",IF(AND($C72&lt;=#REF!,$D72&gt;=#REF!),IF($G72="","x","y"),"")))</f>
        <v>#REF!</v>
      </c>
      <c r="AE72" s="270" t="e">
        <f>IF(#REF!="Yes","H",IF($B72="","",IF(AND($C72&lt;=#REF!,$D72&gt;=#REF!),IF($G72="","x","y"),"")))</f>
        <v>#REF!</v>
      </c>
      <c r="AF72" s="270" t="e">
        <f>IF(#REF!="Yes","H",IF($B72="","",IF(AND($C72&lt;=#REF!,$D72&gt;=#REF!),IF($G72="","x","y"),"")))</f>
        <v>#REF!</v>
      </c>
      <c r="AG72" s="270" t="e">
        <f>IF(#REF!="Yes","H",IF($B72="","",IF(AND($C72&lt;=#REF!,$D72&gt;=#REF!),IF($G72="","x","y"),"")))</f>
        <v>#REF!</v>
      </c>
      <c r="AH72" s="271" t="e">
        <f>IF(#REF!="Yes","H",IF($B72="","",IF(AND($C72&lt;=#REF!,$D72&gt;=#REF!),IF($G72="","x","y"),"")))</f>
        <v>#REF!</v>
      </c>
      <c r="AI72" s="272" t="e">
        <f>IF(#REF!="Yes","H",IF($B72="","",IF(AND($C72&lt;=#REF!,$D72&gt;=#REF!),IF($G72="","x","y"),"")))</f>
        <v>#REF!</v>
      </c>
      <c r="AJ72" s="270" t="e">
        <f>IF(#REF!="Yes","H",IF($B72="","",IF(AND($C72&lt;=#REF!,$D72&gt;=#REF!),IF($G72="","x","y"),"")))</f>
        <v>#REF!</v>
      </c>
      <c r="AK72" s="270" t="e">
        <f>IF(#REF!="Yes","H",IF($B72="","",IF(AND($C72&lt;=#REF!,$D72&gt;=#REF!),IF($G72="","x","y"),"")))</f>
        <v>#REF!</v>
      </c>
      <c r="AL72" s="270" t="e">
        <f>IF(#REF!="Yes","H",IF($B72="","",IF(AND($C72&lt;=#REF!,$D72&gt;=#REF!),IF($G72="","x","y"),"")))</f>
        <v>#REF!</v>
      </c>
      <c r="AM72" s="273" t="e">
        <f>IF(#REF!="Yes","H",IF($B72="","",IF(AND($C72&lt;=#REF!,$D72&gt;=#REF!),IF($G72="","x","y"),"")))</f>
        <v>#REF!</v>
      </c>
      <c r="AN72" s="274" t="e">
        <f>IF(#REF!="Yes","H",IF($B72="","",IF(AND($C72&lt;=#REF!,$D72&gt;=#REF!),IF($G72="","x","y"),"")))</f>
        <v>#REF!</v>
      </c>
      <c r="AO72" s="270" t="e">
        <f>IF(#REF!="Yes","H",IF($B72="","",IF(AND($C72&lt;=#REF!,$D72&gt;=#REF!),IF($G72="","x","y"),"")))</f>
        <v>#REF!</v>
      </c>
      <c r="AP72" s="270" t="e">
        <f>IF(#REF!="Yes","H",IF($B72="","",IF(AND($C72&lt;=#REF!,$D72&gt;=#REF!),IF($G72="","x","y"),"")))</f>
        <v>#REF!</v>
      </c>
      <c r="AQ72" s="270" t="e">
        <f>IF(#REF!="Yes","H",IF($B72="","",IF(AND($C72&lt;=#REF!,$D72&gt;=#REF!),IF($G72="","x","y"),"")))</f>
        <v>#REF!</v>
      </c>
      <c r="AR72" s="271" t="e">
        <f>IF(#REF!="Yes","H",IF($B72="","",IF(AND($C72&lt;=#REF!,$D72&gt;=#REF!),IF($G72="","x","y"),"")))</f>
        <v>#REF!</v>
      </c>
      <c r="AS72" s="272" t="e">
        <f>IF(#REF!="Yes","H",IF($B72="","",IF(AND($C72&lt;=#REF!,$D72&gt;=#REF!),IF($G72="","x","y"),"")))</f>
        <v>#REF!</v>
      </c>
      <c r="AT72" s="270" t="e">
        <f>IF(#REF!="Yes","H",IF($B72="","",IF(AND($C72&lt;=#REF!,$D72&gt;=#REF!),IF($G72="","x","y"),"")))</f>
        <v>#REF!</v>
      </c>
      <c r="AU72" s="270" t="e">
        <f>IF(#REF!="Yes","H",IF($B72="","",IF(AND($C72&lt;=#REF!,$D72&gt;=#REF!),IF($G72="","x","y"),"")))</f>
        <v>#REF!</v>
      </c>
      <c r="AV72" s="270" t="e">
        <f>IF(#REF!="Yes","H",IF($B72="","",IF(AND($C72&lt;=#REF!,$D72&gt;=#REF!),IF($G72="","x","y"),"")))</f>
        <v>#REF!</v>
      </c>
      <c r="AW72" s="273" t="e">
        <f>IF(#REF!="Yes","H",IF($B72="","",IF(AND($C72&lt;=#REF!,$D72&gt;=#REF!),IF($G72="","x","y"),"")))</f>
        <v>#REF!</v>
      </c>
      <c r="AX72" s="274" t="e">
        <f>IF(#REF!="Yes","H",IF($B72="","",IF(AND($C72&lt;=#REF!,$D72&gt;=#REF!),IF($G72="","x","y"),"")))</f>
        <v>#REF!</v>
      </c>
      <c r="AY72" s="270" t="e">
        <f>IF(#REF!="Yes","H",IF($B72="","",IF(AND($C72&lt;=#REF!,$D72&gt;=#REF!),IF($G72="","x","y"),"")))</f>
        <v>#REF!</v>
      </c>
      <c r="AZ72" s="270" t="e">
        <f>IF(#REF!="Yes","H",IF($B72="","",IF(AND($C72&lt;=#REF!,$D72&gt;=#REF!),IF($G72="","x","y"),"")))</f>
        <v>#REF!</v>
      </c>
      <c r="BA72" s="270" t="e">
        <f>IF(#REF!="Yes","H",IF($B72="","",IF(AND($C72&lt;=#REF!,$D72&gt;=#REF!),IF($G72="","x","y"),"")))</f>
        <v>#REF!</v>
      </c>
      <c r="BB72" s="271" t="e">
        <f>IF(#REF!="Yes","H",IF($B72="","",IF(AND($C72&lt;=#REF!,$D72&gt;=#REF!),IF($G72="","x","y"),"")))</f>
        <v>#REF!</v>
      </c>
      <c r="BC72" s="272" t="e">
        <f>IF(#REF!="Yes","H",IF($B72="","",IF(AND($C72&lt;=#REF!,$D72&gt;=#REF!),IF($G72="","x","y"),"")))</f>
        <v>#REF!</v>
      </c>
      <c r="BD72" s="270" t="e">
        <f>IF(#REF!="Yes","H",IF($B72="","",IF(AND($C72&lt;=#REF!,$D72&gt;=#REF!),IF($G72="","x","y"),"")))</f>
        <v>#REF!</v>
      </c>
      <c r="BE72" s="270" t="e">
        <f>IF(#REF!="Yes","H",IF($B72="","",IF(AND($C72&lt;=#REF!,$D72&gt;=#REF!),IF($G72="","x","y"),"")))</f>
        <v>#REF!</v>
      </c>
      <c r="BF72" s="270" t="e">
        <f>IF(#REF!="Yes","H",IF($B72="","",IF(AND($C72&lt;=#REF!,$D72&gt;=#REF!),IF($G72="","x","y"),"")))</f>
        <v>#REF!</v>
      </c>
      <c r="BG72" s="273" t="e">
        <f>IF(#REF!="Yes","H",IF($B72="","",IF(AND($C72&lt;=#REF!,$D72&gt;=#REF!),IF($G72="","x","y"),"")))</f>
        <v>#REF!</v>
      </c>
      <c r="BH72" s="274" t="e">
        <f>IF(#REF!="Yes","H",IF($B72="","",IF(AND($C72&lt;=#REF!,$D72&gt;=#REF!),IF($G72="","x","y"),"")))</f>
        <v>#REF!</v>
      </c>
      <c r="BI72" s="270" t="e">
        <f>IF(#REF!="Yes","H",IF($B72="","",IF(AND($C72&lt;=#REF!,$D72&gt;=#REF!),IF($G72="","x","y"),"")))</f>
        <v>#REF!</v>
      </c>
      <c r="BJ72" s="270" t="e">
        <f>IF(#REF!="Yes","H",IF($B72="","",IF(AND($C72&lt;=#REF!,$D72&gt;=#REF!),IF($G72="","x","y"),"")))</f>
        <v>#REF!</v>
      </c>
      <c r="BK72" s="270" t="e">
        <f>IF(#REF!="Yes","H",IF($B72="","",IF(AND($C72&lt;=#REF!,$D72&gt;=#REF!),IF($G72="","x","y"),"")))</f>
        <v>#REF!</v>
      </c>
      <c r="BL72" s="271" t="e">
        <f>IF(#REF!="Yes","H",IF($B72="","",IF(AND($C72&lt;=#REF!,$D72&gt;=#REF!),IF($G72="","x","y"),"")))</f>
        <v>#REF!</v>
      </c>
      <c r="BM72" s="272" t="e">
        <f>IF(#REF!="Yes","H",IF($B72="","",IF(AND($C72&lt;=#REF!,$D72&gt;=#REF!),IF($G72="","x","y"),"")))</f>
        <v>#REF!</v>
      </c>
      <c r="BN72" s="270" t="e">
        <f>IF(#REF!="Yes","H",IF($B72="","",IF(AND($C72&lt;=#REF!,$D72&gt;=#REF!),IF($G72="","x","y"),"")))</f>
        <v>#REF!</v>
      </c>
      <c r="BO72" s="270" t="e">
        <f>IF(#REF!="Yes","H",IF($B72="","",IF(AND($C72&lt;=#REF!,$D72&gt;=#REF!),IF($G72="","x","y"),"")))</f>
        <v>#REF!</v>
      </c>
      <c r="BP72" s="270" t="e">
        <f>IF(#REF!="Yes","H",IF($B72="","",IF(AND($C72&lt;=#REF!,$D72&gt;=#REF!),IF($G72="","x","y"),"")))</f>
        <v>#REF!</v>
      </c>
      <c r="BQ72" s="273" t="e">
        <f>IF(#REF!="Yes","H",IF($B72="","",IF(AND($C72&lt;=#REF!,$D72&gt;=#REF!),IF($G72="","x","y"),"")))</f>
        <v>#REF!</v>
      </c>
      <c r="BR72" s="274" t="e">
        <f>IF(#REF!="Yes","H",IF($B72="","",IF(AND($C72&lt;=#REF!,$D72&gt;=#REF!),IF($G72="","x","y"),"")))</f>
        <v>#REF!</v>
      </c>
      <c r="BS72" s="270" t="e">
        <f>IF(#REF!="Yes","H",IF($B72="","",IF(AND($C72&lt;=#REF!,$D72&gt;=#REF!),IF($G72="","x","y"),"")))</f>
        <v>#REF!</v>
      </c>
      <c r="BT72" s="270" t="e">
        <f>IF(#REF!="Yes","H",IF($B72="","",IF(AND($C72&lt;=#REF!,$D72&gt;=#REF!),IF($G72="","x","y"),"")))</f>
        <v>#REF!</v>
      </c>
      <c r="BU72" s="270" t="e">
        <f>IF(#REF!="Yes","H",IF($B72="","",IF(AND($C72&lt;=#REF!,$D72&gt;=#REF!),IF($G72="","x","y"),"")))</f>
        <v>#REF!</v>
      </c>
      <c r="BV72" s="271" t="e">
        <f>IF(#REF!="Yes","H",IF($B72="","",IF(AND($C72&lt;=#REF!,$D72&gt;=#REF!),IF($G72="","x","y"),"")))</f>
        <v>#REF!</v>
      </c>
      <c r="BW72" s="272" t="e">
        <f>IF(#REF!="Yes","H",IF($B72="","",IF(AND($C72&lt;=#REF!,$D72&gt;=#REF!),IF($G72="","x","y"),"")))</f>
        <v>#REF!</v>
      </c>
      <c r="BX72" s="270" t="e">
        <f>IF(#REF!="Yes","H",IF($B72="","",IF(AND($C72&lt;=#REF!,$D72&gt;=#REF!),IF($G72="","x","y"),"")))</f>
        <v>#REF!</v>
      </c>
      <c r="BY72" s="270" t="e">
        <f>IF(#REF!="Yes","H",IF($B72="","",IF(AND($C72&lt;=#REF!,$D72&gt;=#REF!),IF($G72="","x","y"),"")))</f>
        <v>#REF!</v>
      </c>
      <c r="BZ72" s="270" t="e">
        <f>IF(#REF!="Yes","H",IF($B72="","",IF(AND($C72&lt;=#REF!,$D72&gt;=#REF!),IF($G72="","x","y"),"")))</f>
        <v>#REF!</v>
      </c>
      <c r="CA72" s="273" t="e">
        <f>IF(#REF!="Yes","H",IF($B72="","",IF(AND($C72&lt;=#REF!,$D72&gt;=#REF!),IF($G72="","x","y"),"")))</f>
        <v>#REF!</v>
      </c>
    </row>
    <row r="73" spans="2:79" ht="15" customHeight="1">
      <c r="B73" s="278"/>
      <c r="C73" s="260"/>
      <c r="D73" s="260"/>
      <c r="E73" s="260"/>
      <c r="F73" s="225"/>
      <c r="G73" s="275"/>
      <c r="H73" s="209"/>
      <c r="I73" s="211"/>
      <c r="J73" s="269" t="e">
        <f>IF(#REF!="Yes","H",IF($B73="","",IF(AND($C73&lt;=#REF!,$D73&gt;=#REF!),IF($G73="","x","y"),"")))</f>
        <v>#REF!</v>
      </c>
      <c r="K73" s="270" t="e">
        <f>IF(#REF!="Yes","H",IF($B73="","",IF(AND($C73&lt;=#REF!,$D73&gt;=#REF!),IF($G73="","x","y"),"")))</f>
        <v>#REF!</v>
      </c>
      <c r="L73" s="270" t="e">
        <f>IF(#REF!="Yes","H",IF($B73="","",IF(AND($C73&lt;=#REF!,$D73&gt;=#REF!),IF($G73="","x","y"),"")))</f>
        <v>#REF!</v>
      </c>
      <c r="M73" s="270" t="e">
        <f>IF(#REF!="Yes","H",IF($B73="","",IF(AND($C73&lt;=#REF!,$D73&gt;=#REF!),IF($G73="","x","y"),"")))</f>
        <v>#REF!</v>
      </c>
      <c r="N73" s="271" t="e">
        <f>IF(#REF!="Yes","H",IF($B73="","",IF(AND($C73&lt;=#REF!,$D73&gt;=#REF!),IF($G73="","x","y"),"")))</f>
        <v>#REF!</v>
      </c>
      <c r="O73" s="272" t="e">
        <f>IF(#REF!="Yes","H",IF($B73="","",IF(AND($C73&lt;=#REF!,$D73&gt;=#REF!),IF($G73="","x","y"),"")))</f>
        <v>#REF!</v>
      </c>
      <c r="P73" s="270" t="e">
        <f>IF(#REF!="Yes","H",IF($B73="","",IF(AND($C73&lt;=#REF!,$D73&gt;=#REF!),IF($G73="","x","y"),"")))</f>
        <v>#REF!</v>
      </c>
      <c r="Q73" s="270" t="e">
        <f>IF(#REF!="Yes","H",IF($B73="","",IF(AND($C73&lt;=#REF!,$D73&gt;=#REF!),IF($G73="","x","y"),"")))</f>
        <v>#REF!</v>
      </c>
      <c r="R73" s="270" t="e">
        <f>IF(#REF!="Yes","H",IF($B73="","",IF(AND($C73&lt;=#REF!,$D73&gt;=#REF!),IF($G73="","x","y"),"")))</f>
        <v>#REF!</v>
      </c>
      <c r="S73" s="273" t="e">
        <f>IF(#REF!="Yes","H",IF($B73="","",IF(AND($C73&lt;=#REF!,$D73&gt;=#REF!),IF($G73="","x","y"),"")))</f>
        <v>#REF!</v>
      </c>
      <c r="T73" s="274" t="e">
        <f>IF(#REF!="Yes","H",IF($B73="","",IF(AND($C73&lt;=#REF!,$D73&gt;=#REF!),IF($G73="","x","y"),"")))</f>
        <v>#REF!</v>
      </c>
      <c r="U73" s="270" t="e">
        <f>IF(#REF!="Yes","H",IF($B73="","",IF(AND($C73&lt;=#REF!,$D73&gt;=#REF!),IF($G73="","x","y"),"")))</f>
        <v>#REF!</v>
      </c>
      <c r="V73" s="270" t="e">
        <f>IF(#REF!="Yes","H",IF($B73="","",IF(AND($C73&lt;=#REF!,$D73&gt;=#REF!),IF($G73="","x","y"),"")))</f>
        <v>#REF!</v>
      </c>
      <c r="W73" s="270" t="e">
        <f>IF(#REF!="Yes","H",IF($B73="","",IF(AND($C73&lt;=#REF!,$D73&gt;=#REF!),IF($G73="","x","y"),"")))</f>
        <v>#REF!</v>
      </c>
      <c r="X73" s="271" t="e">
        <f>IF(#REF!="Yes","H",IF($B73="","",IF(AND($C73&lt;=#REF!,$D73&gt;=#REF!),IF($G73="","x","y"),"")))</f>
        <v>#REF!</v>
      </c>
      <c r="Y73" s="272" t="e">
        <f>IF(#REF!="Yes","H",IF($B73="","",IF(AND($C73&lt;=#REF!,$D73&gt;=#REF!),IF($G73="","x","y"),"")))</f>
        <v>#REF!</v>
      </c>
      <c r="Z73" s="270" t="e">
        <f>IF(#REF!="Yes","H",IF($B73="","",IF(AND($C73&lt;=#REF!,$D73&gt;=#REF!),IF($G73="","x","y"),"")))</f>
        <v>#REF!</v>
      </c>
      <c r="AA73" s="270" t="e">
        <f>IF(#REF!="Yes","H",IF($B73="","",IF(AND($C73&lt;=#REF!,$D73&gt;=#REF!),IF($G73="","x","y"),"")))</f>
        <v>#REF!</v>
      </c>
      <c r="AB73" s="270" t="e">
        <f>IF(#REF!="Yes","H",IF($B73="","",IF(AND($C73&lt;=#REF!,$D73&gt;=#REF!),IF($G73="","x","y"),"")))</f>
        <v>#REF!</v>
      </c>
      <c r="AC73" s="273" t="e">
        <f>IF(#REF!="Yes","H",IF($B73="","",IF(AND($C73&lt;=#REF!,$D73&gt;=#REF!),IF($G73="","x","y"),"")))</f>
        <v>#REF!</v>
      </c>
      <c r="AD73" s="274" t="e">
        <f>IF(#REF!="Yes","H",IF($B73="","",IF(AND($C73&lt;=#REF!,$D73&gt;=#REF!),IF($G73="","x","y"),"")))</f>
        <v>#REF!</v>
      </c>
      <c r="AE73" s="270" t="e">
        <f>IF(#REF!="Yes","H",IF($B73="","",IF(AND($C73&lt;=#REF!,$D73&gt;=#REF!),IF($G73="","x","y"),"")))</f>
        <v>#REF!</v>
      </c>
      <c r="AF73" s="270" t="e">
        <f>IF(#REF!="Yes","H",IF($B73="","",IF(AND($C73&lt;=#REF!,$D73&gt;=#REF!),IF($G73="","x","y"),"")))</f>
        <v>#REF!</v>
      </c>
      <c r="AG73" s="270" t="e">
        <f>IF(#REF!="Yes","H",IF($B73="","",IF(AND($C73&lt;=#REF!,$D73&gt;=#REF!),IF($G73="","x","y"),"")))</f>
        <v>#REF!</v>
      </c>
      <c r="AH73" s="271" t="e">
        <f>IF(#REF!="Yes","H",IF($B73="","",IF(AND($C73&lt;=#REF!,$D73&gt;=#REF!),IF($G73="","x","y"),"")))</f>
        <v>#REF!</v>
      </c>
      <c r="AI73" s="272" t="e">
        <f>IF(#REF!="Yes","H",IF($B73="","",IF(AND($C73&lt;=#REF!,$D73&gt;=#REF!),IF($G73="","x","y"),"")))</f>
        <v>#REF!</v>
      </c>
      <c r="AJ73" s="270" t="e">
        <f>IF(#REF!="Yes","H",IF($B73="","",IF(AND($C73&lt;=#REF!,$D73&gt;=#REF!),IF($G73="","x","y"),"")))</f>
        <v>#REF!</v>
      </c>
      <c r="AK73" s="270" t="e">
        <f>IF(#REF!="Yes","H",IF($B73="","",IF(AND($C73&lt;=#REF!,$D73&gt;=#REF!),IF($G73="","x","y"),"")))</f>
        <v>#REF!</v>
      </c>
      <c r="AL73" s="270" t="e">
        <f>IF(#REF!="Yes","H",IF($B73="","",IF(AND($C73&lt;=#REF!,$D73&gt;=#REF!),IF($G73="","x","y"),"")))</f>
        <v>#REF!</v>
      </c>
      <c r="AM73" s="273" t="e">
        <f>IF(#REF!="Yes","H",IF($B73="","",IF(AND($C73&lt;=#REF!,$D73&gt;=#REF!),IF($G73="","x","y"),"")))</f>
        <v>#REF!</v>
      </c>
      <c r="AN73" s="274" t="e">
        <f>IF(#REF!="Yes","H",IF($B73="","",IF(AND($C73&lt;=#REF!,$D73&gt;=#REF!),IF($G73="","x","y"),"")))</f>
        <v>#REF!</v>
      </c>
      <c r="AO73" s="270" t="e">
        <f>IF(#REF!="Yes","H",IF($B73="","",IF(AND($C73&lt;=#REF!,$D73&gt;=#REF!),IF($G73="","x","y"),"")))</f>
        <v>#REF!</v>
      </c>
      <c r="AP73" s="270" t="e">
        <f>IF(#REF!="Yes","H",IF($B73="","",IF(AND($C73&lt;=#REF!,$D73&gt;=#REF!),IF($G73="","x","y"),"")))</f>
        <v>#REF!</v>
      </c>
      <c r="AQ73" s="270" t="e">
        <f>IF(#REF!="Yes","H",IF($B73="","",IF(AND($C73&lt;=#REF!,$D73&gt;=#REF!),IF($G73="","x","y"),"")))</f>
        <v>#REF!</v>
      </c>
      <c r="AR73" s="271" t="e">
        <f>IF(#REF!="Yes","H",IF($B73="","",IF(AND($C73&lt;=#REF!,$D73&gt;=#REF!),IF($G73="","x","y"),"")))</f>
        <v>#REF!</v>
      </c>
      <c r="AS73" s="272" t="e">
        <f>IF(#REF!="Yes","H",IF($B73="","",IF(AND($C73&lt;=#REF!,$D73&gt;=#REF!),IF($G73="","x","y"),"")))</f>
        <v>#REF!</v>
      </c>
      <c r="AT73" s="270" t="e">
        <f>IF(#REF!="Yes","H",IF($B73="","",IF(AND($C73&lt;=#REF!,$D73&gt;=#REF!),IF($G73="","x","y"),"")))</f>
        <v>#REF!</v>
      </c>
      <c r="AU73" s="270" t="e">
        <f>IF(#REF!="Yes","H",IF($B73="","",IF(AND($C73&lt;=#REF!,$D73&gt;=#REF!),IF($G73="","x","y"),"")))</f>
        <v>#REF!</v>
      </c>
      <c r="AV73" s="270" t="e">
        <f>IF(#REF!="Yes","H",IF($B73="","",IF(AND($C73&lt;=#REF!,$D73&gt;=#REF!),IF($G73="","x","y"),"")))</f>
        <v>#REF!</v>
      </c>
      <c r="AW73" s="273" t="e">
        <f>IF(#REF!="Yes","H",IF($B73="","",IF(AND($C73&lt;=#REF!,$D73&gt;=#REF!),IF($G73="","x","y"),"")))</f>
        <v>#REF!</v>
      </c>
      <c r="AX73" s="274" t="e">
        <f>IF(#REF!="Yes","H",IF($B73="","",IF(AND($C73&lt;=#REF!,$D73&gt;=#REF!),IF($G73="","x","y"),"")))</f>
        <v>#REF!</v>
      </c>
      <c r="AY73" s="270" t="e">
        <f>IF(#REF!="Yes","H",IF($B73="","",IF(AND($C73&lt;=#REF!,$D73&gt;=#REF!),IF($G73="","x","y"),"")))</f>
        <v>#REF!</v>
      </c>
      <c r="AZ73" s="270" t="e">
        <f>IF(#REF!="Yes","H",IF($B73="","",IF(AND($C73&lt;=#REF!,$D73&gt;=#REF!),IF($G73="","x","y"),"")))</f>
        <v>#REF!</v>
      </c>
      <c r="BA73" s="270" t="e">
        <f>IF(#REF!="Yes","H",IF($B73="","",IF(AND($C73&lt;=#REF!,$D73&gt;=#REF!),IF($G73="","x","y"),"")))</f>
        <v>#REF!</v>
      </c>
      <c r="BB73" s="271" t="e">
        <f>IF(#REF!="Yes","H",IF($B73="","",IF(AND($C73&lt;=#REF!,$D73&gt;=#REF!),IF($G73="","x","y"),"")))</f>
        <v>#REF!</v>
      </c>
      <c r="BC73" s="272" t="e">
        <f>IF(#REF!="Yes","H",IF($B73="","",IF(AND($C73&lt;=#REF!,$D73&gt;=#REF!),IF($G73="","x","y"),"")))</f>
        <v>#REF!</v>
      </c>
      <c r="BD73" s="270" t="e">
        <f>IF(#REF!="Yes","H",IF($B73="","",IF(AND($C73&lt;=#REF!,$D73&gt;=#REF!),IF($G73="","x","y"),"")))</f>
        <v>#REF!</v>
      </c>
      <c r="BE73" s="270" t="e">
        <f>IF(#REF!="Yes","H",IF($B73="","",IF(AND($C73&lt;=#REF!,$D73&gt;=#REF!),IF($G73="","x","y"),"")))</f>
        <v>#REF!</v>
      </c>
      <c r="BF73" s="270" t="e">
        <f>IF(#REF!="Yes","H",IF($B73="","",IF(AND($C73&lt;=#REF!,$D73&gt;=#REF!),IF($G73="","x","y"),"")))</f>
        <v>#REF!</v>
      </c>
      <c r="BG73" s="273" t="e">
        <f>IF(#REF!="Yes","H",IF($B73="","",IF(AND($C73&lt;=#REF!,$D73&gt;=#REF!),IF($G73="","x","y"),"")))</f>
        <v>#REF!</v>
      </c>
      <c r="BH73" s="274" t="e">
        <f>IF(#REF!="Yes","H",IF($B73="","",IF(AND($C73&lt;=#REF!,$D73&gt;=#REF!),IF($G73="","x","y"),"")))</f>
        <v>#REF!</v>
      </c>
      <c r="BI73" s="270" t="e">
        <f>IF(#REF!="Yes","H",IF($B73="","",IF(AND($C73&lt;=#REF!,$D73&gt;=#REF!),IF($G73="","x","y"),"")))</f>
        <v>#REF!</v>
      </c>
      <c r="BJ73" s="270" t="e">
        <f>IF(#REF!="Yes","H",IF($B73="","",IF(AND($C73&lt;=#REF!,$D73&gt;=#REF!),IF($G73="","x","y"),"")))</f>
        <v>#REF!</v>
      </c>
      <c r="BK73" s="270" t="e">
        <f>IF(#REF!="Yes","H",IF($B73="","",IF(AND($C73&lt;=#REF!,$D73&gt;=#REF!),IF($G73="","x","y"),"")))</f>
        <v>#REF!</v>
      </c>
      <c r="BL73" s="271" t="e">
        <f>IF(#REF!="Yes","H",IF($B73="","",IF(AND($C73&lt;=#REF!,$D73&gt;=#REF!),IF($G73="","x","y"),"")))</f>
        <v>#REF!</v>
      </c>
      <c r="BM73" s="272" t="e">
        <f>IF(#REF!="Yes","H",IF($B73="","",IF(AND($C73&lt;=#REF!,$D73&gt;=#REF!),IF($G73="","x","y"),"")))</f>
        <v>#REF!</v>
      </c>
      <c r="BN73" s="270" t="e">
        <f>IF(#REF!="Yes","H",IF($B73="","",IF(AND($C73&lt;=#REF!,$D73&gt;=#REF!),IF($G73="","x","y"),"")))</f>
        <v>#REF!</v>
      </c>
      <c r="BO73" s="270" t="e">
        <f>IF(#REF!="Yes","H",IF($B73="","",IF(AND($C73&lt;=#REF!,$D73&gt;=#REF!),IF($G73="","x","y"),"")))</f>
        <v>#REF!</v>
      </c>
      <c r="BP73" s="270" t="e">
        <f>IF(#REF!="Yes","H",IF($B73="","",IF(AND($C73&lt;=#REF!,$D73&gt;=#REF!),IF($G73="","x","y"),"")))</f>
        <v>#REF!</v>
      </c>
      <c r="BQ73" s="273" t="e">
        <f>IF(#REF!="Yes","H",IF($B73="","",IF(AND($C73&lt;=#REF!,$D73&gt;=#REF!),IF($G73="","x","y"),"")))</f>
        <v>#REF!</v>
      </c>
      <c r="BR73" s="274" t="e">
        <f>IF(#REF!="Yes","H",IF($B73="","",IF(AND($C73&lt;=#REF!,$D73&gt;=#REF!),IF($G73="","x","y"),"")))</f>
        <v>#REF!</v>
      </c>
      <c r="BS73" s="270" t="e">
        <f>IF(#REF!="Yes","H",IF($B73="","",IF(AND($C73&lt;=#REF!,$D73&gt;=#REF!),IF($G73="","x","y"),"")))</f>
        <v>#REF!</v>
      </c>
      <c r="BT73" s="270" t="e">
        <f>IF(#REF!="Yes","H",IF($B73="","",IF(AND($C73&lt;=#REF!,$D73&gt;=#REF!),IF($G73="","x","y"),"")))</f>
        <v>#REF!</v>
      </c>
      <c r="BU73" s="270" t="e">
        <f>IF(#REF!="Yes","H",IF($B73="","",IF(AND($C73&lt;=#REF!,$D73&gt;=#REF!),IF($G73="","x","y"),"")))</f>
        <v>#REF!</v>
      </c>
      <c r="BV73" s="271" t="e">
        <f>IF(#REF!="Yes","H",IF($B73="","",IF(AND($C73&lt;=#REF!,$D73&gt;=#REF!),IF($G73="","x","y"),"")))</f>
        <v>#REF!</v>
      </c>
      <c r="BW73" s="272" t="e">
        <f>IF(#REF!="Yes","H",IF($B73="","",IF(AND($C73&lt;=#REF!,$D73&gt;=#REF!),IF($G73="","x","y"),"")))</f>
        <v>#REF!</v>
      </c>
      <c r="BX73" s="270" t="e">
        <f>IF(#REF!="Yes","H",IF($B73="","",IF(AND($C73&lt;=#REF!,$D73&gt;=#REF!),IF($G73="","x","y"),"")))</f>
        <v>#REF!</v>
      </c>
      <c r="BY73" s="270" t="e">
        <f>IF(#REF!="Yes","H",IF($B73="","",IF(AND($C73&lt;=#REF!,$D73&gt;=#REF!),IF($G73="","x","y"),"")))</f>
        <v>#REF!</v>
      </c>
      <c r="BZ73" s="270" t="e">
        <f>IF(#REF!="Yes","H",IF($B73="","",IF(AND($C73&lt;=#REF!,$D73&gt;=#REF!),IF($G73="","x","y"),"")))</f>
        <v>#REF!</v>
      </c>
      <c r="CA73" s="273" t="e">
        <f>IF(#REF!="Yes","H",IF($B73="","",IF(AND($C73&lt;=#REF!,$D73&gt;=#REF!),IF($G73="","x","y"),"")))</f>
        <v>#REF!</v>
      </c>
    </row>
    <row r="74" spans="2:79" ht="15" customHeight="1">
      <c r="B74" s="278"/>
      <c r="C74" s="260"/>
      <c r="D74" s="260"/>
      <c r="E74" s="260"/>
      <c r="F74" s="224"/>
      <c r="G74" s="275"/>
      <c r="H74" s="209"/>
      <c r="I74" s="211"/>
      <c r="J74" s="269" t="e">
        <f>IF(#REF!="Yes","H",IF($B74="","",IF(AND($C74&lt;=#REF!,$D74&gt;=#REF!),IF($G74="","x","y"),"")))</f>
        <v>#REF!</v>
      </c>
      <c r="K74" s="270" t="e">
        <f>IF(#REF!="Yes","H",IF($B74="","",IF(AND($C74&lt;=#REF!,$D74&gt;=#REF!),IF($G74="","x","y"),"")))</f>
        <v>#REF!</v>
      </c>
      <c r="L74" s="270" t="e">
        <f>IF(#REF!="Yes","H",IF($B74="","",IF(AND($C74&lt;=#REF!,$D74&gt;=#REF!),IF($G74="","x","y"),"")))</f>
        <v>#REF!</v>
      </c>
      <c r="M74" s="270" t="e">
        <f>IF(#REF!="Yes","H",IF($B74="","",IF(AND($C74&lt;=#REF!,$D74&gt;=#REF!),IF($G74="","x","y"),"")))</f>
        <v>#REF!</v>
      </c>
      <c r="N74" s="271" t="e">
        <f>IF(#REF!="Yes","H",IF($B74="","",IF(AND($C74&lt;=#REF!,$D74&gt;=#REF!),IF($G74="","x","y"),"")))</f>
        <v>#REF!</v>
      </c>
      <c r="O74" s="272" t="e">
        <f>IF(#REF!="Yes","H",IF($B74="","",IF(AND($C74&lt;=#REF!,$D74&gt;=#REF!),IF($G74="","x","y"),"")))</f>
        <v>#REF!</v>
      </c>
      <c r="P74" s="270" t="e">
        <f>IF(#REF!="Yes","H",IF($B74="","",IF(AND($C74&lt;=#REF!,$D74&gt;=#REF!),IF($G74="","x","y"),"")))</f>
        <v>#REF!</v>
      </c>
      <c r="Q74" s="270" t="e">
        <f>IF(#REF!="Yes","H",IF($B74="","",IF(AND($C74&lt;=#REF!,$D74&gt;=#REF!),IF($G74="","x","y"),"")))</f>
        <v>#REF!</v>
      </c>
      <c r="R74" s="270" t="e">
        <f>IF(#REF!="Yes","H",IF($B74="","",IF(AND($C74&lt;=#REF!,$D74&gt;=#REF!),IF($G74="","x","y"),"")))</f>
        <v>#REF!</v>
      </c>
      <c r="S74" s="273" t="e">
        <f>IF(#REF!="Yes","H",IF($B74="","",IF(AND($C74&lt;=#REF!,$D74&gt;=#REF!),IF($G74="","x","y"),"")))</f>
        <v>#REF!</v>
      </c>
      <c r="T74" s="274" t="e">
        <f>IF(#REF!="Yes","H",IF($B74="","",IF(AND($C74&lt;=#REF!,$D74&gt;=#REF!),IF($G74="","x","y"),"")))</f>
        <v>#REF!</v>
      </c>
      <c r="U74" s="270" t="e">
        <f>IF(#REF!="Yes","H",IF($B74="","",IF(AND($C74&lt;=#REF!,$D74&gt;=#REF!),IF($G74="","x","y"),"")))</f>
        <v>#REF!</v>
      </c>
      <c r="V74" s="270" t="e">
        <f>IF(#REF!="Yes","H",IF($B74="","",IF(AND($C74&lt;=#REF!,$D74&gt;=#REF!),IF($G74="","x","y"),"")))</f>
        <v>#REF!</v>
      </c>
      <c r="W74" s="270" t="e">
        <f>IF(#REF!="Yes","H",IF($B74="","",IF(AND($C74&lt;=#REF!,$D74&gt;=#REF!),IF($G74="","x","y"),"")))</f>
        <v>#REF!</v>
      </c>
      <c r="X74" s="271" t="e">
        <f>IF(#REF!="Yes","H",IF($B74="","",IF(AND($C74&lt;=#REF!,$D74&gt;=#REF!),IF($G74="","x","y"),"")))</f>
        <v>#REF!</v>
      </c>
      <c r="Y74" s="272" t="e">
        <f>IF(#REF!="Yes","H",IF($B74="","",IF(AND($C74&lt;=#REF!,$D74&gt;=#REF!),IF($G74="","x","y"),"")))</f>
        <v>#REF!</v>
      </c>
      <c r="Z74" s="270" t="e">
        <f>IF(#REF!="Yes","H",IF($B74="","",IF(AND($C74&lt;=#REF!,$D74&gt;=#REF!),IF($G74="","x","y"),"")))</f>
        <v>#REF!</v>
      </c>
      <c r="AA74" s="270" t="e">
        <f>IF(#REF!="Yes","H",IF($B74="","",IF(AND($C74&lt;=#REF!,$D74&gt;=#REF!),IF($G74="","x","y"),"")))</f>
        <v>#REF!</v>
      </c>
      <c r="AB74" s="270" t="e">
        <f>IF(#REF!="Yes","H",IF($B74="","",IF(AND($C74&lt;=#REF!,$D74&gt;=#REF!),IF($G74="","x","y"),"")))</f>
        <v>#REF!</v>
      </c>
      <c r="AC74" s="273" t="e">
        <f>IF(#REF!="Yes","H",IF($B74="","",IF(AND($C74&lt;=#REF!,$D74&gt;=#REF!),IF($G74="","x","y"),"")))</f>
        <v>#REF!</v>
      </c>
      <c r="AD74" s="274" t="e">
        <f>IF(#REF!="Yes","H",IF($B74="","",IF(AND($C74&lt;=#REF!,$D74&gt;=#REF!),IF($G74="","x","y"),"")))</f>
        <v>#REF!</v>
      </c>
      <c r="AE74" s="270" t="e">
        <f>IF(#REF!="Yes","H",IF($B74="","",IF(AND($C74&lt;=#REF!,$D74&gt;=#REF!),IF($G74="","x","y"),"")))</f>
        <v>#REF!</v>
      </c>
      <c r="AF74" s="270" t="e">
        <f>IF(#REF!="Yes","H",IF($B74="","",IF(AND($C74&lt;=#REF!,$D74&gt;=#REF!),IF($G74="","x","y"),"")))</f>
        <v>#REF!</v>
      </c>
      <c r="AG74" s="270" t="e">
        <f>IF(#REF!="Yes","H",IF($B74="","",IF(AND($C74&lt;=#REF!,$D74&gt;=#REF!),IF($G74="","x","y"),"")))</f>
        <v>#REF!</v>
      </c>
      <c r="AH74" s="271" t="e">
        <f>IF(#REF!="Yes","H",IF($B74="","",IF(AND($C74&lt;=#REF!,$D74&gt;=#REF!),IF($G74="","x","y"),"")))</f>
        <v>#REF!</v>
      </c>
      <c r="AI74" s="272" t="e">
        <f>IF(#REF!="Yes","H",IF($B74="","",IF(AND($C74&lt;=#REF!,$D74&gt;=#REF!),IF($G74="","x","y"),"")))</f>
        <v>#REF!</v>
      </c>
      <c r="AJ74" s="270" t="e">
        <f>IF(#REF!="Yes","H",IF($B74="","",IF(AND($C74&lt;=#REF!,$D74&gt;=#REF!),IF($G74="","x","y"),"")))</f>
        <v>#REF!</v>
      </c>
      <c r="AK74" s="270" t="e">
        <f>IF(#REF!="Yes","H",IF($B74="","",IF(AND($C74&lt;=#REF!,$D74&gt;=#REF!),IF($G74="","x","y"),"")))</f>
        <v>#REF!</v>
      </c>
      <c r="AL74" s="270" t="e">
        <f>IF(#REF!="Yes","H",IF($B74="","",IF(AND($C74&lt;=#REF!,$D74&gt;=#REF!),IF($G74="","x","y"),"")))</f>
        <v>#REF!</v>
      </c>
      <c r="AM74" s="273" t="e">
        <f>IF(#REF!="Yes","H",IF($B74="","",IF(AND($C74&lt;=#REF!,$D74&gt;=#REF!),IF($G74="","x","y"),"")))</f>
        <v>#REF!</v>
      </c>
      <c r="AN74" s="274" t="e">
        <f>IF(#REF!="Yes","H",IF($B74="","",IF(AND($C74&lt;=#REF!,$D74&gt;=#REF!),IF($G74="","x","y"),"")))</f>
        <v>#REF!</v>
      </c>
      <c r="AO74" s="270" t="e">
        <f>IF(#REF!="Yes","H",IF($B74="","",IF(AND($C74&lt;=#REF!,$D74&gt;=#REF!),IF($G74="","x","y"),"")))</f>
        <v>#REF!</v>
      </c>
      <c r="AP74" s="270" t="e">
        <f>IF(#REF!="Yes","H",IF($B74="","",IF(AND($C74&lt;=#REF!,$D74&gt;=#REF!),IF($G74="","x","y"),"")))</f>
        <v>#REF!</v>
      </c>
      <c r="AQ74" s="270" t="e">
        <f>IF(#REF!="Yes","H",IF($B74="","",IF(AND($C74&lt;=#REF!,$D74&gt;=#REF!),IF($G74="","x","y"),"")))</f>
        <v>#REF!</v>
      </c>
      <c r="AR74" s="271" t="e">
        <f>IF(#REF!="Yes","H",IF($B74="","",IF(AND($C74&lt;=#REF!,$D74&gt;=#REF!),IF($G74="","x","y"),"")))</f>
        <v>#REF!</v>
      </c>
      <c r="AS74" s="272" t="e">
        <f>IF(#REF!="Yes","H",IF($B74="","",IF(AND($C74&lt;=#REF!,$D74&gt;=#REF!),IF($G74="","x","y"),"")))</f>
        <v>#REF!</v>
      </c>
      <c r="AT74" s="270" t="e">
        <f>IF(#REF!="Yes","H",IF($B74="","",IF(AND($C74&lt;=#REF!,$D74&gt;=#REF!),IF($G74="","x","y"),"")))</f>
        <v>#REF!</v>
      </c>
      <c r="AU74" s="270" t="e">
        <f>IF(#REF!="Yes","H",IF($B74="","",IF(AND($C74&lt;=#REF!,$D74&gt;=#REF!),IF($G74="","x","y"),"")))</f>
        <v>#REF!</v>
      </c>
      <c r="AV74" s="270" t="e">
        <f>IF(#REF!="Yes","H",IF($B74="","",IF(AND($C74&lt;=#REF!,$D74&gt;=#REF!),IF($G74="","x","y"),"")))</f>
        <v>#REF!</v>
      </c>
      <c r="AW74" s="273" t="e">
        <f>IF(#REF!="Yes","H",IF($B74="","",IF(AND($C74&lt;=#REF!,$D74&gt;=#REF!),IF($G74="","x","y"),"")))</f>
        <v>#REF!</v>
      </c>
      <c r="AX74" s="274" t="e">
        <f>IF(#REF!="Yes","H",IF($B74="","",IF(AND($C74&lt;=#REF!,$D74&gt;=#REF!),IF($G74="","x","y"),"")))</f>
        <v>#REF!</v>
      </c>
      <c r="AY74" s="270" t="e">
        <f>IF(#REF!="Yes","H",IF($B74="","",IF(AND($C74&lt;=#REF!,$D74&gt;=#REF!),IF($G74="","x","y"),"")))</f>
        <v>#REF!</v>
      </c>
      <c r="AZ74" s="270" t="e">
        <f>IF(#REF!="Yes","H",IF($B74="","",IF(AND($C74&lt;=#REF!,$D74&gt;=#REF!),IF($G74="","x","y"),"")))</f>
        <v>#REF!</v>
      </c>
      <c r="BA74" s="270" t="e">
        <f>IF(#REF!="Yes","H",IF($B74="","",IF(AND($C74&lt;=#REF!,$D74&gt;=#REF!),IF($G74="","x","y"),"")))</f>
        <v>#REF!</v>
      </c>
      <c r="BB74" s="271" t="e">
        <f>IF(#REF!="Yes","H",IF($B74="","",IF(AND($C74&lt;=#REF!,$D74&gt;=#REF!),IF($G74="","x","y"),"")))</f>
        <v>#REF!</v>
      </c>
      <c r="BC74" s="272" t="e">
        <f>IF(#REF!="Yes","H",IF($B74="","",IF(AND($C74&lt;=#REF!,$D74&gt;=#REF!),IF($G74="","x","y"),"")))</f>
        <v>#REF!</v>
      </c>
      <c r="BD74" s="270" t="e">
        <f>IF(#REF!="Yes","H",IF($B74="","",IF(AND($C74&lt;=#REF!,$D74&gt;=#REF!),IF($G74="","x","y"),"")))</f>
        <v>#REF!</v>
      </c>
      <c r="BE74" s="270" t="e">
        <f>IF(#REF!="Yes","H",IF($B74="","",IF(AND($C74&lt;=#REF!,$D74&gt;=#REF!),IF($G74="","x","y"),"")))</f>
        <v>#REF!</v>
      </c>
      <c r="BF74" s="270" t="e">
        <f>IF(#REF!="Yes","H",IF($B74="","",IF(AND($C74&lt;=#REF!,$D74&gt;=#REF!),IF($G74="","x","y"),"")))</f>
        <v>#REF!</v>
      </c>
      <c r="BG74" s="273" t="e">
        <f>IF(#REF!="Yes","H",IF($B74="","",IF(AND($C74&lt;=#REF!,$D74&gt;=#REF!),IF($G74="","x","y"),"")))</f>
        <v>#REF!</v>
      </c>
      <c r="BH74" s="274" t="e">
        <f>IF(#REF!="Yes","H",IF($B74="","",IF(AND($C74&lt;=#REF!,$D74&gt;=#REF!),IF($G74="","x","y"),"")))</f>
        <v>#REF!</v>
      </c>
      <c r="BI74" s="270" t="e">
        <f>IF(#REF!="Yes","H",IF($B74="","",IF(AND($C74&lt;=#REF!,$D74&gt;=#REF!),IF($G74="","x","y"),"")))</f>
        <v>#REF!</v>
      </c>
      <c r="BJ74" s="270" t="e">
        <f>IF(#REF!="Yes","H",IF($B74="","",IF(AND($C74&lt;=#REF!,$D74&gt;=#REF!),IF($G74="","x","y"),"")))</f>
        <v>#REF!</v>
      </c>
      <c r="BK74" s="270" t="e">
        <f>IF(#REF!="Yes","H",IF($B74="","",IF(AND($C74&lt;=#REF!,$D74&gt;=#REF!),IF($G74="","x","y"),"")))</f>
        <v>#REF!</v>
      </c>
      <c r="BL74" s="271" t="e">
        <f>IF(#REF!="Yes","H",IF($B74="","",IF(AND($C74&lt;=#REF!,$D74&gt;=#REF!),IF($G74="","x","y"),"")))</f>
        <v>#REF!</v>
      </c>
      <c r="BM74" s="272" t="e">
        <f>IF(#REF!="Yes","H",IF($B74="","",IF(AND($C74&lt;=#REF!,$D74&gt;=#REF!),IF($G74="","x","y"),"")))</f>
        <v>#REF!</v>
      </c>
      <c r="BN74" s="270" t="e">
        <f>IF(#REF!="Yes","H",IF($B74="","",IF(AND($C74&lt;=#REF!,$D74&gt;=#REF!),IF($G74="","x","y"),"")))</f>
        <v>#REF!</v>
      </c>
      <c r="BO74" s="270" t="e">
        <f>IF(#REF!="Yes","H",IF($B74="","",IF(AND($C74&lt;=#REF!,$D74&gt;=#REF!),IF($G74="","x","y"),"")))</f>
        <v>#REF!</v>
      </c>
      <c r="BP74" s="270" t="e">
        <f>IF(#REF!="Yes","H",IF($B74="","",IF(AND($C74&lt;=#REF!,$D74&gt;=#REF!),IF($G74="","x","y"),"")))</f>
        <v>#REF!</v>
      </c>
      <c r="BQ74" s="273" t="e">
        <f>IF(#REF!="Yes","H",IF($B74="","",IF(AND($C74&lt;=#REF!,$D74&gt;=#REF!),IF($G74="","x","y"),"")))</f>
        <v>#REF!</v>
      </c>
      <c r="BR74" s="274" t="e">
        <f>IF(#REF!="Yes","H",IF($B74="","",IF(AND($C74&lt;=#REF!,$D74&gt;=#REF!),IF($G74="","x","y"),"")))</f>
        <v>#REF!</v>
      </c>
      <c r="BS74" s="270" t="e">
        <f>IF(#REF!="Yes","H",IF($B74="","",IF(AND($C74&lt;=#REF!,$D74&gt;=#REF!),IF($G74="","x","y"),"")))</f>
        <v>#REF!</v>
      </c>
      <c r="BT74" s="270" t="e">
        <f>IF(#REF!="Yes","H",IF($B74="","",IF(AND($C74&lt;=#REF!,$D74&gt;=#REF!),IF($G74="","x","y"),"")))</f>
        <v>#REF!</v>
      </c>
      <c r="BU74" s="270" t="e">
        <f>IF(#REF!="Yes","H",IF($B74="","",IF(AND($C74&lt;=#REF!,$D74&gt;=#REF!),IF($G74="","x","y"),"")))</f>
        <v>#REF!</v>
      </c>
      <c r="BV74" s="271" t="e">
        <f>IF(#REF!="Yes","H",IF($B74="","",IF(AND($C74&lt;=#REF!,$D74&gt;=#REF!),IF($G74="","x","y"),"")))</f>
        <v>#REF!</v>
      </c>
      <c r="BW74" s="272" t="e">
        <f>IF(#REF!="Yes","H",IF($B74="","",IF(AND($C74&lt;=#REF!,$D74&gt;=#REF!),IF($G74="","x","y"),"")))</f>
        <v>#REF!</v>
      </c>
      <c r="BX74" s="270" t="e">
        <f>IF(#REF!="Yes","H",IF($B74="","",IF(AND($C74&lt;=#REF!,$D74&gt;=#REF!),IF($G74="","x","y"),"")))</f>
        <v>#REF!</v>
      </c>
      <c r="BY74" s="270" t="e">
        <f>IF(#REF!="Yes","H",IF($B74="","",IF(AND($C74&lt;=#REF!,$D74&gt;=#REF!),IF($G74="","x","y"),"")))</f>
        <v>#REF!</v>
      </c>
      <c r="BZ74" s="270" t="e">
        <f>IF(#REF!="Yes","H",IF($B74="","",IF(AND($C74&lt;=#REF!,$D74&gt;=#REF!),IF($G74="","x","y"),"")))</f>
        <v>#REF!</v>
      </c>
      <c r="CA74" s="273" t="e">
        <f>IF(#REF!="Yes","H",IF($B74="","",IF(AND($C74&lt;=#REF!,$D74&gt;=#REF!),IF($G74="","x","y"),"")))</f>
        <v>#REF!</v>
      </c>
    </row>
    <row r="75" spans="2:79" ht="15" customHeight="1">
      <c r="B75" s="278"/>
      <c r="C75" s="260"/>
      <c r="D75" s="260"/>
      <c r="E75" s="260"/>
      <c r="F75" s="224"/>
      <c r="G75" s="275"/>
      <c r="H75" s="209"/>
      <c r="I75" s="211"/>
      <c r="J75" s="269" t="e">
        <f>IF(#REF!="Yes","H",IF($B75="","",IF(AND($C75&lt;=#REF!,$D75&gt;=#REF!),IF($G75="","x","y"),"")))</f>
        <v>#REF!</v>
      </c>
      <c r="K75" s="270" t="e">
        <f>IF(#REF!="Yes","H",IF($B75="","",IF(AND($C75&lt;=#REF!,$D75&gt;=#REF!),IF($G75="","x","y"),"")))</f>
        <v>#REF!</v>
      </c>
      <c r="L75" s="270" t="e">
        <f>IF(#REF!="Yes","H",IF($B75="","",IF(AND($C75&lt;=#REF!,$D75&gt;=#REF!),IF($G75="","x","y"),"")))</f>
        <v>#REF!</v>
      </c>
      <c r="M75" s="270" t="e">
        <f>IF(#REF!="Yes","H",IF($B75="","",IF(AND($C75&lt;=#REF!,$D75&gt;=#REF!),IF($G75="","x","y"),"")))</f>
        <v>#REF!</v>
      </c>
      <c r="N75" s="271" t="e">
        <f>IF(#REF!="Yes","H",IF($B75="","",IF(AND($C75&lt;=#REF!,$D75&gt;=#REF!),IF($G75="","x","y"),"")))</f>
        <v>#REF!</v>
      </c>
      <c r="O75" s="272" t="e">
        <f>IF(#REF!="Yes","H",IF($B75="","",IF(AND($C75&lt;=#REF!,$D75&gt;=#REF!),IF($G75="","x","y"),"")))</f>
        <v>#REF!</v>
      </c>
      <c r="P75" s="270" t="e">
        <f>IF(#REF!="Yes","H",IF($B75="","",IF(AND($C75&lt;=#REF!,$D75&gt;=#REF!),IF($G75="","x","y"),"")))</f>
        <v>#REF!</v>
      </c>
      <c r="Q75" s="270" t="e">
        <f>IF(#REF!="Yes","H",IF($B75="","",IF(AND($C75&lt;=#REF!,$D75&gt;=#REF!),IF($G75="","x","y"),"")))</f>
        <v>#REF!</v>
      </c>
      <c r="R75" s="270" t="e">
        <f>IF(#REF!="Yes","H",IF($B75="","",IF(AND($C75&lt;=#REF!,$D75&gt;=#REF!),IF($G75="","x","y"),"")))</f>
        <v>#REF!</v>
      </c>
      <c r="S75" s="273" t="e">
        <f>IF(#REF!="Yes","H",IF($B75="","",IF(AND($C75&lt;=#REF!,$D75&gt;=#REF!),IF($G75="","x","y"),"")))</f>
        <v>#REF!</v>
      </c>
      <c r="T75" s="274" t="e">
        <f>IF(#REF!="Yes","H",IF($B75="","",IF(AND($C75&lt;=#REF!,$D75&gt;=#REF!),IF($G75="","x","y"),"")))</f>
        <v>#REF!</v>
      </c>
      <c r="U75" s="270" t="e">
        <f>IF(#REF!="Yes","H",IF($B75="","",IF(AND($C75&lt;=#REF!,$D75&gt;=#REF!),IF($G75="","x","y"),"")))</f>
        <v>#REF!</v>
      </c>
      <c r="V75" s="270" t="e">
        <f>IF(#REF!="Yes","H",IF($B75="","",IF(AND($C75&lt;=#REF!,$D75&gt;=#REF!),IF($G75="","x","y"),"")))</f>
        <v>#REF!</v>
      </c>
      <c r="W75" s="270" t="e">
        <f>IF(#REF!="Yes","H",IF($B75="","",IF(AND($C75&lt;=#REF!,$D75&gt;=#REF!),IF($G75="","x","y"),"")))</f>
        <v>#REF!</v>
      </c>
      <c r="X75" s="271" t="e">
        <f>IF(#REF!="Yes","H",IF($B75="","",IF(AND($C75&lt;=#REF!,$D75&gt;=#REF!),IF($G75="","x","y"),"")))</f>
        <v>#REF!</v>
      </c>
      <c r="Y75" s="272" t="e">
        <f>IF(#REF!="Yes","H",IF($B75="","",IF(AND($C75&lt;=#REF!,$D75&gt;=#REF!),IF($G75="","x","y"),"")))</f>
        <v>#REF!</v>
      </c>
      <c r="Z75" s="270" t="e">
        <f>IF(#REF!="Yes","H",IF($B75="","",IF(AND($C75&lt;=#REF!,$D75&gt;=#REF!),IF($G75="","x","y"),"")))</f>
        <v>#REF!</v>
      </c>
      <c r="AA75" s="270" t="e">
        <f>IF(#REF!="Yes","H",IF($B75="","",IF(AND($C75&lt;=#REF!,$D75&gt;=#REF!),IF($G75="","x","y"),"")))</f>
        <v>#REF!</v>
      </c>
      <c r="AB75" s="270" t="e">
        <f>IF(#REF!="Yes","H",IF($B75="","",IF(AND($C75&lt;=#REF!,$D75&gt;=#REF!),IF($G75="","x","y"),"")))</f>
        <v>#REF!</v>
      </c>
      <c r="AC75" s="273" t="e">
        <f>IF(#REF!="Yes","H",IF($B75="","",IF(AND($C75&lt;=#REF!,$D75&gt;=#REF!),IF($G75="","x","y"),"")))</f>
        <v>#REF!</v>
      </c>
      <c r="AD75" s="274" t="e">
        <f>IF(#REF!="Yes","H",IF($B75="","",IF(AND($C75&lt;=#REF!,$D75&gt;=#REF!),IF($G75="","x","y"),"")))</f>
        <v>#REF!</v>
      </c>
      <c r="AE75" s="270" t="e">
        <f>IF(#REF!="Yes","H",IF($B75="","",IF(AND($C75&lt;=#REF!,$D75&gt;=#REF!),IF($G75="","x","y"),"")))</f>
        <v>#REF!</v>
      </c>
      <c r="AF75" s="270" t="e">
        <f>IF(#REF!="Yes","H",IF($B75="","",IF(AND($C75&lt;=#REF!,$D75&gt;=#REF!),IF($G75="","x","y"),"")))</f>
        <v>#REF!</v>
      </c>
      <c r="AG75" s="270" t="e">
        <f>IF(#REF!="Yes","H",IF($B75="","",IF(AND($C75&lt;=#REF!,$D75&gt;=#REF!),IF($G75="","x","y"),"")))</f>
        <v>#REF!</v>
      </c>
      <c r="AH75" s="271" t="e">
        <f>IF(#REF!="Yes","H",IF($B75="","",IF(AND($C75&lt;=#REF!,$D75&gt;=#REF!),IF($G75="","x","y"),"")))</f>
        <v>#REF!</v>
      </c>
      <c r="AI75" s="272" t="e">
        <f>IF(#REF!="Yes","H",IF($B75="","",IF(AND($C75&lt;=#REF!,$D75&gt;=#REF!),IF($G75="","x","y"),"")))</f>
        <v>#REF!</v>
      </c>
      <c r="AJ75" s="270" t="e">
        <f>IF(#REF!="Yes","H",IF($B75="","",IF(AND($C75&lt;=#REF!,$D75&gt;=#REF!),IF($G75="","x","y"),"")))</f>
        <v>#REF!</v>
      </c>
      <c r="AK75" s="270" t="e">
        <f>IF(#REF!="Yes","H",IF($B75="","",IF(AND($C75&lt;=#REF!,$D75&gt;=#REF!),IF($G75="","x","y"),"")))</f>
        <v>#REF!</v>
      </c>
      <c r="AL75" s="270" t="e">
        <f>IF(#REF!="Yes","H",IF($B75="","",IF(AND($C75&lt;=#REF!,$D75&gt;=#REF!),IF($G75="","x","y"),"")))</f>
        <v>#REF!</v>
      </c>
      <c r="AM75" s="273" t="e">
        <f>IF(#REF!="Yes","H",IF($B75="","",IF(AND($C75&lt;=#REF!,$D75&gt;=#REF!),IF($G75="","x","y"),"")))</f>
        <v>#REF!</v>
      </c>
      <c r="AN75" s="274" t="e">
        <f>IF(#REF!="Yes","H",IF($B75="","",IF(AND($C75&lt;=#REF!,$D75&gt;=#REF!),IF($G75="","x","y"),"")))</f>
        <v>#REF!</v>
      </c>
      <c r="AO75" s="270" t="e">
        <f>IF(#REF!="Yes","H",IF($B75="","",IF(AND($C75&lt;=#REF!,$D75&gt;=#REF!),IF($G75="","x","y"),"")))</f>
        <v>#REF!</v>
      </c>
      <c r="AP75" s="270" t="e">
        <f>IF(#REF!="Yes","H",IF($B75="","",IF(AND($C75&lt;=#REF!,$D75&gt;=#REF!),IF($G75="","x","y"),"")))</f>
        <v>#REF!</v>
      </c>
      <c r="AQ75" s="270" t="e">
        <f>IF(#REF!="Yes","H",IF($B75="","",IF(AND($C75&lt;=#REF!,$D75&gt;=#REF!),IF($G75="","x","y"),"")))</f>
        <v>#REF!</v>
      </c>
      <c r="AR75" s="271" t="e">
        <f>IF(#REF!="Yes","H",IF($B75="","",IF(AND($C75&lt;=#REF!,$D75&gt;=#REF!),IF($G75="","x","y"),"")))</f>
        <v>#REF!</v>
      </c>
      <c r="AS75" s="272" t="e">
        <f>IF(#REF!="Yes","H",IF($B75="","",IF(AND($C75&lt;=#REF!,$D75&gt;=#REF!),IF($G75="","x","y"),"")))</f>
        <v>#REF!</v>
      </c>
      <c r="AT75" s="270" t="e">
        <f>IF(#REF!="Yes","H",IF($B75="","",IF(AND($C75&lt;=#REF!,$D75&gt;=#REF!),IF($G75="","x","y"),"")))</f>
        <v>#REF!</v>
      </c>
      <c r="AU75" s="270" t="e">
        <f>IF(#REF!="Yes","H",IF($B75="","",IF(AND($C75&lt;=#REF!,$D75&gt;=#REF!),IF($G75="","x","y"),"")))</f>
        <v>#REF!</v>
      </c>
      <c r="AV75" s="270" t="e">
        <f>IF(#REF!="Yes","H",IF($B75="","",IF(AND($C75&lt;=#REF!,$D75&gt;=#REF!),IF($G75="","x","y"),"")))</f>
        <v>#REF!</v>
      </c>
      <c r="AW75" s="273" t="e">
        <f>IF(#REF!="Yes","H",IF($B75="","",IF(AND($C75&lt;=#REF!,$D75&gt;=#REF!),IF($G75="","x","y"),"")))</f>
        <v>#REF!</v>
      </c>
      <c r="AX75" s="274" t="e">
        <f>IF(#REF!="Yes","H",IF($B75="","",IF(AND($C75&lt;=#REF!,$D75&gt;=#REF!),IF($G75="","x","y"),"")))</f>
        <v>#REF!</v>
      </c>
      <c r="AY75" s="270" t="e">
        <f>IF(#REF!="Yes","H",IF($B75="","",IF(AND($C75&lt;=#REF!,$D75&gt;=#REF!),IF($G75="","x","y"),"")))</f>
        <v>#REF!</v>
      </c>
      <c r="AZ75" s="270" t="e">
        <f>IF(#REF!="Yes","H",IF($B75="","",IF(AND($C75&lt;=#REF!,$D75&gt;=#REF!),IF($G75="","x","y"),"")))</f>
        <v>#REF!</v>
      </c>
      <c r="BA75" s="270" t="e">
        <f>IF(#REF!="Yes","H",IF($B75="","",IF(AND($C75&lt;=#REF!,$D75&gt;=#REF!),IF($G75="","x","y"),"")))</f>
        <v>#REF!</v>
      </c>
      <c r="BB75" s="271" t="e">
        <f>IF(#REF!="Yes","H",IF($B75="","",IF(AND($C75&lt;=#REF!,$D75&gt;=#REF!),IF($G75="","x","y"),"")))</f>
        <v>#REF!</v>
      </c>
      <c r="BC75" s="272" t="e">
        <f>IF(#REF!="Yes","H",IF($B75="","",IF(AND($C75&lt;=#REF!,$D75&gt;=#REF!),IF($G75="","x","y"),"")))</f>
        <v>#REF!</v>
      </c>
      <c r="BD75" s="270" t="e">
        <f>IF(#REF!="Yes","H",IF($B75="","",IF(AND($C75&lt;=#REF!,$D75&gt;=#REF!),IF($G75="","x","y"),"")))</f>
        <v>#REF!</v>
      </c>
      <c r="BE75" s="270" t="e">
        <f>IF(#REF!="Yes","H",IF($B75="","",IF(AND($C75&lt;=#REF!,$D75&gt;=#REF!),IF($G75="","x","y"),"")))</f>
        <v>#REF!</v>
      </c>
      <c r="BF75" s="270" t="e">
        <f>IF(#REF!="Yes","H",IF($B75="","",IF(AND($C75&lt;=#REF!,$D75&gt;=#REF!),IF($G75="","x","y"),"")))</f>
        <v>#REF!</v>
      </c>
      <c r="BG75" s="273" t="e">
        <f>IF(#REF!="Yes","H",IF($B75="","",IF(AND($C75&lt;=#REF!,$D75&gt;=#REF!),IF($G75="","x","y"),"")))</f>
        <v>#REF!</v>
      </c>
      <c r="BH75" s="274" t="e">
        <f>IF(#REF!="Yes","H",IF($B75="","",IF(AND($C75&lt;=#REF!,$D75&gt;=#REF!),IF($G75="","x","y"),"")))</f>
        <v>#REF!</v>
      </c>
      <c r="BI75" s="270" t="e">
        <f>IF(#REF!="Yes","H",IF($B75="","",IF(AND($C75&lt;=#REF!,$D75&gt;=#REF!),IF($G75="","x","y"),"")))</f>
        <v>#REF!</v>
      </c>
      <c r="BJ75" s="270" t="e">
        <f>IF(#REF!="Yes","H",IF($B75="","",IF(AND($C75&lt;=#REF!,$D75&gt;=#REF!),IF($G75="","x","y"),"")))</f>
        <v>#REF!</v>
      </c>
      <c r="BK75" s="270" t="e">
        <f>IF(#REF!="Yes","H",IF($B75="","",IF(AND($C75&lt;=#REF!,$D75&gt;=#REF!),IF($G75="","x","y"),"")))</f>
        <v>#REF!</v>
      </c>
      <c r="BL75" s="271" t="e">
        <f>IF(#REF!="Yes","H",IF($B75="","",IF(AND($C75&lt;=#REF!,$D75&gt;=#REF!),IF($G75="","x","y"),"")))</f>
        <v>#REF!</v>
      </c>
      <c r="BM75" s="272" t="e">
        <f>IF(#REF!="Yes","H",IF($B75="","",IF(AND($C75&lt;=#REF!,$D75&gt;=#REF!),IF($G75="","x","y"),"")))</f>
        <v>#REF!</v>
      </c>
      <c r="BN75" s="270" t="e">
        <f>IF(#REF!="Yes","H",IF($B75="","",IF(AND($C75&lt;=#REF!,$D75&gt;=#REF!),IF($G75="","x","y"),"")))</f>
        <v>#REF!</v>
      </c>
      <c r="BO75" s="270" t="e">
        <f>IF(#REF!="Yes","H",IF($B75="","",IF(AND($C75&lt;=#REF!,$D75&gt;=#REF!),IF($G75="","x","y"),"")))</f>
        <v>#REF!</v>
      </c>
      <c r="BP75" s="270" t="e">
        <f>IF(#REF!="Yes","H",IF($B75="","",IF(AND($C75&lt;=#REF!,$D75&gt;=#REF!),IF($G75="","x","y"),"")))</f>
        <v>#REF!</v>
      </c>
      <c r="BQ75" s="273" t="e">
        <f>IF(#REF!="Yes","H",IF($B75="","",IF(AND($C75&lt;=#REF!,$D75&gt;=#REF!),IF($G75="","x","y"),"")))</f>
        <v>#REF!</v>
      </c>
      <c r="BR75" s="274" t="e">
        <f>IF(#REF!="Yes","H",IF($B75="","",IF(AND($C75&lt;=#REF!,$D75&gt;=#REF!),IF($G75="","x","y"),"")))</f>
        <v>#REF!</v>
      </c>
      <c r="BS75" s="270" t="e">
        <f>IF(#REF!="Yes","H",IF($B75="","",IF(AND($C75&lt;=#REF!,$D75&gt;=#REF!),IF($G75="","x","y"),"")))</f>
        <v>#REF!</v>
      </c>
      <c r="BT75" s="270" t="e">
        <f>IF(#REF!="Yes","H",IF($B75="","",IF(AND($C75&lt;=#REF!,$D75&gt;=#REF!),IF($G75="","x","y"),"")))</f>
        <v>#REF!</v>
      </c>
      <c r="BU75" s="270" t="e">
        <f>IF(#REF!="Yes","H",IF($B75="","",IF(AND($C75&lt;=#REF!,$D75&gt;=#REF!),IF($G75="","x","y"),"")))</f>
        <v>#REF!</v>
      </c>
      <c r="BV75" s="271" t="e">
        <f>IF(#REF!="Yes","H",IF($B75="","",IF(AND($C75&lt;=#REF!,$D75&gt;=#REF!),IF($G75="","x","y"),"")))</f>
        <v>#REF!</v>
      </c>
      <c r="BW75" s="272" t="e">
        <f>IF(#REF!="Yes","H",IF($B75="","",IF(AND($C75&lt;=#REF!,$D75&gt;=#REF!),IF($G75="","x","y"),"")))</f>
        <v>#REF!</v>
      </c>
      <c r="BX75" s="270" t="e">
        <f>IF(#REF!="Yes","H",IF($B75="","",IF(AND($C75&lt;=#REF!,$D75&gt;=#REF!),IF($G75="","x","y"),"")))</f>
        <v>#REF!</v>
      </c>
      <c r="BY75" s="270" t="e">
        <f>IF(#REF!="Yes","H",IF($B75="","",IF(AND($C75&lt;=#REF!,$D75&gt;=#REF!),IF($G75="","x","y"),"")))</f>
        <v>#REF!</v>
      </c>
      <c r="BZ75" s="270" t="e">
        <f>IF(#REF!="Yes","H",IF($B75="","",IF(AND($C75&lt;=#REF!,$D75&gt;=#REF!),IF($G75="","x","y"),"")))</f>
        <v>#REF!</v>
      </c>
      <c r="CA75" s="273" t="e">
        <f>IF(#REF!="Yes","H",IF($B75="","",IF(AND($C75&lt;=#REF!,$D75&gt;=#REF!),IF($G75="","x","y"),"")))</f>
        <v>#REF!</v>
      </c>
    </row>
    <row r="76" spans="2:79" ht="15" customHeight="1">
      <c r="B76" s="278"/>
      <c r="C76" s="260"/>
      <c r="D76" s="260"/>
      <c r="E76" s="260"/>
      <c r="F76" s="224"/>
      <c r="G76" s="275"/>
      <c r="H76" s="209"/>
      <c r="I76" s="211"/>
      <c r="J76" s="269" t="e">
        <f>IF(#REF!="Yes","H",IF($B76="","",IF(AND($C76&lt;=#REF!,$D76&gt;=#REF!),IF($G76="","x","y"),"")))</f>
        <v>#REF!</v>
      </c>
      <c r="K76" s="270" t="e">
        <f>IF(#REF!="Yes","H",IF($B76="","",IF(AND($C76&lt;=#REF!,$D76&gt;=#REF!),IF($G76="","x","y"),"")))</f>
        <v>#REF!</v>
      </c>
      <c r="L76" s="270" t="e">
        <f>IF(#REF!="Yes","H",IF($B76="","",IF(AND($C76&lt;=#REF!,$D76&gt;=#REF!),IF($G76="","x","y"),"")))</f>
        <v>#REF!</v>
      </c>
      <c r="M76" s="270" t="e">
        <f>IF(#REF!="Yes","H",IF($B76="","",IF(AND($C76&lt;=#REF!,$D76&gt;=#REF!),IF($G76="","x","y"),"")))</f>
        <v>#REF!</v>
      </c>
      <c r="N76" s="271" t="e">
        <f>IF(#REF!="Yes","H",IF($B76="","",IF(AND($C76&lt;=#REF!,$D76&gt;=#REF!),IF($G76="","x","y"),"")))</f>
        <v>#REF!</v>
      </c>
      <c r="O76" s="272" t="e">
        <f>IF(#REF!="Yes","H",IF($B76="","",IF(AND($C76&lt;=#REF!,$D76&gt;=#REF!),IF($G76="","x","y"),"")))</f>
        <v>#REF!</v>
      </c>
      <c r="P76" s="270" t="e">
        <f>IF(#REF!="Yes","H",IF($B76="","",IF(AND($C76&lt;=#REF!,$D76&gt;=#REF!),IF($G76="","x","y"),"")))</f>
        <v>#REF!</v>
      </c>
      <c r="Q76" s="270" t="e">
        <f>IF(#REF!="Yes","H",IF($B76="","",IF(AND($C76&lt;=#REF!,$D76&gt;=#REF!),IF($G76="","x","y"),"")))</f>
        <v>#REF!</v>
      </c>
      <c r="R76" s="270" t="e">
        <f>IF(#REF!="Yes","H",IF($B76="","",IF(AND($C76&lt;=#REF!,$D76&gt;=#REF!),IF($G76="","x","y"),"")))</f>
        <v>#REF!</v>
      </c>
      <c r="S76" s="273" t="e">
        <f>IF(#REF!="Yes","H",IF($B76="","",IF(AND($C76&lt;=#REF!,$D76&gt;=#REF!),IF($G76="","x","y"),"")))</f>
        <v>#REF!</v>
      </c>
      <c r="T76" s="274" t="e">
        <f>IF(#REF!="Yes","H",IF($B76="","",IF(AND($C76&lt;=#REF!,$D76&gt;=#REF!),IF($G76="","x","y"),"")))</f>
        <v>#REF!</v>
      </c>
      <c r="U76" s="270" t="e">
        <f>IF(#REF!="Yes","H",IF($B76="","",IF(AND($C76&lt;=#REF!,$D76&gt;=#REF!),IF($G76="","x","y"),"")))</f>
        <v>#REF!</v>
      </c>
      <c r="V76" s="270" t="e">
        <f>IF(#REF!="Yes","H",IF($B76="","",IF(AND($C76&lt;=#REF!,$D76&gt;=#REF!),IF($G76="","x","y"),"")))</f>
        <v>#REF!</v>
      </c>
      <c r="W76" s="270" t="e">
        <f>IF(#REF!="Yes","H",IF($B76="","",IF(AND($C76&lt;=#REF!,$D76&gt;=#REF!),IF($G76="","x","y"),"")))</f>
        <v>#REF!</v>
      </c>
      <c r="X76" s="271" t="e">
        <f>IF(#REF!="Yes","H",IF($B76="","",IF(AND($C76&lt;=#REF!,$D76&gt;=#REF!),IF($G76="","x","y"),"")))</f>
        <v>#REF!</v>
      </c>
      <c r="Y76" s="272" t="e">
        <f>IF(#REF!="Yes","H",IF($B76="","",IF(AND($C76&lt;=#REF!,$D76&gt;=#REF!),IF($G76="","x","y"),"")))</f>
        <v>#REF!</v>
      </c>
      <c r="Z76" s="270" t="e">
        <f>IF(#REF!="Yes","H",IF($B76="","",IF(AND($C76&lt;=#REF!,$D76&gt;=#REF!),IF($G76="","x","y"),"")))</f>
        <v>#REF!</v>
      </c>
      <c r="AA76" s="270" t="e">
        <f>IF(#REF!="Yes","H",IF($B76="","",IF(AND($C76&lt;=#REF!,$D76&gt;=#REF!),IF($G76="","x","y"),"")))</f>
        <v>#REF!</v>
      </c>
      <c r="AB76" s="270" t="e">
        <f>IF(#REF!="Yes","H",IF($B76="","",IF(AND($C76&lt;=#REF!,$D76&gt;=#REF!),IF($G76="","x","y"),"")))</f>
        <v>#REF!</v>
      </c>
      <c r="AC76" s="273" t="e">
        <f>IF(#REF!="Yes","H",IF($B76="","",IF(AND($C76&lt;=#REF!,$D76&gt;=#REF!),IF($G76="","x","y"),"")))</f>
        <v>#REF!</v>
      </c>
      <c r="AD76" s="274" t="e">
        <f>IF(#REF!="Yes","H",IF($B76="","",IF(AND($C76&lt;=#REF!,$D76&gt;=#REF!),IF($G76="","x","y"),"")))</f>
        <v>#REF!</v>
      </c>
      <c r="AE76" s="270" t="e">
        <f>IF(#REF!="Yes","H",IF($B76="","",IF(AND($C76&lt;=#REF!,$D76&gt;=#REF!),IF($G76="","x","y"),"")))</f>
        <v>#REF!</v>
      </c>
      <c r="AF76" s="270" t="e">
        <f>IF(#REF!="Yes","H",IF($B76="","",IF(AND($C76&lt;=#REF!,$D76&gt;=#REF!),IF($G76="","x","y"),"")))</f>
        <v>#REF!</v>
      </c>
      <c r="AG76" s="270" t="e">
        <f>IF(#REF!="Yes","H",IF($B76="","",IF(AND($C76&lt;=#REF!,$D76&gt;=#REF!),IF($G76="","x","y"),"")))</f>
        <v>#REF!</v>
      </c>
      <c r="AH76" s="271" t="e">
        <f>IF(#REF!="Yes","H",IF($B76="","",IF(AND($C76&lt;=#REF!,$D76&gt;=#REF!),IF($G76="","x","y"),"")))</f>
        <v>#REF!</v>
      </c>
      <c r="AI76" s="272" t="e">
        <f>IF(#REF!="Yes","H",IF($B76="","",IF(AND($C76&lt;=#REF!,$D76&gt;=#REF!),IF($G76="","x","y"),"")))</f>
        <v>#REF!</v>
      </c>
      <c r="AJ76" s="270" t="e">
        <f>IF(#REF!="Yes","H",IF($B76="","",IF(AND($C76&lt;=#REF!,$D76&gt;=#REF!),IF($G76="","x","y"),"")))</f>
        <v>#REF!</v>
      </c>
      <c r="AK76" s="270" t="e">
        <f>IF(#REF!="Yes","H",IF($B76="","",IF(AND($C76&lt;=#REF!,$D76&gt;=#REF!),IF($G76="","x","y"),"")))</f>
        <v>#REF!</v>
      </c>
      <c r="AL76" s="270" t="e">
        <f>IF(#REF!="Yes","H",IF($B76="","",IF(AND($C76&lt;=#REF!,$D76&gt;=#REF!),IF($G76="","x","y"),"")))</f>
        <v>#REF!</v>
      </c>
      <c r="AM76" s="273" t="e">
        <f>IF(#REF!="Yes","H",IF($B76="","",IF(AND($C76&lt;=#REF!,$D76&gt;=#REF!),IF($G76="","x","y"),"")))</f>
        <v>#REF!</v>
      </c>
      <c r="AN76" s="274" t="e">
        <f>IF(#REF!="Yes","H",IF($B76="","",IF(AND($C76&lt;=#REF!,$D76&gt;=#REF!),IF($G76="","x","y"),"")))</f>
        <v>#REF!</v>
      </c>
      <c r="AO76" s="270" t="e">
        <f>IF(#REF!="Yes","H",IF($B76="","",IF(AND($C76&lt;=#REF!,$D76&gt;=#REF!),IF($G76="","x","y"),"")))</f>
        <v>#REF!</v>
      </c>
      <c r="AP76" s="270" t="e">
        <f>IF(#REF!="Yes","H",IF($B76="","",IF(AND($C76&lt;=#REF!,$D76&gt;=#REF!),IF($G76="","x","y"),"")))</f>
        <v>#REF!</v>
      </c>
      <c r="AQ76" s="270" t="e">
        <f>IF(#REF!="Yes","H",IF($B76="","",IF(AND($C76&lt;=#REF!,$D76&gt;=#REF!),IF($G76="","x","y"),"")))</f>
        <v>#REF!</v>
      </c>
      <c r="AR76" s="271" t="e">
        <f>IF(#REF!="Yes","H",IF($B76="","",IF(AND($C76&lt;=#REF!,$D76&gt;=#REF!),IF($G76="","x","y"),"")))</f>
        <v>#REF!</v>
      </c>
      <c r="AS76" s="272" t="e">
        <f>IF(#REF!="Yes","H",IF($B76="","",IF(AND($C76&lt;=#REF!,$D76&gt;=#REF!),IF($G76="","x","y"),"")))</f>
        <v>#REF!</v>
      </c>
      <c r="AT76" s="270" t="e">
        <f>IF(#REF!="Yes","H",IF($B76="","",IF(AND($C76&lt;=#REF!,$D76&gt;=#REF!),IF($G76="","x","y"),"")))</f>
        <v>#REF!</v>
      </c>
      <c r="AU76" s="270" t="e">
        <f>IF(#REF!="Yes","H",IF($B76="","",IF(AND($C76&lt;=#REF!,$D76&gt;=#REF!),IF($G76="","x","y"),"")))</f>
        <v>#REF!</v>
      </c>
      <c r="AV76" s="270" t="e">
        <f>IF(#REF!="Yes","H",IF($B76="","",IF(AND($C76&lt;=#REF!,$D76&gt;=#REF!),IF($G76="","x","y"),"")))</f>
        <v>#REF!</v>
      </c>
      <c r="AW76" s="273" t="e">
        <f>IF(#REF!="Yes","H",IF($B76="","",IF(AND($C76&lt;=#REF!,$D76&gt;=#REF!),IF($G76="","x","y"),"")))</f>
        <v>#REF!</v>
      </c>
      <c r="AX76" s="274" t="e">
        <f>IF(#REF!="Yes","H",IF($B76="","",IF(AND($C76&lt;=#REF!,$D76&gt;=#REF!),IF($G76="","x","y"),"")))</f>
        <v>#REF!</v>
      </c>
      <c r="AY76" s="270" t="e">
        <f>IF(#REF!="Yes","H",IF($B76="","",IF(AND($C76&lt;=#REF!,$D76&gt;=#REF!),IF($G76="","x","y"),"")))</f>
        <v>#REF!</v>
      </c>
      <c r="AZ76" s="270" t="e">
        <f>IF(#REF!="Yes","H",IF($B76="","",IF(AND($C76&lt;=#REF!,$D76&gt;=#REF!),IF($G76="","x","y"),"")))</f>
        <v>#REF!</v>
      </c>
      <c r="BA76" s="270" t="e">
        <f>IF(#REF!="Yes","H",IF($B76="","",IF(AND($C76&lt;=#REF!,$D76&gt;=#REF!),IF($G76="","x","y"),"")))</f>
        <v>#REF!</v>
      </c>
      <c r="BB76" s="271" t="e">
        <f>IF(#REF!="Yes","H",IF($B76="","",IF(AND($C76&lt;=#REF!,$D76&gt;=#REF!),IF($G76="","x","y"),"")))</f>
        <v>#REF!</v>
      </c>
      <c r="BC76" s="272" t="e">
        <f>IF(#REF!="Yes","H",IF($B76="","",IF(AND($C76&lt;=#REF!,$D76&gt;=#REF!),IF($G76="","x","y"),"")))</f>
        <v>#REF!</v>
      </c>
      <c r="BD76" s="270" t="e">
        <f>IF(#REF!="Yes","H",IF($B76="","",IF(AND($C76&lt;=#REF!,$D76&gt;=#REF!),IF($G76="","x","y"),"")))</f>
        <v>#REF!</v>
      </c>
      <c r="BE76" s="270" t="e">
        <f>IF(#REF!="Yes","H",IF($B76="","",IF(AND($C76&lt;=#REF!,$D76&gt;=#REF!),IF($G76="","x","y"),"")))</f>
        <v>#REF!</v>
      </c>
      <c r="BF76" s="270" t="e">
        <f>IF(#REF!="Yes","H",IF($B76="","",IF(AND($C76&lt;=#REF!,$D76&gt;=#REF!),IF($G76="","x","y"),"")))</f>
        <v>#REF!</v>
      </c>
      <c r="BG76" s="273" t="e">
        <f>IF(#REF!="Yes","H",IF($B76="","",IF(AND($C76&lt;=#REF!,$D76&gt;=#REF!),IF($G76="","x","y"),"")))</f>
        <v>#REF!</v>
      </c>
      <c r="BH76" s="274" t="e">
        <f>IF(#REF!="Yes","H",IF($B76="","",IF(AND($C76&lt;=#REF!,$D76&gt;=#REF!),IF($G76="","x","y"),"")))</f>
        <v>#REF!</v>
      </c>
      <c r="BI76" s="270" t="e">
        <f>IF(#REF!="Yes","H",IF($B76="","",IF(AND($C76&lt;=#REF!,$D76&gt;=#REF!),IF($G76="","x","y"),"")))</f>
        <v>#REF!</v>
      </c>
      <c r="BJ76" s="270" t="e">
        <f>IF(#REF!="Yes","H",IF($B76="","",IF(AND($C76&lt;=#REF!,$D76&gt;=#REF!),IF($G76="","x","y"),"")))</f>
        <v>#REF!</v>
      </c>
      <c r="BK76" s="270" t="e">
        <f>IF(#REF!="Yes","H",IF($B76="","",IF(AND($C76&lt;=#REF!,$D76&gt;=#REF!),IF($G76="","x","y"),"")))</f>
        <v>#REF!</v>
      </c>
      <c r="BL76" s="271" t="e">
        <f>IF(#REF!="Yes","H",IF($B76="","",IF(AND($C76&lt;=#REF!,$D76&gt;=#REF!),IF($G76="","x","y"),"")))</f>
        <v>#REF!</v>
      </c>
      <c r="BM76" s="272" t="e">
        <f>IF(#REF!="Yes","H",IF($B76="","",IF(AND($C76&lt;=#REF!,$D76&gt;=#REF!),IF($G76="","x","y"),"")))</f>
        <v>#REF!</v>
      </c>
      <c r="BN76" s="270" t="e">
        <f>IF(#REF!="Yes","H",IF($B76="","",IF(AND($C76&lt;=#REF!,$D76&gt;=#REF!),IF($G76="","x","y"),"")))</f>
        <v>#REF!</v>
      </c>
      <c r="BO76" s="270" t="e">
        <f>IF(#REF!="Yes","H",IF($B76="","",IF(AND($C76&lt;=#REF!,$D76&gt;=#REF!),IF($G76="","x","y"),"")))</f>
        <v>#REF!</v>
      </c>
      <c r="BP76" s="270" t="e">
        <f>IF(#REF!="Yes","H",IF($B76="","",IF(AND($C76&lt;=#REF!,$D76&gt;=#REF!),IF($G76="","x","y"),"")))</f>
        <v>#REF!</v>
      </c>
      <c r="BQ76" s="273" t="e">
        <f>IF(#REF!="Yes","H",IF($B76="","",IF(AND($C76&lt;=#REF!,$D76&gt;=#REF!),IF($G76="","x","y"),"")))</f>
        <v>#REF!</v>
      </c>
      <c r="BR76" s="274" t="e">
        <f>IF(#REF!="Yes","H",IF($B76="","",IF(AND($C76&lt;=#REF!,$D76&gt;=#REF!),IF($G76="","x","y"),"")))</f>
        <v>#REF!</v>
      </c>
      <c r="BS76" s="270" t="e">
        <f>IF(#REF!="Yes","H",IF($B76="","",IF(AND($C76&lt;=#REF!,$D76&gt;=#REF!),IF($G76="","x","y"),"")))</f>
        <v>#REF!</v>
      </c>
      <c r="BT76" s="270" t="e">
        <f>IF(#REF!="Yes","H",IF($B76="","",IF(AND($C76&lt;=#REF!,$D76&gt;=#REF!),IF($G76="","x","y"),"")))</f>
        <v>#REF!</v>
      </c>
      <c r="BU76" s="270" t="e">
        <f>IF(#REF!="Yes","H",IF($B76="","",IF(AND($C76&lt;=#REF!,$D76&gt;=#REF!),IF($G76="","x","y"),"")))</f>
        <v>#REF!</v>
      </c>
      <c r="BV76" s="271" t="e">
        <f>IF(#REF!="Yes","H",IF($B76="","",IF(AND($C76&lt;=#REF!,$D76&gt;=#REF!),IF($G76="","x","y"),"")))</f>
        <v>#REF!</v>
      </c>
      <c r="BW76" s="272" t="e">
        <f>IF(#REF!="Yes","H",IF($B76="","",IF(AND($C76&lt;=#REF!,$D76&gt;=#REF!),IF($G76="","x","y"),"")))</f>
        <v>#REF!</v>
      </c>
      <c r="BX76" s="270" t="e">
        <f>IF(#REF!="Yes","H",IF($B76="","",IF(AND($C76&lt;=#REF!,$D76&gt;=#REF!),IF($G76="","x","y"),"")))</f>
        <v>#REF!</v>
      </c>
      <c r="BY76" s="270" t="e">
        <f>IF(#REF!="Yes","H",IF($B76="","",IF(AND($C76&lt;=#REF!,$D76&gt;=#REF!),IF($G76="","x","y"),"")))</f>
        <v>#REF!</v>
      </c>
      <c r="BZ76" s="270" t="e">
        <f>IF(#REF!="Yes","H",IF($B76="","",IF(AND($C76&lt;=#REF!,$D76&gt;=#REF!),IF($G76="","x","y"),"")))</f>
        <v>#REF!</v>
      </c>
      <c r="CA76" s="273" t="e">
        <f>IF(#REF!="Yes","H",IF($B76="","",IF(AND($C76&lt;=#REF!,$D76&gt;=#REF!),IF($G76="","x","y"),"")))</f>
        <v>#REF!</v>
      </c>
    </row>
    <row r="77" spans="2:79">
      <c r="B77" s="278"/>
      <c r="C77" s="260"/>
      <c r="D77" s="260"/>
      <c r="E77" s="260"/>
      <c r="F77" s="224"/>
      <c r="G77" s="275"/>
      <c r="H77" s="209"/>
      <c r="I77" s="211"/>
      <c r="J77" s="269" t="e">
        <f>IF(#REF!="Yes","H",IF($B77="","",IF(AND($C77&lt;=#REF!,$D77&gt;=#REF!),IF($G77="","x","y"),"")))</f>
        <v>#REF!</v>
      </c>
      <c r="K77" s="270" t="e">
        <f>IF(#REF!="Yes","H",IF($B77="","",IF(AND($C77&lt;=#REF!,$D77&gt;=#REF!),IF($G77="","x","y"),"")))</f>
        <v>#REF!</v>
      </c>
      <c r="L77" s="270" t="e">
        <f>IF(#REF!="Yes","H",IF($B77="","",IF(AND($C77&lt;=#REF!,$D77&gt;=#REF!),IF($G77="","x","y"),"")))</f>
        <v>#REF!</v>
      </c>
      <c r="M77" s="270" t="e">
        <f>IF(#REF!="Yes","H",IF($B77="","",IF(AND($C77&lt;=#REF!,$D77&gt;=#REF!),IF($G77="","x","y"),"")))</f>
        <v>#REF!</v>
      </c>
      <c r="N77" s="271" t="e">
        <f>IF(#REF!="Yes","H",IF($B77="","",IF(AND($C77&lt;=#REF!,$D77&gt;=#REF!),IF($G77="","x","y"),"")))</f>
        <v>#REF!</v>
      </c>
      <c r="O77" s="272" t="e">
        <f>IF(#REF!="Yes","H",IF($B77="","",IF(AND($C77&lt;=#REF!,$D77&gt;=#REF!),IF($G77="","x","y"),"")))</f>
        <v>#REF!</v>
      </c>
      <c r="P77" s="270" t="e">
        <f>IF(#REF!="Yes","H",IF($B77="","",IF(AND($C77&lt;=#REF!,$D77&gt;=#REF!),IF($G77="","x","y"),"")))</f>
        <v>#REF!</v>
      </c>
      <c r="Q77" s="270" t="e">
        <f>IF(#REF!="Yes","H",IF($B77="","",IF(AND($C77&lt;=#REF!,$D77&gt;=#REF!),IF($G77="","x","y"),"")))</f>
        <v>#REF!</v>
      </c>
      <c r="R77" s="270" t="e">
        <f>IF(#REF!="Yes","H",IF($B77="","",IF(AND($C77&lt;=#REF!,$D77&gt;=#REF!),IF($G77="","x","y"),"")))</f>
        <v>#REF!</v>
      </c>
      <c r="S77" s="273" t="e">
        <f>IF(#REF!="Yes","H",IF($B77="","",IF(AND($C77&lt;=#REF!,$D77&gt;=#REF!),IF($G77="","x","y"),"")))</f>
        <v>#REF!</v>
      </c>
      <c r="T77" s="274" t="e">
        <f>IF(#REF!="Yes","H",IF($B77="","",IF(AND($C77&lt;=#REF!,$D77&gt;=#REF!),IF($G77="","x","y"),"")))</f>
        <v>#REF!</v>
      </c>
      <c r="U77" s="270" t="e">
        <f>IF(#REF!="Yes","H",IF($B77="","",IF(AND($C77&lt;=#REF!,$D77&gt;=#REF!),IF($G77="","x","y"),"")))</f>
        <v>#REF!</v>
      </c>
      <c r="V77" s="270" t="e">
        <f>IF(#REF!="Yes","H",IF($B77="","",IF(AND($C77&lt;=#REF!,$D77&gt;=#REF!),IF($G77="","x","y"),"")))</f>
        <v>#REF!</v>
      </c>
      <c r="W77" s="270" t="e">
        <f>IF(#REF!="Yes","H",IF($B77="","",IF(AND($C77&lt;=#REF!,$D77&gt;=#REF!),IF($G77="","x","y"),"")))</f>
        <v>#REF!</v>
      </c>
      <c r="X77" s="271" t="e">
        <f>IF(#REF!="Yes","H",IF($B77="","",IF(AND($C77&lt;=#REF!,$D77&gt;=#REF!),IF($G77="","x","y"),"")))</f>
        <v>#REF!</v>
      </c>
      <c r="Y77" s="272" t="e">
        <f>IF(#REF!="Yes","H",IF($B77="","",IF(AND($C77&lt;=#REF!,$D77&gt;=#REF!),IF($G77="","x","y"),"")))</f>
        <v>#REF!</v>
      </c>
      <c r="Z77" s="270" t="e">
        <f>IF(#REF!="Yes","H",IF($B77="","",IF(AND($C77&lt;=#REF!,$D77&gt;=#REF!),IF($G77="","x","y"),"")))</f>
        <v>#REF!</v>
      </c>
      <c r="AA77" s="270" t="e">
        <f>IF(#REF!="Yes","H",IF($B77="","",IF(AND($C77&lt;=#REF!,$D77&gt;=#REF!),IF($G77="","x","y"),"")))</f>
        <v>#REF!</v>
      </c>
      <c r="AB77" s="270" t="e">
        <f>IF(#REF!="Yes","H",IF($B77="","",IF(AND($C77&lt;=#REF!,$D77&gt;=#REF!),IF($G77="","x","y"),"")))</f>
        <v>#REF!</v>
      </c>
      <c r="AC77" s="273" t="e">
        <f>IF(#REF!="Yes","H",IF($B77="","",IF(AND($C77&lt;=#REF!,$D77&gt;=#REF!),IF($G77="","x","y"),"")))</f>
        <v>#REF!</v>
      </c>
      <c r="AD77" s="274" t="e">
        <f>IF(#REF!="Yes","H",IF($B77="","",IF(AND($C77&lt;=#REF!,$D77&gt;=#REF!),IF($G77="","x","y"),"")))</f>
        <v>#REF!</v>
      </c>
      <c r="AE77" s="270" t="e">
        <f>IF(#REF!="Yes","H",IF($B77="","",IF(AND($C77&lt;=#REF!,$D77&gt;=#REF!),IF($G77="","x","y"),"")))</f>
        <v>#REF!</v>
      </c>
      <c r="AF77" s="270" t="e">
        <f>IF(#REF!="Yes","H",IF($B77="","",IF(AND($C77&lt;=#REF!,$D77&gt;=#REF!),IF($G77="","x","y"),"")))</f>
        <v>#REF!</v>
      </c>
      <c r="AG77" s="270" t="e">
        <f>IF(#REF!="Yes","H",IF($B77="","",IF(AND($C77&lt;=#REF!,$D77&gt;=#REF!),IF($G77="","x","y"),"")))</f>
        <v>#REF!</v>
      </c>
      <c r="AH77" s="271" t="e">
        <f>IF(#REF!="Yes","H",IF($B77="","",IF(AND($C77&lt;=#REF!,$D77&gt;=#REF!),IF($G77="","x","y"),"")))</f>
        <v>#REF!</v>
      </c>
      <c r="AI77" s="272" t="e">
        <f>IF(#REF!="Yes","H",IF($B77="","",IF(AND($C77&lt;=#REF!,$D77&gt;=#REF!),IF($G77="","x","y"),"")))</f>
        <v>#REF!</v>
      </c>
      <c r="AJ77" s="270" t="e">
        <f>IF(#REF!="Yes","H",IF($B77="","",IF(AND($C77&lt;=#REF!,$D77&gt;=#REF!),IF($G77="","x","y"),"")))</f>
        <v>#REF!</v>
      </c>
      <c r="AK77" s="270" t="e">
        <f>IF(#REF!="Yes","H",IF($B77="","",IF(AND($C77&lt;=#REF!,$D77&gt;=#REF!),IF($G77="","x","y"),"")))</f>
        <v>#REF!</v>
      </c>
      <c r="AL77" s="270" t="e">
        <f>IF(#REF!="Yes","H",IF($B77="","",IF(AND($C77&lt;=#REF!,$D77&gt;=#REF!),IF($G77="","x","y"),"")))</f>
        <v>#REF!</v>
      </c>
      <c r="AM77" s="273" t="e">
        <f>IF(#REF!="Yes","H",IF($B77="","",IF(AND($C77&lt;=#REF!,$D77&gt;=#REF!),IF($G77="","x","y"),"")))</f>
        <v>#REF!</v>
      </c>
      <c r="AN77" s="274" t="e">
        <f>IF(#REF!="Yes","H",IF($B77="","",IF(AND($C77&lt;=#REF!,$D77&gt;=#REF!),IF($G77="","x","y"),"")))</f>
        <v>#REF!</v>
      </c>
      <c r="AO77" s="270" t="e">
        <f>IF(#REF!="Yes","H",IF($B77="","",IF(AND($C77&lt;=#REF!,$D77&gt;=#REF!),IF($G77="","x","y"),"")))</f>
        <v>#REF!</v>
      </c>
      <c r="AP77" s="270" t="e">
        <f>IF(#REF!="Yes","H",IF($B77="","",IF(AND($C77&lt;=#REF!,$D77&gt;=#REF!),IF($G77="","x","y"),"")))</f>
        <v>#REF!</v>
      </c>
      <c r="AQ77" s="270" t="e">
        <f>IF(#REF!="Yes","H",IF($B77="","",IF(AND($C77&lt;=#REF!,$D77&gt;=#REF!),IF($G77="","x","y"),"")))</f>
        <v>#REF!</v>
      </c>
      <c r="AR77" s="271" t="e">
        <f>IF(#REF!="Yes","H",IF($B77="","",IF(AND($C77&lt;=#REF!,$D77&gt;=#REF!),IF($G77="","x","y"),"")))</f>
        <v>#REF!</v>
      </c>
      <c r="AS77" s="272" t="e">
        <f>IF(#REF!="Yes","H",IF($B77="","",IF(AND($C77&lt;=#REF!,$D77&gt;=#REF!),IF($G77="","x","y"),"")))</f>
        <v>#REF!</v>
      </c>
      <c r="AT77" s="270" t="e">
        <f>IF(#REF!="Yes","H",IF($B77="","",IF(AND($C77&lt;=#REF!,$D77&gt;=#REF!),IF($G77="","x","y"),"")))</f>
        <v>#REF!</v>
      </c>
      <c r="AU77" s="270" t="e">
        <f>IF(#REF!="Yes","H",IF($B77="","",IF(AND($C77&lt;=#REF!,$D77&gt;=#REF!),IF($G77="","x","y"),"")))</f>
        <v>#REF!</v>
      </c>
      <c r="AV77" s="270" t="e">
        <f>IF(#REF!="Yes","H",IF($B77="","",IF(AND($C77&lt;=#REF!,$D77&gt;=#REF!),IF($G77="","x","y"),"")))</f>
        <v>#REF!</v>
      </c>
      <c r="AW77" s="273" t="e">
        <f>IF(#REF!="Yes","H",IF($B77="","",IF(AND($C77&lt;=#REF!,$D77&gt;=#REF!),IF($G77="","x","y"),"")))</f>
        <v>#REF!</v>
      </c>
      <c r="AX77" s="274" t="e">
        <f>IF(#REF!="Yes","H",IF($B77="","",IF(AND($C77&lt;=#REF!,$D77&gt;=#REF!),IF($G77="","x","y"),"")))</f>
        <v>#REF!</v>
      </c>
      <c r="AY77" s="270" t="e">
        <f>IF(#REF!="Yes","H",IF($B77="","",IF(AND($C77&lt;=#REF!,$D77&gt;=#REF!),IF($G77="","x","y"),"")))</f>
        <v>#REF!</v>
      </c>
      <c r="AZ77" s="270" t="e">
        <f>IF(#REF!="Yes","H",IF($B77="","",IF(AND($C77&lt;=#REF!,$D77&gt;=#REF!),IF($G77="","x","y"),"")))</f>
        <v>#REF!</v>
      </c>
      <c r="BA77" s="270" t="e">
        <f>IF(#REF!="Yes","H",IF($B77="","",IF(AND($C77&lt;=#REF!,$D77&gt;=#REF!),IF($G77="","x","y"),"")))</f>
        <v>#REF!</v>
      </c>
      <c r="BB77" s="271" t="e">
        <f>IF(#REF!="Yes","H",IF($B77="","",IF(AND($C77&lt;=#REF!,$D77&gt;=#REF!),IF($G77="","x","y"),"")))</f>
        <v>#REF!</v>
      </c>
      <c r="BC77" s="272" t="e">
        <f>IF(#REF!="Yes","H",IF($B77="","",IF(AND($C77&lt;=#REF!,$D77&gt;=#REF!),IF($G77="","x","y"),"")))</f>
        <v>#REF!</v>
      </c>
      <c r="BD77" s="270" t="e">
        <f>IF(#REF!="Yes","H",IF($B77="","",IF(AND($C77&lt;=#REF!,$D77&gt;=#REF!),IF($G77="","x","y"),"")))</f>
        <v>#REF!</v>
      </c>
      <c r="BE77" s="270" t="e">
        <f>IF(#REF!="Yes","H",IF($B77="","",IF(AND($C77&lt;=#REF!,$D77&gt;=#REF!),IF($G77="","x","y"),"")))</f>
        <v>#REF!</v>
      </c>
      <c r="BF77" s="270" t="e">
        <f>IF(#REF!="Yes","H",IF($B77="","",IF(AND($C77&lt;=#REF!,$D77&gt;=#REF!),IF($G77="","x","y"),"")))</f>
        <v>#REF!</v>
      </c>
      <c r="BG77" s="273" t="e">
        <f>IF(#REF!="Yes","H",IF($B77="","",IF(AND($C77&lt;=#REF!,$D77&gt;=#REF!),IF($G77="","x","y"),"")))</f>
        <v>#REF!</v>
      </c>
      <c r="BH77" s="274" t="e">
        <f>IF(#REF!="Yes","H",IF($B77="","",IF(AND($C77&lt;=#REF!,$D77&gt;=#REF!),IF($G77="","x","y"),"")))</f>
        <v>#REF!</v>
      </c>
      <c r="BI77" s="270" t="e">
        <f>IF(#REF!="Yes","H",IF($B77="","",IF(AND($C77&lt;=#REF!,$D77&gt;=#REF!),IF($G77="","x","y"),"")))</f>
        <v>#REF!</v>
      </c>
      <c r="BJ77" s="270" t="e">
        <f>IF(#REF!="Yes","H",IF($B77="","",IF(AND($C77&lt;=#REF!,$D77&gt;=#REF!),IF($G77="","x","y"),"")))</f>
        <v>#REF!</v>
      </c>
      <c r="BK77" s="270" t="e">
        <f>IF(#REF!="Yes","H",IF($B77="","",IF(AND($C77&lt;=#REF!,$D77&gt;=#REF!),IF($G77="","x","y"),"")))</f>
        <v>#REF!</v>
      </c>
      <c r="BL77" s="271" t="e">
        <f>IF(#REF!="Yes","H",IF($B77="","",IF(AND($C77&lt;=#REF!,$D77&gt;=#REF!),IF($G77="","x","y"),"")))</f>
        <v>#REF!</v>
      </c>
      <c r="BM77" s="272" t="e">
        <f>IF(#REF!="Yes","H",IF($B77="","",IF(AND($C77&lt;=#REF!,$D77&gt;=#REF!),IF($G77="","x","y"),"")))</f>
        <v>#REF!</v>
      </c>
      <c r="BN77" s="270" t="e">
        <f>IF(#REF!="Yes","H",IF($B77="","",IF(AND($C77&lt;=#REF!,$D77&gt;=#REF!),IF($G77="","x","y"),"")))</f>
        <v>#REF!</v>
      </c>
      <c r="BO77" s="270" t="e">
        <f>IF(#REF!="Yes","H",IF($B77="","",IF(AND($C77&lt;=#REF!,$D77&gt;=#REF!),IF($G77="","x","y"),"")))</f>
        <v>#REF!</v>
      </c>
      <c r="BP77" s="270" t="e">
        <f>IF(#REF!="Yes","H",IF($B77="","",IF(AND($C77&lt;=#REF!,$D77&gt;=#REF!),IF($G77="","x","y"),"")))</f>
        <v>#REF!</v>
      </c>
      <c r="BQ77" s="273" t="e">
        <f>IF(#REF!="Yes","H",IF($B77="","",IF(AND($C77&lt;=#REF!,$D77&gt;=#REF!),IF($G77="","x","y"),"")))</f>
        <v>#REF!</v>
      </c>
      <c r="BR77" s="274" t="e">
        <f>IF(#REF!="Yes","H",IF($B77="","",IF(AND($C77&lt;=#REF!,$D77&gt;=#REF!),IF($G77="","x","y"),"")))</f>
        <v>#REF!</v>
      </c>
      <c r="BS77" s="270" t="e">
        <f>IF(#REF!="Yes","H",IF($B77="","",IF(AND($C77&lt;=#REF!,$D77&gt;=#REF!),IF($G77="","x","y"),"")))</f>
        <v>#REF!</v>
      </c>
      <c r="BT77" s="270" t="e">
        <f>IF(#REF!="Yes","H",IF($B77="","",IF(AND($C77&lt;=#REF!,$D77&gt;=#REF!),IF($G77="","x","y"),"")))</f>
        <v>#REF!</v>
      </c>
      <c r="BU77" s="270" t="e">
        <f>IF(#REF!="Yes","H",IF($B77="","",IF(AND($C77&lt;=#REF!,$D77&gt;=#REF!),IF($G77="","x","y"),"")))</f>
        <v>#REF!</v>
      </c>
      <c r="BV77" s="271" t="e">
        <f>IF(#REF!="Yes","H",IF($B77="","",IF(AND($C77&lt;=#REF!,$D77&gt;=#REF!),IF($G77="","x","y"),"")))</f>
        <v>#REF!</v>
      </c>
      <c r="BW77" s="272" t="e">
        <f>IF(#REF!="Yes","H",IF($B77="","",IF(AND($C77&lt;=#REF!,$D77&gt;=#REF!),IF($G77="","x","y"),"")))</f>
        <v>#REF!</v>
      </c>
      <c r="BX77" s="270" t="e">
        <f>IF(#REF!="Yes","H",IF($B77="","",IF(AND($C77&lt;=#REF!,$D77&gt;=#REF!),IF($G77="","x","y"),"")))</f>
        <v>#REF!</v>
      </c>
      <c r="BY77" s="270" t="e">
        <f>IF(#REF!="Yes","H",IF($B77="","",IF(AND($C77&lt;=#REF!,$D77&gt;=#REF!),IF($G77="","x","y"),"")))</f>
        <v>#REF!</v>
      </c>
      <c r="BZ77" s="270" t="e">
        <f>IF(#REF!="Yes","H",IF($B77="","",IF(AND($C77&lt;=#REF!,$D77&gt;=#REF!),IF($G77="","x","y"),"")))</f>
        <v>#REF!</v>
      </c>
      <c r="CA77" s="273" t="e">
        <f>IF(#REF!="Yes","H",IF($B77="","",IF(AND($C77&lt;=#REF!,$D77&gt;=#REF!),IF($G77="","x","y"),"")))</f>
        <v>#REF!</v>
      </c>
    </row>
    <row r="78" spans="2:79" ht="15" customHeight="1">
      <c r="B78" s="278"/>
      <c r="C78" s="260"/>
      <c r="D78" s="260"/>
      <c r="E78" s="260"/>
      <c r="F78" s="224"/>
      <c r="G78" s="275"/>
      <c r="H78" s="209"/>
      <c r="I78" s="211"/>
      <c r="J78" s="269" t="e">
        <f>IF(#REF!="Yes","H",IF($B78="","",IF(AND($C78&lt;=#REF!,$D78&gt;=#REF!),IF($G78="","x","y"),"")))</f>
        <v>#REF!</v>
      </c>
      <c r="K78" s="270" t="e">
        <f>IF(#REF!="Yes","H",IF($B78="","",IF(AND($C78&lt;=#REF!,$D78&gt;=#REF!),IF($G78="","x","y"),"")))</f>
        <v>#REF!</v>
      </c>
      <c r="L78" s="270" t="e">
        <f>IF(#REF!="Yes","H",IF($B78="","",IF(AND($C78&lt;=#REF!,$D78&gt;=#REF!),IF($G78="","x","y"),"")))</f>
        <v>#REF!</v>
      </c>
      <c r="M78" s="270" t="e">
        <f>IF(#REF!="Yes","H",IF($B78="","",IF(AND($C78&lt;=#REF!,$D78&gt;=#REF!),IF($G78="","x","y"),"")))</f>
        <v>#REF!</v>
      </c>
      <c r="N78" s="271" t="e">
        <f>IF(#REF!="Yes","H",IF($B78="","",IF(AND($C78&lt;=#REF!,$D78&gt;=#REF!),IF($G78="","x","y"),"")))</f>
        <v>#REF!</v>
      </c>
      <c r="O78" s="272" t="e">
        <f>IF(#REF!="Yes","H",IF($B78="","",IF(AND($C78&lt;=#REF!,$D78&gt;=#REF!),IF($G78="","x","y"),"")))</f>
        <v>#REF!</v>
      </c>
      <c r="P78" s="270" t="e">
        <f>IF(#REF!="Yes","H",IF($B78="","",IF(AND($C78&lt;=#REF!,$D78&gt;=#REF!),IF($G78="","x","y"),"")))</f>
        <v>#REF!</v>
      </c>
      <c r="Q78" s="270" t="e">
        <f>IF(#REF!="Yes","H",IF($B78="","",IF(AND($C78&lt;=#REF!,$D78&gt;=#REF!),IF($G78="","x","y"),"")))</f>
        <v>#REF!</v>
      </c>
      <c r="R78" s="270" t="e">
        <f>IF(#REF!="Yes","H",IF($B78="","",IF(AND($C78&lt;=#REF!,$D78&gt;=#REF!),IF($G78="","x","y"),"")))</f>
        <v>#REF!</v>
      </c>
      <c r="S78" s="273" t="e">
        <f>IF(#REF!="Yes","H",IF($B78="","",IF(AND($C78&lt;=#REF!,$D78&gt;=#REF!),IF($G78="","x","y"),"")))</f>
        <v>#REF!</v>
      </c>
      <c r="T78" s="274" t="e">
        <f>IF(#REF!="Yes","H",IF($B78="","",IF(AND($C78&lt;=#REF!,$D78&gt;=#REF!),IF($G78="","x","y"),"")))</f>
        <v>#REF!</v>
      </c>
      <c r="U78" s="270" t="e">
        <f>IF(#REF!="Yes","H",IF($B78="","",IF(AND($C78&lt;=#REF!,$D78&gt;=#REF!),IF($G78="","x","y"),"")))</f>
        <v>#REF!</v>
      </c>
      <c r="V78" s="270" t="e">
        <f>IF(#REF!="Yes","H",IF($B78="","",IF(AND($C78&lt;=#REF!,$D78&gt;=#REF!),IF($G78="","x","y"),"")))</f>
        <v>#REF!</v>
      </c>
      <c r="W78" s="270" t="e">
        <f>IF(#REF!="Yes","H",IF($B78="","",IF(AND($C78&lt;=#REF!,$D78&gt;=#REF!),IF($G78="","x","y"),"")))</f>
        <v>#REF!</v>
      </c>
      <c r="X78" s="271" t="e">
        <f>IF(#REF!="Yes","H",IF($B78="","",IF(AND($C78&lt;=#REF!,$D78&gt;=#REF!),IF($G78="","x","y"),"")))</f>
        <v>#REF!</v>
      </c>
      <c r="Y78" s="272" t="e">
        <f>IF(#REF!="Yes","H",IF($B78="","",IF(AND($C78&lt;=#REF!,$D78&gt;=#REF!),IF($G78="","x","y"),"")))</f>
        <v>#REF!</v>
      </c>
      <c r="Z78" s="270" t="e">
        <f>IF(#REF!="Yes","H",IF($B78="","",IF(AND($C78&lt;=#REF!,$D78&gt;=#REF!),IF($G78="","x","y"),"")))</f>
        <v>#REF!</v>
      </c>
      <c r="AA78" s="270" t="e">
        <f>IF(#REF!="Yes","H",IF($B78="","",IF(AND($C78&lt;=#REF!,$D78&gt;=#REF!),IF($G78="","x","y"),"")))</f>
        <v>#REF!</v>
      </c>
      <c r="AB78" s="270" t="e">
        <f>IF(#REF!="Yes","H",IF($B78="","",IF(AND($C78&lt;=#REF!,$D78&gt;=#REF!),IF($G78="","x","y"),"")))</f>
        <v>#REF!</v>
      </c>
      <c r="AC78" s="273" t="e">
        <f>IF(#REF!="Yes","H",IF($B78="","",IF(AND($C78&lt;=#REF!,$D78&gt;=#REF!),IF($G78="","x","y"),"")))</f>
        <v>#REF!</v>
      </c>
      <c r="AD78" s="274" t="e">
        <f>IF(#REF!="Yes","H",IF($B78="","",IF(AND($C78&lt;=#REF!,$D78&gt;=#REF!),IF($G78="","x","y"),"")))</f>
        <v>#REF!</v>
      </c>
      <c r="AE78" s="270" t="e">
        <f>IF(#REF!="Yes","H",IF($B78="","",IF(AND($C78&lt;=#REF!,$D78&gt;=#REF!),IF($G78="","x","y"),"")))</f>
        <v>#REF!</v>
      </c>
      <c r="AF78" s="270" t="e">
        <f>IF(#REF!="Yes","H",IF($B78="","",IF(AND($C78&lt;=#REF!,$D78&gt;=#REF!),IF($G78="","x","y"),"")))</f>
        <v>#REF!</v>
      </c>
      <c r="AG78" s="270" t="e">
        <f>IF(#REF!="Yes","H",IF($B78="","",IF(AND($C78&lt;=#REF!,$D78&gt;=#REF!),IF($G78="","x","y"),"")))</f>
        <v>#REF!</v>
      </c>
      <c r="AH78" s="271" t="e">
        <f>IF(#REF!="Yes","H",IF($B78="","",IF(AND($C78&lt;=#REF!,$D78&gt;=#REF!),IF($G78="","x","y"),"")))</f>
        <v>#REF!</v>
      </c>
      <c r="AI78" s="272" t="e">
        <f>IF(#REF!="Yes","H",IF($B78="","",IF(AND($C78&lt;=#REF!,$D78&gt;=#REF!),IF($G78="","x","y"),"")))</f>
        <v>#REF!</v>
      </c>
      <c r="AJ78" s="270" t="e">
        <f>IF(#REF!="Yes","H",IF($B78="","",IF(AND($C78&lt;=#REF!,$D78&gt;=#REF!),IF($G78="","x","y"),"")))</f>
        <v>#REF!</v>
      </c>
      <c r="AK78" s="270" t="e">
        <f>IF(#REF!="Yes","H",IF($B78="","",IF(AND($C78&lt;=#REF!,$D78&gt;=#REF!),IF($G78="","x","y"),"")))</f>
        <v>#REF!</v>
      </c>
      <c r="AL78" s="270" t="e">
        <f>IF(#REF!="Yes","H",IF($B78="","",IF(AND($C78&lt;=#REF!,$D78&gt;=#REF!),IF($G78="","x","y"),"")))</f>
        <v>#REF!</v>
      </c>
      <c r="AM78" s="273" t="e">
        <f>IF(#REF!="Yes","H",IF($B78="","",IF(AND($C78&lt;=#REF!,$D78&gt;=#REF!),IF($G78="","x","y"),"")))</f>
        <v>#REF!</v>
      </c>
      <c r="AN78" s="274" t="e">
        <f>IF(#REF!="Yes","H",IF($B78="","",IF(AND($C78&lt;=#REF!,$D78&gt;=#REF!),IF($G78="","x","y"),"")))</f>
        <v>#REF!</v>
      </c>
      <c r="AO78" s="270" t="e">
        <f>IF(#REF!="Yes","H",IF($B78="","",IF(AND($C78&lt;=#REF!,$D78&gt;=#REF!),IF($G78="","x","y"),"")))</f>
        <v>#REF!</v>
      </c>
      <c r="AP78" s="270" t="e">
        <f>IF(#REF!="Yes","H",IF($B78="","",IF(AND($C78&lt;=#REF!,$D78&gt;=#REF!),IF($G78="","x","y"),"")))</f>
        <v>#REF!</v>
      </c>
      <c r="AQ78" s="270" t="e">
        <f>IF(#REF!="Yes","H",IF($B78="","",IF(AND($C78&lt;=#REF!,$D78&gt;=#REF!),IF($G78="","x","y"),"")))</f>
        <v>#REF!</v>
      </c>
      <c r="AR78" s="271" t="e">
        <f>IF(#REF!="Yes","H",IF($B78="","",IF(AND($C78&lt;=#REF!,$D78&gt;=#REF!),IF($G78="","x","y"),"")))</f>
        <v>#REF!</v>
      </c>
      <c r="AS78" s="272" t="e">
        <f>IF(#REF!="Yes","H",IF($B78="","",IF(AND($C78&lt;=#REF!,$D78&gt;=#REF!),IF($G78="","x","y"),"")))</f>
        <v>#REF!</v>
      </c>
      <c r="AT78" s="270" t="e">
        <f>IF(#REF!="Yes","H",IF($B78="","",IF(AND($C78&lt;=#REF!,$D78&gt;=#REF!),IF($G78="","x","y"),"")))</f>
        <v>#REF!</v>
      </c>
      <c r="AU78" s="270" t="e">
        <f>IF(#REF!="Yes","H",IF($B78="","",IF(AND($C78&lt;=#REF!,$D78&gt;=#REF!),IF($G78="","x","y"),"")))</f>
        <v>#REF!</v>
      </c>
      <c r="AV78" s="270" t="e">
        <f>IF(#REF!="Yes","H",IF($B78="","",IF(AND($C78&lt;=#REF!,$D78&gt;=#REF!),IF($G78="","x","y"),"")))</f>
        <v>#REF!</v>
      </c>
      <c r="AW78" s="273" t="e">
        <f>IF(#REF!="Yes","H",IF($B78="","",IF(AND($C78&lt;=#REF!,$D78&gt;=#REF!),IF($G78="","x","y"),"")))</f>
        <v>#REF!</v>
      </c>
      <c r="AX78" s="274" t="e">
        <f>IF(#REF!="Yes","H",IF($B78="","",IF(AND($C78&lt;=#REF!,$D78&gt;=#REF!),IF($G78="","x","y"),"")))</f>
        <v>#REF!</v>
      </c>
      <c r="AY78" s="270" t="e">
        <f>IF(#REF!="Yes","H",IF($B78="","",IF(AND($C78&lt;=#REF!,$D78&gt;=#REF!),IF($G78="","x","y"),"")))</f>
        <v>#REF!</v>
      </c>
      <c r="AZ78" s="270" t="e">
        <f>IF(#REF!="Yes","H",IF($B78="","",IF(AND($C78&lt;=#REF!,$D78&gt;=#REF!),IF($G78="","x","y"),"")))</f>
        <v>#REF!</v>
      </c>
      <c r="BA78" s="270" t="e">
        <f>IF(#REF!="Yes","H",IF($B78="","",IF(AND($C78&lt;=#REF!,$D78&gt;=#REF!),IF($G78="","x","y"),"")))</f>
        <v>#REF!</v>
      </c>
      <c r="BB78" s="271" t="e">
        <f>IF(#REF!="Yes","H",IF($B78="","",IF(AND($C78&lt;=#REF!,$D78&gt;=#REF!),IF($G78="","x","y"),"")))</f>
        <v>#REF!</v>
      </c>
      <c r="BC78" s="272" t="e">
        <f>IF(#REF!="Yes","H",IF($B78="","",IF(AND($C78&lt;=#REF!,$D78&gt;=#REF!),IF($G78="","x","y"),"")))</f>
        <v>#REF!</v>
      </c>
      <c r="BD78" s="270" t="e">
        <f>IF(#REF!="Yes","H",IF($B78="","",IF(AND($C78&lt;=#REF!,$D78&gt;=#REF!),IF($G78="","x","y"),"")))</f>
        <v>#REF!</v>
      </c>
      <c r="BE78" s="270" t="e">
        <f>IF(#REF!="Yes","H",IF($B78="","",IF(AND($C78&lt;=#REF!,$D78&gt;=#REF!),IF($G78="","x","y"),"")))</f>
        <v>#REF!</v>
      </c>
      <c r="BF78" s="270" t="e">
        <f>IF(#REF!="Yes","H",IF($B78="","",IF(AND($C78&lt;=#REF!,$D78&gt;=#REF!),IF($G78="","x","y"),"")))</f>
        <v>#REF!</v>
      </c>
      <c r="BG78" s="273" t="e">
        <f>IF(#REF!="Yes","H",IF($B78="","",IF(AND($C78&lt;=#REF!,$D78&gt;=#REF!),IF($G78="","x","y"),"")))</f>
        <v>#REF!</v>
      </c>
      <c r="BH78" s="274" t="e">
        <f>IF(#REF!="Yes","H",IF($B78="","",IF(AND($C78&lt;=#REF!,$D78&gt;=#REF!),IF($G78="","x","y"),"")))</f>
        <v>#REF!</v>
      </c>
      <c r="BI78" s="270" t="e">
        <f>IF(#REF!="Yes","H",IF($B78="","",IF(AND($C78&lt;=#REF!,$D78&gt;=#REF!),IF($G78="","x","y"),"")))</f>
        <v>#REF!</v>
      </c>
      <c r="BJ78" s="270" t="e">
        <f>IF(#REF!="Yes","H",IF($B78="","",IF(AND($C78&lt;=#REF!,$D78&gt;=#REF!),IF($G78="","x","y"),"")))</f>
        <v>#REF!</v>
      </c>
      <c r="BK78" s="270" t="e">
        <f>IF(#REF!="Yes","H",IF($B78="","",IF(AND($C78&lt;=#REF!,$D78&gt;=#REF!),IF($G78="","x","y"),"")))</f>
        <v>#REF!</v>
      </c>
      <c r="BL78" s="271" t="e">
        <f>IF(#REF!="Yes","H",IF($B78="","",IF(AND($C78&lt;=#REF!,$D78&gt;=#REF!),IF($G78="","x","y"),"")))</f>
        <v>#REF!</v>
      </c>
      <c r="BM78" s="272" t="e">
        <f>IF(#REF!="Yes","H",IF($B78="","",IF(AND($C78&lt;=#REF!,$D78&gt;=#REF!),IF($G78="","x","y"),"")))</f>
        <v>#REF!</v>
      </c>
      <c r="BN78" s="270" t="e">
        <f>IF(#REF!="Yes","H",IF($B78="","",IF(AND($C78&lt;=#REF!,$D78&gt;=#REF!),IF($G78="","x","y"),"")))</f>
        <v>#REF!</v>
      </c>
      <c r="BO78" s="270" t="e">
        <f>IF(#REF!="Yes","H",IF($B78="","",IF(AND($C78&lt;=#REF!,$D78&gt;=#REF!),IF($G78="","x","y"),"")))</f>
        <v>#REF!</v>
      </c>
      <c r="BP78" s="270" t="e">
        <f>IF(#REF!="Yes","H",IF($B78="","",IF(AND($C78&lt;=#REF!,$D78&gt;=#REF!),IF($G78="","x","y"),"")))</f>
        <v>#REF!</v>
      </c>
      <c r="BQ78" s="273" t="e">
        <f>IF(#REF!="Yes","H",IF($B78="","",IF(AND($C78&lt;=#REF!,$D78&gt;=#REF!),IF($G78="","x","y"),"")))</f>
        <v>#REF!</v>
      </c>
      <c r="BR78" s="274" t="e">
        <f>IF(#REF!="Yes","H",IF($B78="","",IF(AND($C78&lt;=#REF!,$D78&gt;=#REF!),IF($G78="","x","y"),"")))</f>
        <v>#REF!</v>
      </c>
      <c r="BS78" s="270" t="e">
        <f>IF(#REF!="Yes","H",IF($B78="","",IF(AND($C78&lt;=#REF!,$D78&gt;=#REF!),IF($G78="","x","y"),"")))</f>
        <v>#REF!</v>
      </c>
      <c r="BT78" s="270" t="e">
        <f>IF(#REF!="Yes","H",IF($B78="","",IF(AND($C78&lt;=#REF!,$D78&gt;=#REF!),IF($G78="","x","y"),"")))</f>
        <v>#REF!</v>
      </c>
      <c r="BU78" s="270" t="e">
        <f>IF(#REF!="Yes","H",IF($B78="","",IF(AND($C78&lt;=#REF!,$D78&gt;=#REF!),IF($G78="","x","y"),"")))</f>
        <v>#REF!</v>
      </c>
      <c r="BV78" s="271" t="e">
        <f>IF(#REF!="Yes","H",IF($B78="","",IF(AND($C78&lt;=#REF!,$D78&gt;=#REF!),IF($G78="","x","y"),"")))</f>
        <v>#REF!</v>
      </c>
      <c r="BW78" s="272" t="e">
        <f>IF(#REF!="Yes","H",IF($B78="","",IF(AND($C78&lt;=#REF!,$D78&gt;=#REF!),IF($G78="","x","y"),"")))</f>
        <v>#REF!</v>
      </c>
      <c r="BX78" s="270" t="e">
        <f>IF(#REF!="Yes","H",IF($B78="","",IF(AND($C78&lt;=#REF!,$D78&gt;=#REF!),IF($G78="","x","y"),"")))</f>
        <v>#REF!</v>
      </c>
      <c r="BY78" s="270" t="e">
        <f>IF(#REF!="Yes","H",IF($B78="","",IF(AND($C78&lt;=#REF!,$D78&gt;=#REF!),IF($G78="","x","y"),"")))</f>
        <v>#REF!</v>
      </c>
      <c r="BZ78" s="270" t="e">
        <f>IF(#REF!="Yes","H",IF($B78="","",IF(AND($C78&lt;=#REF!,$D78&gt;=#REF!),IF($G78="","x","y"),"")))</f>
        <v>#REF!</v>
      </c>
      <c r="CA78" s="273" t="e">
        <f>IF(#REF!="Yes","H",IF($B78="","",IF(AND($C78&lt;=#REF!,$D78&gt;=#REF!),IF($G78="","x","y"),"")))</f>
        <v>#REF!</v>
      </c>
    </row>
    <row r="79" spans="2:79" ht="15" customHeight="1">
      <c r="B79" s="278"/>
      <c r="C79" s="260"/>
      <c r="D79" s="260"/>
      <c r="E79" s="260"/>
      <c r="F79" s="224"/>
      <c r="G79" s="275"/>
      <c r="H79" s="209"/>
      <c r="I79" s="211"/>
      <c r="J79" s="269" t="e">
        <f>IF(#REF!="Yes","H",IF($B79="","",IF(AND($C79&lt;=#REF!,$D79&gt;=#REF!),IF($G79="","x","y"),"")))</f>
        <v>#REF!</v>
      </c>
      <c r="K79" s="270" t="e">
        <f>IF(#REF!="Yes","H",IF($B79="","",IF(AND($C79&lt;=#REF!,$D79&gt;=#REF!),IF($G79="","x","y"),"")))</f>
        <v>#REF!</v>
      </c>
      <c r="L79" s="270" t="e">
        <f>IF(#REF!="Yes","H",IF($B79="","",IF(AND($C79&lt;=#REF!,$D79&gt;=#REF!),IF($G79="","x","y"),"")))</f>
        <v>#REF!</v>
      </c>
      <c r="M79" s="270" t="e">
        <f>IF(#REF!="Yes","H",IF($B79="","",IF(AND($C79&lt;=#REF!,$D79&gt;=#REF!),IF($G79="","x","y"),"")))</f>
        <v>#REF!</v>
      </c>
      <c r="N79" s="271" t="e">
        <f>IF(#REF!="Yes","H",IF($B79="","",IF(AND($C79&lt;=#REF!,$D79&gt;=#REF!),IF($G79="","x","y"),"")))</f>
        <v>#REF!</v>
      </c>
      <c r="O79" s="272" t="e">
        <f>IF(#REF!="Yes","H",IF($B79="","",IF(AND($C79&lt;=#REF!,$D79&gt;=#REF!),IF($G79="","x","y"),"")))</f>
        <v>#REF!</v>
      </c>
      <c r="P79" s="270" t="e">
        <f>IF(#REF!="Yes","H",IF($B79="","",IF(AND($C79&lt;=#REF!,$D79&gt;=#REF!),IF($G79="","x","y"),"")))</f>
        <v>#REF!</v>
      </c>
      <c r="Q79" s="270" t="e">
        <f>IF(#REF!="Yes","H",IF($B79="","",IF(AND($C79&lt;=#REF!,$D79&gt;=#REF!),IF($G79="","x","y"),"")))</f>
        <v>#REF!</v>
      </c>
      <c r="R79" s="270" t="e">
        <f>IF(#REF!="Yes","H",IF($B79="","",IF(AND($C79&lt;=#REF!,$D79&gt;=#REF!),IF($G79="","x","y"),"")))</f>
        <v>#REF!</v>
      </c>
      <c r="S79" s="273" t="e">
        <f>IF(#REF!="Yes","H",IF($B79="","",IF(AND($C79&lt;=#REF!,$D79&gt;=#REF!),IF($G79="","x","y"),"")))</f>
        <v>#REF!</v>
      </c>
      <c r="T79" s="274" t="e">
        <f>IF(#REF!="Yes","H",IF($B79="","",IF(AND($C79&lt;=#REF!,$D79&gt;=#REF!),IF($G79="","x","y"),"")))</f>
        <v>#REF!</v>
      </c>
      <c r="U79" s="270" t="e">
        <f>IF(#REF!="Yes","H",IF($B79="","",IF(AND($C79&lt;=#REF!,$D79&gt;=#REF!),IF($G79="","x","y"),"")))</f>
        <v>#REF!</v>
      </c>
      <c r="V79" s="270" t="e">
        <f>IF(#REF!="Yes","H",IF($B79="","",IF(AND($C79&lt;=#REF!,$D79&gt;=#REF!),IF($G79="","x","y"),"")))</f>
        <v>#REF!</v>
      </c>
      <c r="W79" s="270" t="e">
        <f>IF(#REF!="Yes","H",IF($B79="","",IF(AND($C79&lt;=#REF!,$D79&gt;=#REF!),IF($G79="","x","y"),"")))</f>
        <v>#REF!</v>
      </c>
      <c r="X79" s="271" t="e">
        <f>IF(#REF!="Yes","H",IF($B79="","",IF(AND($C79&lt;=#REF!,$D79&gt;=#REF!),IF($G79="","x","y"),"")))</f>
        <v>#REF!</v>
      </c>
      <c r="Y79" s="272" t="e">
        <f>IF(#REF!="Yes","H",IF($B79="","",IF(AND($C79&lt;=#REF!,$D79&gt;=#REF!),IF($G79="","x","y"),"")))</f>
        <v>#REF!</v>
      </c>
      <c r="Z79" s="270" t="e">
        <f>IF(#REF!="Yes","H",IF($B79="","",IF(AND($C79&lt;=#REF!,$D79&gt;=#REF!),IF($G79="","x","y"),"")))</f>
        <v>#REF!</v>
      </c>
      <c r="AA79" s="270" t="e">
        <f>IF(#REF!="Yes","H",IF($B79="","",IF(AND($C79&lt;=#REF!,$D79&gt;=#REF!),IF($G79="","x","y"),"")))</f>
        <v>#REF!</v>
      </c>
      <c r="AB79" s="270" t="e">
        <f>IF(#REF!="Yes","H",IF($B79="","",IF(AND($C79&lt;=#REF!,$D79&gt;=#REF!),IF($G79="","x","y"),"")))</f>
        <v>#REF!</v>
      </c>
      <c r="AC79" s="273" t="e">
        <f>IF(#REF!="Yes","H",IF($B79="","",IF(AND($C79&lt;=#REF!,$D79&gt;=#REF!),IF($G79="","x","y"),"")))</f>
        <v>#REF!</v>
      </c>
      <c r="AD79" s="274" t="e">
        <f>IF(#REF!="Yes","H",IF($B79="","",IF(AND($C79&lt;=#REF!,$D79&gt;=#REF!),IF($G79="","x","y"),"")))</f>
        <v>#REF!</v>
      </c>
      <c r="AE79" s="270" t="e">
        <f>IF(#REF!="Yes","H",IF($B79="","",IF(AND($C79&lt;=#REF!,$D79&gt;=#REF!),IF($G79="","x","y"),"")))</f>
        <v>#REF!</v>
      </c>
      <c r="AF79" s="270" t="e">
        <f>IF(#REF!="Yes","H",IF($B79="","",IF(AND($C79&lt;=#REF!,$D79&gt;=#REF!),IF($G79="","x","y"),"")))</f>
        <v>#REF!</v>
      </c>
      <c r="AG79" s="270" t="e">
        <f>IF(#REF!="Yes","H",IF($B79="","",IF(AND($C79&lt;=#REF!,$D79&gt;=#REF!),IF($G79="","x","y"),"")))</f>
        <v>#REF!</v>
      </c>
      <c r="AH79" s="271" t="e">
        <f>IF(#REF!="Yes","H",IF($B79="","",IF(AND($C79&lt;=#REF!,$D79&gt;=#REF!),IF($G79="","x","y"),"")))</f>
        <v>#REF!</v>
      </c>
      <c r="AI79" s="272" t="e">
        <f>IF(#REF!="Yes","H",IF($B79="","",IF(AND($C79&lt;=#REF!,$D79&gt;=#REF!),IF($G79="","x","y"),"")))</f>
        <v>#REF!</v>
      </c>
      <c r="AJ79" s="270" t="e">
        <f>IF(#REF!="Yes","H",IF($B79="","",IF(AND($C79&lt;=#REF!,$D79&gt;=#REF!),IF($G79="","x","y"),"")))</f>
        <v>#REF!</v>
      </c>
      <c r="AK79" s="270" t="e">
        <f>IF(#REF!="Yes","H",IF($B79="","",IF(AND($C79&lt;=#REF!,$D79&gt;=#REF!),IF($G79="","x","y"),"")))</f>
        <v>#REF!</v>
      </c>
      <c r="AL79" s="270" t="e">
        <f>IF(#REF!="Yes","H",IF($B79="","",IF(AND($C79&lt;=#REF!,$D79&gt;=#REF!),IF($G79="","x","y"),"")))</f>
        <v>#REF!</v>
      </c>
      <c r="AM79" s="273" t="e">
        <f>IF(#REF!="Yes","H",IF($B79="","",IF(AND($C79&lt;=#REF!,$D79&gt;=#REF!),IF($G79="","x","y"),"")))</f>
        <v>#REF!</v>
      </c>
      <c r="AN79" s="274" t="e">
        <f>IF(#REF!="Yes","H",IF($B79="","",IF(AND($C79&lt;=#REF!,$D79&gt;=#REF!),IF($G79="","x","y"),"")))</f>
        <v>#REF!</v>
      </c>
      <c r="AO79" s="270" t="e">
        <f>IF(#REF!="Yes","H",IF($B79="","",IF(AND($C79&lt;=#REF!,$D79&gt;=#REF!),IF($G79="","x","y"),"")))</f>
        <v>#REF!</v>
      </c>
      <c r="AP79" s="270" t="e">
        <f>IF(#REF!="Yes","H",IF($B79="","",IF(AND($C79&lt;=#REF!,$D79&gt;=#REF!),IF($G79="","x","y"),"")))</f>
        <v>#REF!</v>
      </c>
      <c r="AQ79" s="270" t="e">
        <f>IF(#REF!="Yes","H",IF($B79="","",IF(AND($C79&lt;=#REF!,$D79&gt;=#REF!),IF($G79="","x","y"),"")))</f>
        <v>#REF!</v>
      </c>
      <c r="AR79" s="271" t="e">
        <f>IF(#REF!="Yes","H",IF($B79="","",IF(AND($C79&lt;=#REF!,$D79&gt;=#REF!),IF($G79="","x","y"),"")))</f>
        <v>#REF!</v>
      </c>
      <c r="AS79" s="272" t="e">
        <f>IF(#REF!="Yes","H",IF($B79="","",IF(AND($C79&lt;=#REF!,$D79&gt;=#REF!),IF($G79="","x","y"),"")))</f>
        <v>#REF!</v>
      </c>
      <c r="AT79" s="270" t="e">
        <f>IF(#REF!="Yes","H",IF($B79="","",IF(AND($C79&lt;=#REF!,$D79&gt;=#REF!),IF($G79="","x","y"),"")))</f>
        <v>#REF!</v>
      </c>
      <c r="AU79" s="270" t="e">
        <f>IF(#REF!="Yes","H",IF($B79="","",IF(AND($C79&lt;=#REF!,$D79&gt;=#REF!),IF($G79="","x","y"),"")))</f>
        <v>#REF!</v>
      </c>
      <c r="AV79" s="270" t="e">
        <f>IF(#REF!="Yes","H",IF($B79="","",IF(AND($C79&lt;=#REF!,$D79&gt;=#REF!),IF($G79="","x","y"),"")))</f>
        <v>#REF!</v>
      </c>
      <c r="AW79" s="273" t="e">
        <f>IF(#REF!="Yes","H",IF($B79="","",IF(AND($C79&lt;=#REF!,$D79&gt;=#REF!),IF($G79="","x","y"),"")))</f>
        <v>#REF!</v>
      </c>
      <c r="AX79" s="274" t="e">
        <f>IF(#REF!="Yes","H",IF($B79="","",IF(AND($C79&lt;=#REF!,$D79&gt;=#REF!),IF($G79="","x","y"),"")))</f>
        <v>#REF!</v>
      </c>
      <c r="AY79" s="270" t="e">
        <f>IF(#REF!="Yes","H",IF($B79="","",IF(AND($C79&lt;=#REF!,$D79&gt;=#REF!),IF($G79="","x","y"),"")))</f>
        <v>#REF!</v>
      </c>
      <c r="AZ79" s="270" t="e">
        <f>IF(#REF!="Yes","H",IF($B79="","",IF(AND($C79&lt;=#REF!,$D79&gt;=#REF!),IF($G79="","x","y"),"")))</f>
        <v>#REF!</v>
      </c>
      <c r="BA79" s="270" t="e">
        <f>IF(#REF!="Yes","H",IF($B79="","",IF(AND($C79&lt;=#REF!,$D79&gt;=#REF!),IF($G79="","x","y"),"")))</f>
        <v>#REF!</v>
      </c>
      <c r="BB79" s="271" t="e">
        <f>IF(#REF!="Yes","H",IF($B79="","",IF(AND($C79&lt;=#REF!,$D79&gt;=#REF!),IF($G79="","x","y"),"")))</f>
        <v>#REF!</v>
      </c>
      <c r="BC79" s="272" t="e">
        <f>IF(#REF!="Yes","H",IF($B79="","",IF(AND($C79&lt;=#REF!,$D79&gt;=#REF!),IF($G79="","x","y"),"")))</f>
        <v>#REF!</v>
      </c>
      <c r="BD79" s="270" t="e">
        <f>IF(#REF!="Yes","H",IF($B79="","",IF(AND($C79&lt;=#REF!,$D79&gt;=#REF!),IF($G79="","x","y"),"")))</f>
        <v>#REF!</v>
      </c>
      <c r="BE79" s="270" t="e">
        <f>IF(#REF!="Yes","H",IF($B79="","",IF(AND($C79&lt;=#REF!,$D79&gt;=#REF!),IF($G79="","x","y"),"")))</f>
        <v>#REF!</v>
      </c>
      <c r="BF79" s="270" t="e">
        <f>IF(#REF!="Yes","H",IF($B79="","",IF(AND($C79&lt;=#REF!,$D79&gt;=#REF!),IF($G79="","x","y"),"")))</f>
        <v>#REF!</v>
      </c>
      <c r="BG79" s="273" t="e">
        <f>IF(#REF!="Yes","H",IF($B79="","",IF(AND($C79&lt;=#REF!,$D79&gt;=#REF!),IF($G79="","x","y"),"")))</f>
        <v>#REF!</v>
      </c>
      <c r="BH79" s="274" t="e">
        <f>IF(#REF!="Yes","H",IF($B79="","",IF(AND($C79&lt;=#REF!,$D79&gt;=#REF!),IF($G79="","x","y"),"")))</f>
        <v>#REF!</v>
      </c>
      <c r="BI79" s="270" t="e">
        <f>IF(#REF!="Yes","H",IF($B79="","",IF(AND($C79&lt;=#REF!,$D79&gt;=#REF!),IF($G79="","x","y"),"")))</f>
        <v>#REF!</v>
      </c>
      <c r="BJ79" s="270" t="e">
        <f>IF(#REF!="Yes","H",IF($B79="","",IF(AND($C79&lt;=#REF!,$D79&gt;=#REF!),IF($G79="","x","y"),"")))</f>
        <v>#REF!</v>
      </c>
      <c r="BK79" s="270" t="e">
        <f>IF(#REF!="Yes","H",IF($B79="","",IF(AND($C79&lt;=#REF!,$D79&gt;=#REF!),IF($G79="","x","y"),"")))</f>
        <v>#REF!</v>
      </c>
      <c r="BL79" s="271" t="e">
        <f>IF(#REF!="Yes","H",IF($B79="","",IF(AND($C79&lt;=#REF!,$D79&gt;=#REF!),IF($G79="","x","y"),"")))</f>
        <v>#REF!</v>
      </c>
      <c r="BM79" s="272" t="e">
        <f>IF(#REF!="Yes","H",IF($B79="","",IF(AND($C79&lt;=#REF!,$D79&gt;=#REF!),IF($G79="","x","y"),"")))</f>
        <v>#REF!</v>
      </c>
      <c r="BN79" s="270" t="e">
        <f>IF(#REF!="Yes","H",IF($B79="","",IF(AND($C79&lt;=#REF!,$D79&gt;=#REF!),IF($G79="","x","y"),"")))</f>
        <v>#REF!</v>
      </c>
      <c r="BO79" s="270" t="e">
        <f>IF(#REF!="Yes","H",IF($B79="","",IF(AND($C79&lt;=#REF!,$D79&gt;=#REF!),IF($G79="","x","y"),"")))</f>
        <v>#REF!</v>
      </c>
      <c r="BP79" s="270" t="e">
        <f>IF(#REF!="Yes","H",IF($B79="","",IF(AND($C79&lt;=#REF!,$D79&gt;=#REF!),IF($G79="","x","y"),"")))</f>
        <v>#REF!</v>
      </c>
      <c r="BQ79" s="273" t="e">
        <f>IF(#REF!="Yes","H",IF($B79="","",IF(AND($C79&lt;=#REF!,$D79&gt;=#REF!),IF($G79="","x","y"),"")))</f>
        <v>#REF!</v>
      </c>
      <c r="BR79" s="274" t="e">
        <f>IF(#REF!="Yes","H",IF($B79="","",IF(AND($C79&lt;=#REF!,$D79&gt;=#REF!),IF($G79="","x","y"),"")))</f>
        <v>#REF!</v>
      </c>
      <c r="BS79" s="270" t="e">
        <f>IF(#REF!="Yes","H",IF($B79="","",IF(AND($C79&lt;=#REF!,$D79&gt;=#REF!),IF($G79="","x","y"),"")))</f>
        <v>#REF!</v>
      </c>
      <c r="BT79" s="270" t="e">
        <f>IF(#REF!="Yes","H",IF($B79="","",IF(AND($C79&lt;=#REF!,$D79&gt;=#REF!),IF($G79="","x","y"),"")))</f>
        <v>#REF!</v>
      </c>
      <c r="BU79" s="270" t="e">
        <f>IF(#REF!="Yes","H",IF($B79="","",IF(AND($C79&lt;=#REF!,$D79&gt;=#REF!),IF($G79="","x","y"),"")))</f>
        <v>#REF!</v>
      </c>
      <c r="BV79" s="271" t="e">
        <f>IF(#REF!="Yes","H",IF($B79="","",IF(AND($C79&lt;=#REF!,$D79&gt;=#REF!),IF($G79="","x","y"),"")))</f>
        <v>#REF!</v>
      </c>
      <c r="BW79" s="272" t="e">
        <f>IF(#REF!="Yes","H",IF($B79="","",IF(AND($C79&lt;=#REF!,$D79&gt;=#REF!),IF($G79="","x","y"),"")))</f>
        <v>#REF!</v>
      </c>
      <c r="BX79" s="270" t="e">
        <f>IF(#REF!="Yes","H",IF($B79="","",IF(AND($C79&lt;=#REF!,$D79&gt;=#REF!),IF($G79="","x","y"),"")))</f>
        <v>#REF!</v>
      </c>
      <c r="BY79" s="270" t="e">
        <f>IF(#REF!="Yes","H",IF($B79="","",IF(AND($C79&lt;=#REF!,$D79&gt;=#REF!),IF($G79="","x","y"),"")))</f>
        <v>#REF!</v>
      </c>
      <c r="BZ79" s="270" t="e">
        <f>IF(#REF!="Yes","H",IF($B79="","",IF(AND($C79&lt;=#REF!,$D79&gt;=#REF!),IF($G79="","x","y"),"")))</f>
        <v>#REF!</v>
      </c>
      <c r="CA79" s="273" t="e">
        <f>IF(#REF!="Yes","H",IF($B79="","",IF(AND($C79&lt;=#REF!,$D79&gt;=#REF!),IF($G79="","x","y"),"")))</f>
        <v>#REF!</v>
      </c>
    </row>
    <row r="80" spans="2:79" ht="15" customHeight="1">
      <c r="B80" s="278"/>
      <c r="C80" s="260"/>
      <c r="D80" s="260"/>
      <c r="E80" s="260"/>
      <c r="F80" s="224"/>
      <c r="G80" s="275"/>
      <c r="H80" s="209"/>
      <c r="I80" s="211"/>
      <c r="J80" s="269" t="e">
        <f>IF(#REF!="Yes","H",IF($B80="","",IF(AND($C80&lt;=#REF!,$D80&gt;=#REF!),IF($G80="","x","y"),"")))</f>
        <v>#REF!</v>
      </c>
      <c r="K80" s="270" t="e">
        <f>IF(#REF!="Yes","H",IF($B80="","",IF(AND($C80&lt;=#REF!,$D80&gt;=#REF!),IF($G80="","x","y"),"")))</f>
        <v>#REF!</v>
      </c>
      <c r="L80" s="270" t="e">
        <f>IF(#REF!="Yes","H",IF($B80="","",IF(AND($C80&lt;=#REF!,$D80&gt;=#REF!),IF($G80="","x","y"),"")))</f>
        <v>#REF!</v>
      </c>
      <c r="M80" s="270" t="e">
        <f>IF(#REF!="Yes","H",IF($B80="","",IF(AND($C80&lt;=#REF!,$D80&gt;=#REF!),IF($G80="","x","y"),"")))</f>
        <v>#REF!</v>
      </c>
      <c r="N80" s="271" t="e">
        <f>IF(#REF!="Yes","H",IF($B80="","",IF(AND($C80&lt;=#REF!,$D80&gt;=#REF!),IF($G80="","x","y"),"")))</f>
        <v>#REF!</v>
      </c>
      <c r="O80" s="272" t="e">
        <f>IF(#REF!="Yes","H",IF($B80="","",IF(AND($C80&lt;=#REF!,$D80&gt;=#REF!),IF($G80="","x","y"),"")))</f>
        <v>#REF!</v>
      </c>
      <c r="P80" s="270" t="e">
        <f>IF(#REF!="Yes","H",IF($B80="","",IF(AND($C80&lt;=#REF!,$D80&gt;=#REF!),IF($G80="","x","y"),"")))</f>
        <v>#REF!</v>
      </c>
      <c r="Q80" s="270" t="e">
        <f>IF(#REF!="Yes","H",IF($B80="","",IF(AND($C80&lt;=#REF!,$D80&gt;=#REF!),IF($G80="","x","y"),"")))</f>
        <v>#REF!</v>
      </c>
      <c r="R80" s="270" t="e">
        <f>IF(#REF!="Yes","H",IF($B80="","",IF(AND($C80&lt;=#REF!,$D80&gt;=#REF!),IF($G80="","x","y"),"")))</f>
        <v>#REF!</v>
      </c>
      <c r="S80" s="273" t="e">
        <f>IF(#REF!="Yes","H",IF($B80="","",IF(AND($C80&lt;=#REF!,$D80&gt;=#REF!),IF($G80="","x","y"),"")))</f>
        <v>#REF!</v>
      </c>
      <c r="T80" s="274" t="e">
        <f>IF(#REF!="Yes","H",IF($B80="","",IF(AND($C80&lt;=#REF!,$D80&gt;=#REF!),IF($G80="","x","y"),"")))</f>
        <v>#REF!</v>
      </c>
      <c r="U80" s="270" t="e">
        <f>IF(#REF!="Yes","H",IF($B80="","",IF(AND($C80&lt;=#REF!,$D80&gt;=#REF!),IF($G80="","x","y"),"")))</f>
        <v>#REF!</v>
      </c>
      <c r="V80" s="270" t="e">
        <f>IF(#REF!="Yes","H",IF($B80="","",IF(AND($C80&lt;=#REF!,$D80&gt;=#REF!),IF($G80="","x","y"),"")))</f>
        <v>#REF!</v>
      </c>
      <c r="W80" s="270" t="e">
        <f>IF(#REF!="Yes","H",IF($B80="","",IF(AND($C80&lt;=#REF!,$D80&gt;=#REF!),IF($G80="","x","y"),"")))</f>
        <v>#REF!</v>
      </c>
      <c r="X80" s="271" t="e">
        <f>IF(#REF!="Yes","H",IF($B80="","",IF(AND($C80&lt;=#REF!,$D80&gt;=#REF!),IF($G80="","x","y"),"")))</f>
        <v>#REF!</v>
      </c>
      <c r="Y80" s="272" t="e">
        <f>IF(#REF!="Yes","H",IF($B80="","",IF(AND($C80&lt;=#REF!,$D80&gt;=#REF!),IF($G80="","x","y"),"")))</f>
        <v>#REF!</v>
      </c>
      <c r="Z80" s="270" t="e">
        <f>IF(#REF!="Yes","H",IF($B80="","",IF(AND($C80&lt;=#REF!,$D80&gt;=#REF!),IF($G80="","x","y"),"")))</f>
        <v>#REF!</v>
      </c>
      <c r="AA80" s="270" t="e">
        <f>IF(#REF!="Yes","H",IF($B80="","",IF(AND($C80&lt;=#REF!,$D80&gt;=#REF!),IF($G80="","x","y"),"")))</f>
        <v>#REF!</v>
      </c>
      <c r="AB80" s="270" t="e">
        <f>IF(#REF!="Yes","H",IF($B80="","",IF(AND($C80&lt;=#REF!,$D80&gt;=#REF!),IF($G80="","x","y"),"")))</f>
        <v>#REF!</v>
      </c>
      <c r="AC80" s="273" t="e">
        <f>IF(#REF!="Yes","H",IF($B80="","",IF(AND($C80&lt;=#REF!,$D80&gt;=#REF!),IF($G80="","x","y"),"")))</f>
        <v>#REF!</v>
      </c>
      <c r="AD80" s="274" t="e">
        <f>IF(#REF!="Yes","H",IF($B80="","",IF(AND($C80&lt;=#REF!,$D80&gt;=#REF!),IF($G80="","x","y"),"")))</f>
        <v>#REF!</v>
      </c>
      <c r="AE80" s="270" t="e">
        <f>IF(#REF!="Yes","H",IF($B80="","",IF(AND($C80&lt;=#REF!,$D80&gt;=#REF!),IF($G80="","x","y"),"")))</f>
        <v>#REF!</v>
      </c>
      <c r="AF80" s="270" t="e">
        <f>IF(#REF!="Yes","H",IF($B80="","",IF(AND($C80&lt;=#REF!,$D80&gt;=#REF!),IF($G80="","x","y"),"")))</f>
        <v>#REF!</v>
      </c>
      <c r="AG80" s="270" t="e">
        <f>IF(#REF!="Yes","H",IF($B80="","",IF(AND($C80&lt;=#REF!,$D80&gt;=#REF!),IF($G80="","x","y"),"")))</f>
        <v>#REF!</v>
      </c>
      <c r="AH80" s="271" t="e">
        <f>IF(#REF!="Yes","H",IF($B80="","",IF(AND($C80&lt;=#REF!,$D80&gt;=#REF!),IF($G80="","x","y"),"")))</f>
        <v>#REF!</v>
      </c>
      <c r="AI80" s="272" t="e">
        <f>IF(#REF!="Yes","H",IF($B80="","",IF(AND($C80&lt;=#REF!,$D80&gt;=#REF!),IF($G80="","x","y"),"")))</f>
        <v>#REF!</v>
      </c>
      <c r="AJ80" s="270" t="e">
        <f>IF(#REF!="Yes","H",IF($B80="","",IF(AND($C80&lt;=#REF!,$D80&gt;=#REF!),IF($G80="","x","y"),"")))</f>
        <v>#REF!</v>
      </c>
      <c r="AK80" s="270" t="e">
        <f>IF(#REF!="Yes","H",IF($B80="","",IF(AND($C80&lt;=#REF!,$D80&gt;=#REF!),IF($G80="","x","y"),"")))</f>
        <v>#REF!</v>
      </c>
      <c r="AL80" s="270" t="e">
        <f>IF(#REF!="Yes","H",IF($B80="","",IF(AND($C80&lt;=#REF!,$D80&gt;=#REF!),IF($G80="","x","y"),"")))</f>
        <v>#REF!</v>
      </c>
      <c r="AM80" s="273" t="e">
        <f>IF(#REF!="Yes","H",IF($B80="","",IF(AND($C80&lt;=#REF!,$D80&gt;=#REF!),IF($G80="","x","y"),"")))</f>
        <v>#REF!</v>
      </c>
      <c r="AN80" s="274" t="e">
        <f>IF(#REF!="Yes","H",IF($B80="","",IF(AND($C80&lt;=#REF!,$D80&gt;=#REF!),IF($G80="","x","y"),"")))</f>
        <v>#REF!</v>
      </c>
      <c r="AO80" s="270" t="e">
        <f>IF(#REF!="Yes","H",IF($B80="","",IF(AND($C80&lt;=#REF!,$D80&gt;=#REF!),IF($G80="","x","y"),"")))</f>
        <v>#REF!</v>
      </c>
      <c r="AP80" s="270" t="e">
        <f>IF(#REF!="Yes","H",IF($B80="","",IF(AND($C80&lt;=#REF!,$D80&gt;=#REF!),IF($G80="","x","y"),"")))</f>
        <v>#REF!</v>
      </c>
      <c r="AQ80" s="270" t="e">
        <f>IF(#REF!="Yes","H",IF($B80="","",IF(AND($C80&lt;=#REF!,$D80&gt;=#REF!),IF($G80="","x","y"),"")))</f>
        <v>#REF!</v>
      </c>
      <c r="AR80" s="271" t="e">
        <f>IF(#REF!="Yes","H",IF($B80="","",IF(AND($C80&lt;=#REF!,$D80&gt;=#REF!),IF($G80="","x","y"),"")))</f>
        <v>#REF!</v>
      </c>
      <c r="AS80" s="272" t="e">
        <f>IF(#REF!="Yes","H",IF($B80="","",IF(AND($C80&lt;=#REF!,$D80&gt;=#REF!),IF($G80="","x","y"),"")))</f>
        <v>#REF!</v>
      </c>
      <c r="AT80" s="270" t="e">
        <f>IF(#REF!="Yes","H",IF($B80="","",IF(AND($C80&lt;=#REF!,$D80&gt;=#REF!),IF($G80="","x","y"),"")))</f>
        <v>#REF!</v>
      </c>
      <c r="AU80" s="270" t="e">
        <f>IF(#REF!="Yes","H",IF($B80="","",IF(AND($C80&lt;=#REF!,$D80&gt;=#REF!),IF($G80="","x","y"),"")))</f>
        <v>#REF!</v>
      </c>
      <c r="AV80" s="270" t="e">
        <f>IF(#REF!="Yes","H",IF($B80="","",IF(AND($C80&lt;=#REF!,$D80&gt;=#REF!),IF($G80="","x","y"),"")))</f>
        <v>#REF!</v>
      </c>
      <c r="AW80" s="273" t="e">
        <f>IF(#REF!="Yes","H",IF($B80="","",IF(AND($C80&lt;=#REF!,$D80&gt;=#REF!),IF($G80="","x","y"),"")))</f>
        <v>#REF!</v>
      </c>
      <c r="AX80" s="274" t="e">
        <f>IF(#REF!="Yes","H",IF($B80="","",IF(AND($C80&lt;=#REF!,$D80&gt;=#REF!),IF($G80="","x","y"),"")))</f>
        <v>#REF!</v>
      </c>
      <c r="AY80" s="270" t="e">
        <f>IF(#REF!="Yes","H",IF($B80="","",IF(AND($C80&lt;=#REF!,$D80&gt;=#REF!),IF($G80="","x","y"),"")))</f>
        <v>#REF!</v>
      </c>
      <c r="AZ80" s="270" t="e">
        <f>IF(#REF!="Yes","H",IF($B80="","",IF(AND($C80&lt;=#REF!,$D80&gt;=#REF!),IF($G80="","x","y"),"")))</f>
        <v>#REF!</v>
      </c>
      <c r="BA80" s="270" t="e">
        <f>IF(#REF!="Yes","H",IF($B80="","",IF(AND($C80&lt;=#REF!,$D80&gt;=#REF!),IF($G80="","x","y"),"")))</f>
        <v>#REF!</v>
      </c>
      <c r="BB80" s="271" t="e">
        <f>IF(#REF!="Yes","H",IF($B80="","",IF(AND($C80&lt;=#REF!,$D80&gt;=#REF!),IF($G80="","x","y"),"")))</f>
        <v>#REF!</v>
      </c>
      <c r="BC80" s="272" t="e">
        <f>IF(#REF!="Yes","H",IF($B80="","",IF(AND($C80&lt;=#REF!,$D80&gt;=#REF!),IF($G80="","x","y"),"")))</f>
        <v>#REF!</v>
      </c>
      <c r="BD80" s="270" t="e">
        <f>IF(#REF!="Yes","H",IF($B80="","",IF(AND($C80&lt;=#REF!,$D80&gt;=#REF!),IF($G80="","x","y"),"")))</f>
        <v>#REF!</v>
      </c>
      <c r="BE80" s="270" t="e">
        <f>IF(#REF!="Yes","H",IF($B80="","",IF(AND($C80&lt;=#REF!,$D80&gt;=#REF!),IF($G80="","x","y"),"")))</f>
        <v>#REF!</v>
      </c>
      <c r="BF80" s="270" t="e">
        <f>IF(#REF!="Yes","H",IF($B80="","",IF(AND($C80&lt;=#REF!,$D80&gt;=#REF!),IF($G80="","x","y"),"")))</f>
        <v>#REF!</v>
      </c>
      <c r="BG80" s="273" t="e">
        <f>IF(#REF!="Yes","H",IF($B80="","",IF(AND($C80&lt;=#REF!,$D80&gt;=#REF!),IF($G80="","x","y"),"")))</f>
        <v>#REF!</v>
      </c>
      <c r="BH80" s="274" t="e">
        <f>IF(#REF!="Yes","H",IF($B80="","",IF(AND($C80&lt;=#REF!,$D80&gt;=#REF!),IF($G80="","x","y"),"")))</f>
        <v>#REF!</v>
      </c>
      <c r="BI80" s="270" t="e">
        <f>IF(#REF!="Yes","H",IF($B80="","",IF(AND($C80&lt;=#REF!,$D80&gt;=#REF!),IF($G80="","x","y"),"")))</f>
        <v>#REF!</v>
      </c>
      <c r="BJ80" s="270" t="e">
        <f>IF(#REF!="Yes","H",IF($B80="","",IF(AND($C80&lt;=#REF!,$D80&gt;=#REF!),IF($G80="","x","y"),"")))</f>
        <v>#REF!</v>
      </c>
      <c r="BK80" s="270" t="e">
        <f>IF(#REF!="Yes","H",IF($B80="","",IF(AND($C80&lt;=#REF!,$D80&gt;=#REF!),IF($G80="","x","y"),"")))</f>
        <v>#REF!</v>
      </c>
      <c r="BL80" s="271" t="e">
        <f>IF(#REF!="Yes","H",IF($B80="","",IF(AND($C80&lt;=#REF!,$D80&gt;=#REF!),IF($G80="","x","y"),"")))</f>
        <v>#REF!</v>
      </c>
      <c r="BM80" s="272" t="e">
        <f>IF(#REF!="Yes","H",IF($B80="","",IF(AND($C80&lt;=#REF!,$D80&gt;=#REF!),IF($G80="","x","y"),"")))</f>
        <v>#REF!</v>
      </c>
      <c r="BN80" s="270" t="e">
        <f>IF(#REF!="Yes","H",IF($B80="","",IF(AND($C80&lt;=#REF!,$D80&gt;=#REF!),IF($G80="","x","y"),"")))</f>
        <v>#REF!</v>
      </c>
      <c r="BO80" s="270" t="e">
        <f>IF(#REF!="Yes","H",IF($B80="","",IF(AND($C80&lt;=#REF!,$D80&gt;=#REF!),IF($G80="","x","y"),"")))</f>
        <v>#REF!</v>
      </c>
      <c r="BP80" s="270" t="e">
        <f>IF(#REF!="Yes","H",IF($B80="","",IF(AND($C80&lt;=#REF!,$D80&gt;=#REF!),IF($G80="","x","y"),"")))</f>
        <v>#REF!</v>
      </c>
      <c r="BQ80" s="273" t="e">
        <f>IF(#REF!="Yes","H",IF($B80="","",IF(AND($C80&lt;=#REF!,$D80&gt;=#REF!),IF($G80="","x","y"),"")))</f>
        <v>#REF!</v>
      </c>
      <c r="BR80" s="274" t="e">
        <f>IF(#REF!="Yes","H",IF($B80="","",IF(AND($C80&lt;=#REF!,$D80&gt;=#REF!),IF($G80="","x","y"),"")))</f>
        <v>#REF!</v>
      </c>
      <c r="BS80" s="270" t="e">
        <f>IF(#REF!="Yes","H",IF($B80="","",IF(AND($C80&lt;=#REF!,$D80&gt;=#REF!),IF($G80="","x","y"),"")))</f>
        <v>#REF!</v>
      </c>
      <c r="BT80" s="270" t="e">
        <f>IF(#REF!="Yes","H",IF($B80="","",IF(AND($C80&lt;=#REF!,$D80&gt;=#REF!),IF($G80="","x","y"),"")))</f>
        <v>#REF!</v>
      </c>
      <c r="BU80" s="270" t="e">
        <f>IF(#REF!="Yes","H",IF($B80="","",IF(AND($C80&lt;=#REF!,$D80&gt;=#REF!),IF($G80="","x","y"),"")))</f>
        <v>#REF!</v>
      </c>
      <c r="BV80" s="271" t="e">
        <f>IF(#REF!="Yes","H",IF($B80="","",IF(AND($C80&lt;=#REF!,$D80&gt;=#REF!),IF($G80="","x","y"),"")))</f>
        <v>#REF!</v>
      </c>
      <c r="BW80" s="272" t="e">
        <f>IF(#REF!="Yes","H",IF($B80="","",IF(AND($C80&lt;=#REF!,$D80&gt;=#REF!),IF($G80="","x","y"),"")))</f>
        <v>#REF!</v>
      </c>
      <c r="BX80" s="270" t="e">
        <f>IF(#REF!="Yes","H",IF($B80="","",IF(AND($C80&lt;=#REF!,$D80&gt;=#REF!),IF($G80="","x","y"),"")))</f>
        <v>#REF!</v>
      </c>
      <c r="BY80" s="270" t="e">
        <f>IF(#REF!="Yes","H",IF($B80="","",IF(AND($C80&lt;=#REF!,$D80&gt;=#REF!),IF($G80="","x","y"),"")))</f>
        <v>#REF!</v>
      </c>
      <c r="BZ80" s="270" t="e">
        <f>IF(#REF!="Yes","H",IF($B80="","",IF(AND($C80&lt;=#REF!,$D80&gt;=#REF!),IF($G80="","x","y"),"")))</f>
        <v>#REF!</v>
      </c>
      <c r="CA80" s="273" t="e">
        <f>IF(#REF!="Yes","H",IF($B80="","",IF(AND($C80&lt;=#REF!,$D80&gt;=#REF!),IF($G80="","x","y"),"")))</f>
        <v>#REF!</v>
      </c>
    </row>
    <row r="81" spans="2:79" ht="15" customHeight="1">
      <c r="B81" s="135"/>
      <c r="C81" s="260"/>
      <c r="D81" s="260"/>
      <c r="E81" s="260"/>
      <c r="F81" s="224"/>
      <c r="G81" s="275"/>
      <c r="H81" s="209"/>
      <c r="I81" s="211"/>
      <c r="J81" s="269" t="e">
        <f>IF(#REF!="Yes","H",IF($B81="","",IF(AND($C81&lt;=#REF!,$D81&gt;=#REF!),IF($G81="","x","y"),"")))</f>
        <v>#REF!</v>
      </c>
      <c r="K81" s="270" t="e">
        <f>IF(#REF!="Yes","H",IF($B81="","",IF(AND($C81&lt;=#REF!,$D81&gt;=#REF!),IF($G81="","x","y"),"")))</f>
        <v>#REF!</v>
      </c>
      <c r="L81" s="270" t="e">
        <f>IF(#REF!="Yes","H",IF($B81="","",IF(AND($C81&lt;=#REF!,$D81&gt;=#REF!),IF($G81="","x","y"),"")))</f>
        <v>#REF!</v>
      </c>
      <c r="M81" s="270" t="e">
        <f>IF(#REF!="Yes","H",IF($B81="","",IF(AND($C81&lt;=#REF!,$D81&gt;=#REF!),IF($G81="","x","y"),"")))</f>
        <v>#REF!</v>
      </c>
      <c r="N81" s="271" t="e">
        <f>IF(#REF!="Yes","H",IF($B81="","",IF(AND($C81&lt;=#REF!,$D81&gt;=#REF!),IF($G81="","x","y"),"")))</f>
        <v>#REF!</v>
      </c>
      <c r="O81" s="272" t="e">
        <f>IF(#REF!="Yes","H",IF($B81="","",IF(AND($C81&lt;=#REF!,$D81&gt;=#REF!),IF($G81="","x","y"),"")))</f>
        <v>#REF!</v>
      </c>
      <c r="P81" s="270" t="e">
        <f>IF(#REF!="Yes","H",IF($B81="","",IF(AND($C81&lt;=#REF!,$D81&gt;=#REF!),IF($G81="","x","y"),"")))</f>
        <v>#REF!</v>
      </c>
      <c r="Q81" s="270" t="e">
        <f>IF(#REF!="Yes","H",IF($B81="","",IF(AND($C81&lt;=#REF!,$D81&gt;=#REF!),IF($G81="","x","y"),"")))</f>
        <v>#REF!</v>
      </c>
      <c r="R81" s="270" t="e">
        <f>IF(#REF!="Yes","H",IF($B81="","",IF(AND($C81&lt;=#REF!,$D81&gt;=#REF!),IF($G81="","x","y"),"")))</f>
        <v>#REF!</v>
      </c>
      <c r="S81" s="273" t="e">
        <f>IF(#REF!="Yes","H",IF($B81="","",IF(AND($C81&lt;=#REF!,$D81&gt;=#REF!),IF($G81="","x","y"),"")))</f>
        <v>#REF!</v>
      </c>
      <c r="T81" s="274" t="e">
        <f>IF(#REF!="Yes","H",IF($B81="","",IF(AND($C81&lt;=#REF!,$D81&gt;=#REF!),IF($G81="","x","y"),"")))</f>
        <v>#REF!</v>
      </c>
      <c r="U81" s="270" t="e">
        <f>IF(#REF!="Yes","H",IF($B81="","",IF(AND($C81&lt;=#REF!,$D81&gt;=#REF!),IF($G81="","x","y"),"")))</f>
        <v>#REF!</v>
      </c>
      <c r="V81" s="270" t="e">
        <f>IF(#REF!="Yes","H",IF($B81="","",IF(AND($C81&lt;=#REF!,$D81&gt;=#REF!),IF($G81="","x","y"),"")))</f>
        <v>#REF!</v>
      </c>
      <c r="W81" s="270" t="e">
        <f>IF(#REF!="Yes","H",IF($B81="","",IF(AND($C81&lt;=#REF!,$D81&gt;=#REF!),IF($G81="","x","y"),"")))</f>
        <v>#REF!</v>
      </c>
      <c r="X81" s="271" t="e">
        <f>IF(#REF!="Yes","H",IF($B81="","",IF(AND($C81&lt;=#REF!,$D81&gt;=#REF!),IF($G81="","x","y"),"")))</f>
        <v>#REF!</v>
      </c>
      <c r="Y81" s="272" t="e">
        <f>IF(#REF!="Yes","H",IF($B81="","",IF(AND($C81&lt;=#REF!,$D81&gt;=#REF!),IF($G81="","x","y"),"")))</f>
        <v>#REF!</v>
      </c>
      <c r="Z81" s="270" t="e">
        <f>IF(#REF!="Yes","H",IF($B81="","",IF(AND($C81&lt;=#REF!,$D81&gt;=#REF!),IF($G81="","x","y"),"")))</f>
        <v>#REF!</v>
      </c>
      <c r="AA81" s="270" t="e">
        <f>IF(#REF!="Yes","H",IF($B81="","",IF(AND($C81&lt;=#REF!,$D81&gt;=#REF!),IF($G81="","x","y"),"")))</f>
        <v>#REF!</v>
      </c>
      <c r="AB81" s="270" t="e">
        <f>IF(#REF!="Yes","H",IF($B81="","",IF(AND($C81&lt;=#REF!,$D81&gt;=#REF!),IF($G81="","x","y"),"")))</f>
        <v>#REF!</v>
      </c>
      <c r="AC81" s="273" t="e">
        <f>IF(#REF!="Yes","H",IF($B81="","",IF(AND($C81&lt;=#REF!,$D81&gt;=#REF!),IF($G81="","x","y"),"")))</f>
        <v>#REF!</v>
      </c>
      <c r="AD81" s="274" t="e">
        <f>IF(#REF!="Yes","H",IF($B81="","",IF(AND($C81&lt;=#REF!,$D81&gt;=#REF!),IF($G81="","x","y"),"")))</f>
        <v>#REF!</v>
      </c>
      <c r="AE81" s="270" t="e">
        <f>IF(#REF!="Yes","H",IF($B81="","",IF(AND($C81&lt;=#REF!,$D81&gt;=#REF!),IF($G81="","x","y"),"")))</f>
        <v>#REF!</v>
      </c>
      <c r="AF81" s="270" t="e">
        <f>IF(#REF!="Yes","H",IF($B81="","",IF(AND($C81&lt;=#REF!,$D81&gt;=#REF!),IF($G81="","x","y"),"")))</f>
        <v>#REF!</v>
      </c>
      <c r="AG81" s="270" t="e">
        <f>IF(#REF!="Yes","H",IF($B81="","",IF(AND($C81&lt;=#REF!,$D81&gt;=#REF!),IF($G81="","x","y"),"")))</f>
        <v>#REF!</v>
      </c>
      <c r="AH81" s="271" t="e">
        <f>IF(#REF!="Yes","H",IF($B81="","",IF(AND($C81&lt;=#REF!,$D81&gt;=#REF!),IF($G81="","x","y"),"")))</f>
        <v>#REF!</v>
      </c>
      <c r="AI81" s="272" t="e">
        <f>IF(#REF!="Yes","H",IF($B81="","",IF(AND($C81&lt;=#REF!,$D81&gt;=#REF!),IF($G81="","x","y"),"")))</f>
        <v>#REF!</v>
      </c>
      <c r="AJ81" s="270" t="e">
        <f>IF(#REF!="Yes","H",IF($B81="","",IF(AND($C81&lt;=#REF!,$D81&gt;=#REF!),IF($G81="","x","y"),"")))</f>
        <v>#REF!</v>
      </c>
      <c r="AK81" s="270" t="e">
        <f>IF(#REF!="Yes","H",IF($B81="","",IF(AND($C81&lt;=#REF!,$D81&gt;=#REF!),IF($G81="","x","y"),"")))</f>
        <v>#REF!</v>
      </c>
      <c r="AL81" s="270" t="e">
        <f>IF(#REF!="Yes","H",IF($B81="","",IF(AND($C81&lt;=#REF!,$D81&gt;=#REF!),IF($G81="","x","y"),"")))</f>
        <v>#REF!</v>
      </c>
      <c r="AM81" s="273" t="e">
        <f>IF(#REF!="Yes","H",IF($B81="","",IF(AND($C81&lt;=#REF!,$D81&gt;=#REF!),IF($G81="","x","y"),"")))</f>
        <v>#REF!</v>
      </c>
      <c r="AN81" s="274" t="e">
        <f>IF(#REF!="Yes","H",IF($B81="","",IF(AND($C81&lt;=#REF!,$D81&gt;=#REF!),IF($G81="","x","y"),"")))</f>
        <v>#REF!</v>
      </c>
      <c r="AO81" s="270" t="e">
        <f>IF(#REF!="Yes","H",IF($B81="","",IF(AND($C81&lt;=#REF!,$D81&gt;=#REF!),IF($G81="","x","y"),"")))</f>
        <v>#REF!</v>
      </c>
      <c r="AP81" s="270" t="e">
        <f>IF(#REF!="Yes","H",IF($B81="","",IF(AND($C81&lt;=#REF!,$D81&gt;=#REF!),IF($G81="","x","y"),"")))</f>
        <v>#REF!</v>
      </c>
      <c r="AQ81" s="270" t="e">
        <f>IF(#REF!="Yes","H",IF($B81="","",IF(AND($C81&lt;=#REF!,$D81&gt;=#REF!),IF($G81="","x","y"),"")))</f>
        <v>#REF!</v>
      </c>
      <c r="AR81" s="271" t="e">
        <f>IF(#REF!="Yes","H",IF($B81="","",IF(AND($C81&lt;=#REF!,$D81&gt;=#REF!),IF($G81="","x","y"),"")))</f>
        <v>#REF!</v>
      </c>
      <c r="AS81" s="272" t="e">
        <f>IF(#REF!="Yes","H",IF($B81="","",IF(AND($C81&lt;=#REF!,$D81&gt;=#REF!),IF($G81="","x","y"),"")))</f>
        <v>#REF!</v>
      </c>
      <c r="AT81" s="270" t="e">
        <f>IF(#REF!="Yes","H",IF($B81="","",IF(AND($C81&lt;=#REF!,$D81&gt;=#REF!),IF($G81="","x","y"),"")))</f>
        <v>#REF!</v>
      </c>
      <c r="AU81" s="270" t="e">
        <f>IF(#REF!="Yes","H",IF($B81="","",IF(AND($C81&lt;=#REF!,$D81&gt;=#REF!),IF($G81="","x","y"),"")))</f>
        <v>#REF!</v>
      </c>
      <c r="AV81" s="270" t="e">
        <f>IF(#REF!="Yes","H",IF($B81="","",IF(AND($C81&lt;=#REF!,$D81&gt;=#REF!),IF($G81="","x","y"),"")))</f>
        <v>#REF!</v>
      </c>
      <c r="AW81" s="273" t="e">
        <f>IF(#REF!="Yes","H",IF($B81="","",IF(AND($C81&lt;=#REF!,$D81&gt;=#REF!),IF($G81="","x","y"),"")))</f>
        <v>#REF!</v>
      </c>
      <c r="AX81" s="274" t="e">
        <f>IF(#REF!="Yes","H",IF($B81="","",IF(AND($C81&lt;=#REF!,$D81&gt;=#REF!),IF($G81="","x","y"),"")))</f>
        <v>#REF!</v>
      </c>
      <c r="AY81" s="270" t="e">
        <f>IF(#REF!="Yes","H",IF($B81="","",IF(AND($C81&lt;=#REF!,$D81&gt;=#REF!),IF($G81="","x","y"),"")))</f>
        <v>#REF!</v>
      </c>
      <c r="AZ81" s="270" t="e">
        <f>IF(#REF!="Yes","H",IF($B81="","",IF(AND($C81&lt;=#REF!,$D81&gt;=#REF!),IF($G81="","x","y"),"")))</f>
        <v>#REF!</v>
      </c>
      <c r="BA81" s="270" t="e">
        <f>IF(#REF!="Yes","H",IF($B81="","",IF(AND($C81&lt;=#REF!,$D81&gt;=#REF!),IF($G81="","x","y"),"")))</f>
        <v>#REF!</v>
      </c>
      <c r="BB81" s="271" t="e">
        <f>IF(#REF!="Yes","H",IF($B81="","",IF(AND($C81&lt;=#REF!,$D81&gt;=#REF!),IF($G81="","x","y"),"")))</f>
        <v>#REF!</v>
      </c>
      <c r="BC81" s="272" t="e">
        <f>IF(#REF!="Yes","H",IF($B81="","",IF(AND($C81&lt;=#REF!,$D81&gt;=#REF!),IF($G81="","x","y"),"")))</f>
        <v>#REF!</v>
      </c>
      <c r="BD81" s="270" t="e">
        <f>IF(#REF!="Yes","H",IF($B81="","",IF(AND($C81&lt;=#REF!,$D81&gt;=#REF!),IF($G81="","x","y"),"")))</f>
        <v>#REF!</v>
      </c>
      <c r="BE81" s="270" t="e">
        <f>IF(#REF!="Yes","H",IF($B81="","",IF(AND($C81&lt;=#REF!,$D81&gt;=#REF!),IF($G81="","x","y"),"")))</f>
        <v>#REF!</v>
      </c>
      <c r="BF81" s="270" t="e">
        <f>IF(#REF!="Yes","H",IF($B81="","",IF(AND($C81&lt;=#REF!,$D81&gt;=#REF!),IF($G81="","x","y"),"")))</f>
        <v>#REF!</v>
      </c>
      <c r="BG81" s="273" t="e">
        <f>IF(#REF!="Yes","H",IF($B81="","",IF(AND($C81&lt;=#REF!,$D81&gt;=#REF!),IF($G81="","x","y"),"")))</f>
        <v>#REF!</v>
      </c>
      <c r="BH81" s="274" t="e">
        <f>IF(#REF!="Yes","H",IF($B81="","",IF(AND($C81&lt;=#REF!,$D81&gt;=#REF!),IF($G81="","x","y"),"")))</f>
        <v>#REF!</v>
      </c>
      <c r="BI81" s="270" t="e">
        <f>IF(#REF!="Yes","H",IF($B81="","",IF(AND($C81&lt;=#REF!,$D81&gt;=#REF!),IF($G81="","x","y"),"")))</f>
        <v>#REF!</v>
      </c>
      <c r="BJ81" s="270" t="e">
        <f>IF(#REF!="Yes","H",IF($B81="","",IF(AND($C81&lt;=#REF!,$D81&gt;=#REF!),IF($G81="","x","y"),"")))</f>
        <v>#REF!</v>
      </c>
      <c r="BK81" s="270" t="e">
        <f>IF(#REF!="Yes","H",IF($B81="","",IF(AND($C81&lt;=#REF!,$D81&gt;=#REF!),IF($G81="","x","y"),"")))</f>
        <v>#REF!</v>
      </c>
      <c r="BL81" s="271" t="e">
        <f>IF(#REF!="Yes","H",IF($B81="","",IF(AND($C81&lt;=#REF!,$D81&gt;=#REF!),IF($G81="","x","y"),"")))</f>
        <v>#REF!</v>
      </c>
      <c r="BM81" s="272" t="e">
        <f>IF(#REF!="Yes","H",IF($B81="","",IF(AND($C81&lt;=#REF!,$D81&gt;=#REF!),IF($G81="","x","y"),"")))</f>
        <v>#REF!</v>
      </c>
      <c r="BN81" s="270" t="e">
        <f>IF(#REF!="Yes","H",IF($B81="","",IF(AND($C81&lt;=#REF!,$D81&gt;=#REF!),IF($G81="","x","y"),"")))</f>
        <v>#REF!</v>
      </c>
      <c r="BO81" s="270" t="e">
        <f>IF(#REF!="Yes","H",IF($B81="","",IF(AND($C81&lt;=#REF!,$D81&gt;=#REF!),IF($G81="","x","y"),"")))</f>
        <v>#REF!</v>
      </c>
      <c r="BP81" s="270" t="e">
        <f>IF(#REF!="Yes","H",IF($B81="","",IF(AND($C81&lt;=#REF!,$D81&gt;=#REF!),IF($G81="","x","y"),"")))</f>
        <v>#REF!</v>
      </c>
      <c r="BQ81" s="273" t="e">
        <f>IF(#REF!="Yes","H",IF($B81="","",IF(AND($C81&lt;=#REF!,$D81&gt;=#REF!),IF($G81="","x","y"),"")))</f>
        <v>#REF!</v>
      </c>
      <c r="BR81" s="274" t="e">
        <f>IF(#REF!="Yes","H",IF($B81="","",IF(AND($C81&lt;=#REF!,$D81&gt;=#REF!),IF($G81="","x","y"),"")))</f>
        <v>#REF!</v>
      </c>
      <c r="BS81" s="270" t="e">
        <f>IF(#REF!="Yes","H",IF($B81="","",IF(AND($C81&lt;=#REF!,$D81&gt;=#REF!),IF($G81="","x","y"),"")))</f>
        <v>#REF!</v>
      </c>
      <c r="BT81" s="270" t="e">
        <f>IF(#REF!="Yes","H",IF($B81="","",IF(AND($C81&lt;=#REF!,$D81&gt;=#REF!),IF($G81="","x","y"),"")))</f>
        <v>#REF!</v>
      </c>
      <c r="BU81" s="270" t="e">
        <f>IF(#REF!="Yes","H",IF($B81="","",IF(AND($C81&lt;=#REF!,$D81&gt;=#REF!),IF($G81="","x","y"),"")))</f>
        <v>#REF!</v>
      </c>
      <c r="BV81" s="271" t="e">
        <f>IF(#REF!="Yes","H",IF($B81="","",IF(AND($C81&lt;=#REF!,$D81&gt;=#REF!),IF($G81="","x","y"),"")))</f>
        <v>#REF!</v>
      </c>
      <c r="BW81" s="272" t="e">
        <f>IF(#REF!="Yes","H",IF($B81="","",IF(AND($C81&lt;=#REF!,$D81&gt;=#REF!),IF($G81="","x","y"),"")))</f>
        <v>#REF!</v>
      </c>
      <c r="BX81" s="270" t="e">
        <f>IF(#REF!="Yes","H",IF($B81="","",IF(AND($C81&lt;=#REF!,$D81&gt;=#REF!),IF($G81="","x","y"),"")))</f>
        <v>#REF!</v>
      </c>
      <c r="BY81" s="270" t="e">
        <f>IF(#REF!="Yes","H",IF($B81="","",IF(AND($C81&lt;=#REF!,$D81&gt;=#REF!),IF($G81="","x","y"),"")))</f>
        <v>#REF!</v>
      </c>
      <c r="BZ81" s="270" t="e">
        <f>IF(#REF!="Yes","H",IF($B81="","",IF(AND($C81&lt;=#REF!,$D81&gt;=#REF!),IF($G81="","x","y"),"")))</f>
        <v>#REF!</v>
      </c>
      <c r="CA81" s="273" t="e">
        <f>IF(#REF!="Yes","H",IF($B81="","",IF(AND($C81&lt;=#REF!,$D81&gt;=#REF!),IF($G81="","x","y"),"")))</f>
        <v>#REF!</v>
      </c>
    </row>
    <row r="82" spans="2:79" ht="15" customHeight="1">
      <c r="B82" s="278"/>
      <c r="C82" s="260"/>
      <c r="D82" s="260"/>
      <c r="E82" s="260"/>
      <c r="F82" s="224"/>
      <c r="G82" s="275"/>
      <c r="H82" s="209"/>
      <c r="I82" s="211"/>
      <c r="J82" s="269"/>
      <c r="K82" s="270"/>
      <c r="L82" s="270"/>
      <c r="M82" s="270"/>
      <c r="N82" s="271"/>
      <c r="O82" s="272"/>
      <c r="P82" s="270"/>
      <c r="Q82" s="270"/>
      <c r="R82" s="270"/>
      <c r="S82" s="273"/>
      <c r="T82" s="274"/>
      <c r="U82" s="270"/>
      <c r="V82" s="270"/>
      <c r="W82" s="270"/>
      <c r="X82" s="271"/>
      <c r="Y82" s="272"/>
      <c r="Z82" s="270"/>
      <c r="AA82" s="270"/>
      <c r="AB82" s="270"/>
      <c r="AC82" s="273"/>
      <c r="AD82" s="274"/>
      <c r="AE82" s="270"/>
      <c r="AF82" s="270"/>
      <c r="AG82" s="270"/>
      <c r="AH82" s="271"/>
      <c r="AI82" s="272"/>
      <c r="AJ82" s="270"/>
      <c r="AK82" s="270"/>
      <c r="AL82" s="270"/>
      <c r="AM82" s="273"/>
      <c r="AN82" s="274"/>
      <c r="AO82" s="270"/>
      <c r="AP82" s="270"/>
      <c r="AQ82" s="270"/>
      <c r="AR82" s="271"/>
      <c r="AS82" s="272"/>
      <c r="AT82" s="270"/>
      <c r="AU82" s="270"/>
      <c r="AV82" s="270"/>
      <c r="AW82" s="273"/>
      <c r="AX82" s="274"/>
      <c r="AY82" s="270"/>
      <c r="AZ82" s="270"/>
      <c r="BA82" s="270"/>
      <c r="BB82" s="271"/>
      <c r="BC82" s="272"/>
      <c r="BD82" s="270"/>
      <c r="BE82" s="270"/>
      <c r="BF82" s="270"/>
      <c r="BG82" s="273"/>
      <c r="BH82" s="274"/>
      <c r="BI82" s="270"/>
      <c r="BJ82" s="270"/>
      <c r="BK82" s="270"/>
      <c r="BL82" s="271"/>
      <c r="BM82" s="272"/>
      <c r="BN82" s="270"/>
      <c r="BO82" s="270"/>
      <c r="BP82" s="270"/>
      <c r="BQ82" s="273"/>
      <c r="BR82" s="274"/>
      <c r="BS82" s="270"/>
      <c r="BT82" s="270"/>
      <c r="BU82" s="270"/>
      <c r="BV82" s="271"/>
      <c r="BW82" s="272"/>
      <c r="BX82" s="270"/>
      <c r="BY82" s="270"/>
      <c r="BZ82" s="270"/>
      <c r="CA82" s="273"/>
    </row>
    <row r="83" spans="2:79" ht="15" customHeight="1">
      <c r="B83" s="278"/>
      <c r="C83" s="260"/>
      <c r="D83" s="260"/>
      <c r="E83" s="260"/>
      <c r="F83" s="224"/>
      <c r="G83" s="275"/>
      <c r="H83" s="209"/>
      <c r="I83" s="211"/>
      <c r="J83" s="269"/>
      <c r="K83" s="270"/>
      <c r="L83" s="270"/>
      <c r="M83" s="270"/>
      <c r="N83" s="271"/>
      <c r="O83" s="272"/>
      <c r="P83" s="270"/>
      <c r="Q83" s="270"/>
      <c r="R83" s="270"/>
      <c r="S83" s="273"/>
      <c r="T83" s="274"/>
      <c r="U83" s="270"/>
      <c r="V83" s="270"/>
      <c r="W83" s="270"/>
      <c r="X83" s="271"/>
      <c r="Y83" s="272"/>
      <c r="Z83" s="270"/>
      <c r="AA83" s="270"/>
      <c r="AB83" s="270"/>
      <c r="AC83" s="273"/>
      <c r="AD83" s="274"/>
      <c r="AE83" s="270"/>
      <c r="AF83" s="270"/>
      <c r="AG83" s="270"/>
      <c r="AH83" s="271"/>
      <c r="AI83" s="272"/>
      <c r="AJ83" s="270"/>
      <c r="AK83" s="270"/>
      <c r="AL83" s="270"/>
      <c r="AM83" s="273"/>
      <c r="AN83" s="274"/>
      <c r="AO83" s="270"/>
      <c r="AP83" s="270"/>
      <c r="AQ83" s="270"/>
      <c r="AR83" s="271"/>
      <c r="AS83" s="272"/>
      <c r="AT83" s="270"/>
      <c r="AU83" s="270"/>
      <c r="AV83" s="270"/>
      <c r="AW83" s="273"/>
      <c r="AX83" s="274"/>
      <c r="AY83" s="270"/>
      <c r="AZ83" s="270"/>
      <c r="BA83" s="270"/>
      <c r="BB83" s="271"/>
      <c r="BC83" s="272"/>
      <c r="BD83" s="270"/>
      <c r="BE83" s="270"/>
      <c r="BF83" s="270"/>
      <c r="BG83" s="273"/>
      <c r="BH83" s="274"/>
      <c r="BI83" s="270"/>
      <c r="BJ83" s="270"/>
      <c r="BK83" s="270"/>
      <c r="BL83" s="271"/>
      <c r="BM83" s="272"/>
      <c r="BN83" s="270"/>
      <c r="BO83" s="270"/>
      <c r="BP83" s="270"/>
      <c r="BQ83" s="273"/>
      <c r="BR83" s="274"/>
      <c r="BS83" s="270"/>
      <c r="BT83" s="270"/>
      <c r="BU83" s="270"/>
      <c r="BV83" s="271"/>
      <c r="BW83" s="272"/>
      <c r="BX83" s="270"/>
      <c r="BY83" s="270"/>
      <c r="BZ83" s="270"/>
      <c r="CA83" s="273"/>
    </row>
    <row r="84" spans="2:79" ht="15" customHeight="1">
      <c r="B84" s="278"/>
      <c r="C84" s="260"/>
      <c r="D84" s="260"/>
      <c r="E84" s="260"/>
      <c r="F84" s="224"/>
      <c r="G84" s="275"/>
      <c r="H84" s="209"/>
      <c r="I84" s="211"/>
      <c r="J84" s="269"/>
      <c r="K84" s="270"/>
      <c r="L84" s="270"/>
      <c r="M84" s="270"/>
      <c r="N84" s="271"/>
      <c r="O84" s="272"/>
      <c r="P84" s="270"/>
      <c r="Q84" s="270"/>
      <c r="R84" s="270"/>
      <c r="S84" s="273"/>
      <c r="T84" s="274"/>
      <c r="U84" s="270"/>
      <c r="V84" s="270"/>
      <c r="W84" s="270"/>
      <c r="X84" s="271"/>
      <c r="Y84" s="272"/>
      <c r="Z84" s="270"/>
      <c r="AA84" s="270"/>
      <c r="AB84" s="270"/>
      <c r="AC84" s="273"/>
      <c r="AD84" s="274"/>
      <c r="AE84" s="270"/>
      <c r="AF84" s="270"/>
      <c r="AG84" s="270"/>
      <c r="AH84" s="271"/>
      <c r="AI84" s="272"/>
      <c r="AJ84" s="270"/>
      <c r="AK84" s="270"/>
      <c r="AL84" s="270"/>
      <c r="AM84" s="273"/>
      <c r="AN84" s="274"/>
      <c r="AO84" s="270"/>
      <c r="AP84" s="270"/>
      <c r="AQ84" s="270"/>
      <c r="AR84" s="271"/>
      <c r="AS84" s="272"/>
      <c r="AT84" s="270"/>
      <c r="AU84" s="270"/>
      <c r="AV84" s="270"/>
      <c r="AW84" s="273"/>
      <c r="AX84" s="274"/>
      <c r="AY84" s="270"/>
      <c r="AZ84" s="270"/>
      <c r="BA84" s="270"/>
      <c r="BB84" s="271"/>
      <c r="BC84" s="272"/>
      <c r="BD84" s="270"/>
      <c r="BE84" s="270"/>
      <c r="BF84" s="270"/>
      <c r="BG84" s="273"/>
      <c r="BH84" s="274"/>
      <c r="BI84" s="270"/>
      <c r="BJ84" s="270"/>
      <c r="BK84" s="270"/>
      <c r="BL84" s="271"/>
      <c r="BM84" s="272"/>
      <c r="BN84" s="270"/>
      <c r="BO84" s="270"/>
      <c r="BP84" s="270"/>
      <c r="BQ84" s="273"/>
      <c r="BR84" s="274"/>
      <c r="BS84" s="270"/>
      <c r="BT84" s="270"/>
      <c r="BU84" s="270"/>
      <c r="BV84" s="271"/>
      <c r="BW84" s="272"/>
      <c r="BX84" s="270"/>
      <c r="BY84" s="270"/>
      <c r="BZ84" s="270"/>
      <c r="CA84" s="273"/>
    </row>
    <row r="85" spans="2:79" ht="15" customHeight="1">
      <c r="B85" s="278"/>
      <c r="C85" s="226"/>
      <c r="D85" s="226"/>
      <c r="E85" s="260"/>
      <c r="F85" s="224"/>
      <c r="G85" s="275"/>
      <c r="H85" s="209"/>
      <c r="I85" s="211"/>
      <c r="J85" s="269" t="e">
        <f>IF(#REF!="Yes","H",IF($B85="","",IF(AND($C85&lt;=#REF!,$D85&gt;=#REF!),IF($G85="","x","y"),"")))</f>
        <v>#REF!</v>
      </c>
      <c r="K85" s="270" t="e">
        <f>IF(#REF!="Yes","H",IF($B85="","",IF(AND($C85&lt;=#REF!,$D85&gt;=#REF!),IF($G85="","x","y"),"")))</f>
        <v>#REF!</v>
      </c>
      <c r="L85" s="270" t="e">
        <f>IF(#REF!="Yes","H",IF($B85="","",IF(AND($C85&lt;=#REF!,$D85&gt;=#REF!),IF($G85="","x","y"),"")))</f>
        <v>#REF!</v>
      </c>
      <c r="M85" s="270" t="e">
        <f>IF(#REF!="Yes","H",IF($B85="","",IF(AND($C85&lt;=#REF!,$D85&gt;=#REF!),IF($G85="","x","y"),"")))</f>
        <v>#REF!</v>
      </c>
      <c r="N85" s="271" t="e">
        <f>IF(#REF!="Yes","H",IF($B85="","",IF(AND($C85&lt;=#REF!,$D85&gt;=#REF!),IF($G85="","x","y"),"")))</f>
        <v>#REF!</v>
      </c>
      <c r="O85" s="272" t="e">
        <f>IF(#REF!="Yes","H",IF($B85="","",IF(AND($C85&lt;=#REF!,$D85&gt;=#REF!),IF($G85="","x","y"),"")))</f>
        <v>#REF!</v>
      </c>
      <c r="P85" s="270" t="e">
        <f>IF(#REF!="Yes","H",IF($B85="","",IF(AND($C85&lt;=#REF!,$D85&gt;=#REF!),IF($G85="","x","y"),"")))</f>
        <v>#REF!</v>
      </c>
      <c r="Q85" s="270" t="e">
        <f>IF(#REF!="Yes","H",IF($B85="","",IF(AND($C85&lt;=#REF!,$D85&gt;=#REF!),IF($G85="","x","y"),"")))</f>
        <v>#REF!</v>
      </c>
      <c r="R85" s="270" t="e">
        <f>IF(#REF!="Yes","H",IF($B85="","",IF(AND($C85&lt;=#REF!,$D85&gt;=#REF!),IF($G85="","x","y"),"")))</f>
        <v>#REF!</v>
      </c>
      <c r="S85" s="273" t="e">
        <f>IF(#REF!="Yes","H",IF($B85="","",IF(AND($C85&lt;=#REF!,$D85&gt;=#REF!),IF($G85="","x","y"),"")))</f>
        <v>#REF!</v>
      </c>
      <c r="T85" s="274" t="e">
        <f>IF(#REF!="Yes","H",IF($B85="","",IF(AND($C85&lt;=#REF!,$D85&gt;=#REF!),IF($G85="","x","y"),"")))</f>
        <v>#REF!</v>
      </c>
      <c r="U85" s="270" t="e">
        <f>IF(#REF!="Yes","H",IF($B85="","",IF(AND($C85&lt;=#REF!,$D85&gt;=#REF!),IF($G85="","x","y"),"")))</f>
        <v>#REF!</v>
      </c>
      <c r="V85" s="270" t="e">
        <f>IF(#REF!="Yes","H",IF($B85="","",IF(AND($C85&lt;=#REF!,$D85&gt;=#REF!),IF($G85="","x","y"),"")))</f>
        <v>#REF!</v>
      </c>
      <c r="W85" s="270" t="e">
        <f>IF(#REF!="Yes","H",IF($B85="","",IF(AND($C85&lt;=#REF!,$D85&gt;=#REF!),IF($G85="","x","y"),"")))</f>
        <v>#REF!</v>
      </c>
      <c r="X85" s="271" t="e">
        <f>IF(#REF!="Yes","H",IF($B85="","",IF(AND($C85&lt;=#REF!,$D85&gt;=#REF!),IF($G85="","x","y"),"")))</f>
        <v>#REF!</v>
      </c>
      <c r="Y85" s="272" t="e">
        <f>IF(#REF!="Yes","H",IF($B85="","",IF(AND($C85&lt;=#REF!,$D85&gt;=#REF!),IF($G85="","x","y"),"")))</f>
        <v>#REF!</v>
      </c>
      <c r="Z85" s="270" t="e">
        <f>IF(#REF!="Yes","H",IF($B85="","",IF(AND($C85&lt;=#REF!,$D85&gt;=#REF!),IF($G85="","x","y"),"")))</f>
        <v>#REF!</v>
      </c>
      <c r="AA85" s="270" t="e">
        <f>IF(#REF!="Yes","H",IF($B85="","",IF(AND($C85&lt;=#REF!,$D85&gt;=#REF!),IF($G85="","x","y"),"")))</f>
        <v>#REF!</v>
      </c>
      <c r="AB85" s="270" t="e">
        <f>IF(#REF!="Yes","H",IF($B85="","",IF(AND($C85&lt;=#REF!,$D85&gt;=#REF!),IF($G85="","x","y"),"")))</f>
        <v>#REF!</v>
      </c>
      <c r="AC85" s="273" t="e">
        <f>IF(#REF!="Yes","H",IF($B85="","",IF(AND($C85&lt;=#REF!,$D85&gt;=#REF!),IF($G85="","x","y"),"")))</f>
        <v>#REF!</v>
      </c>
      <c r="AD85" s="274" t="e">
        <f>IF(#REF!="Yes","H",IF($B85="","",IF(AND($C85&lt;=#REF!,$D85&gt;=#REF!),IF($G85="","x","y"),"")))</f>
        <v>#REF!</v>
      </c>
      <c r="AE85" s="270" t="e">
        <f>IF(#REF!="Yes","H",IF($B85="","",IF(AND($C85&lt;=#REF!,$D85&gt;=#REF!),IF($G85="","x","y"),"")))</f>
        <v>#REF!</v>
      </c>
      <c r="AF85" s="270" t="e">
        <f>IF(#REF!="Yes","H",IF($B85="","",IF(AND($C85&lt;=#REF!,$D85&gt;=#REF!),IF($G85="","x","y"),"")))</f>
        <v>#REF!</v>
      </c>
      <c r="AG85" s="270" t="e">
        <f>IF(#REF!="Yes","H",IF($B85="","",IF(AND($C85&lt;=#REF!,$D85&gt;=#REF!),IF($G85="","x","y"),"")))</f>
        <v>#REF!</v>
      </c>
      <c r="AH85" s="271" t="e">
        <f>IF(#REF!="Yes","H",IF($B85="","",IF(AND($C85&lt;=#REF!,$D85&gt;=#REF!),IF($G85="","x","y"),"")))</f>
        <v>#REF!</v>
      </c>
      <c r="AI85" s="272" t="e">
        <f>IF(#REF!="Yes","H",IF($B85="","",IF(AND($C85&lt;=#REF!,$D85&gt;=#REF!),IF($G85="","x","y"),"")))</f>
        <v>#REF!</v>
      </c>
      <c r="AJ85" s="270" t="e">
        <f>IF(#REF!="Yes","H",IF($B85="","",IF(AND($C85&lt;=#REF!,$D85&gt;=#REF!),IF($G85="","x","y"),"")))</f>
        <v>#REF!</v>
      </c>
      <c r="AK85" s="270" t="e">
        <f>IF(#REF!="Yes","H",IF($B85="","",IF(AND($C85&lt;=#REF!,$D85&gt;=#REF!),IF($G85="","x","y"),"")))</f>
        <v>#REF!</v>
      </c>
      <c r="AL85" s="270" t="e">
        <f>IF(#REF!="Yes","H",IF($B85="","",IF(AND($C85&lt;=#REF!,$D85&gt;=#REF!),IF($G85="","x","y"),"")))</f>
        <v>#REF!</v>
      </c>
      <c r="AM85" s="273" t="e">
        <f>IF(#REF!="Yes","H",IF($B85="","",IF(AND($C85&lt;=#REF!,$D85&gt;=#REF!),IF($G85="","x","y"),"")))</f>
        <v>#REF!</v>
      </c>
      <c r="AN85" s="274" t="e">
        <f>IF(#REF!="Yes","H",IF($B85="","",IF(AND($C85&lt;=#REF!,$D85&gt;=#REF!),IF($G85="","x","y"),"")))</f>
        <v>#REF!</v>
      </c>
      <c r="AO85" s="270" t="e">
        <f>IF(#REF!="Yes","H",IF($B85="","",IF(AND($C85&lt;=#REF!,$D85&gt;=#REF!),IF($G85="","x","y"),"")))</f>
        <v>#REF!</v>
      </c>
      <c r="AP85" s="270" t="e">
        <f>IF(#REF!="Yes","H",IF($B85="","",IF(AND($C85&lt;=#REF!,$D85&gt;=#REF!),IF($G85="","x","y"),"")))</f>
        <v>#REF!</v>
      </c>
      <c r="AQ85" s="270" t="e">
        <f>IF(#REF!="Yes","H",IF($B85="","",IF(AND($C85&lt;=#REF!,$D85&gt;=#REF!),IF($G85="","x","y"),"")))</f>
        <v>#REF!</v>
      </c>
      <c r="AR85" s="271" t="e">
        <f>IF(#REF!="Yes","H",IF($B85="","",IF(AND($C85&lt;=#REF!,$D85&gt;=#REF!),IF($G85="","x","y"),"")))</f>
        <v>#REF!</v>
      </c>
      <c r="AS85" s="272" t="e">
        <f>IF(#REF!="Yes","H",IF($B85="","",IF(AND($C85&lt;=#REF!,$D85&gt;=#REF!),IF($G85="","x","y"),"")))</f>
        <v>#REF!</v>
      </c>
      <c r="AT85" s="270" t="e">
        <f>IF(#REF!="Yes","H",IF($B85="","",IF(AND($C85&lt;=#REF!,$D85&gt;=#REF!),IF($G85="","x","y"),"")))</f>
        <v>#REF!</v>
      </c>
      <c r="AU85" s="270" t="e">
        <f>IF(#REF!="Yes","H",IF($B85="","",IF(AND($C85&lt;=#REF!,$D85&gt;=#REF!),IF($G85="","x","y"),"")))</f>
        <v>#REF!</v>
      </c>
      <c r="AV85" s="270" t="e">
        <f>IF(#REF!="Yes","H",IF($B85="","",IF(AND($C85&lt;=#REF!,$D85&gt;=#REF!),IF($G85="","x","y"),"")))</f>
        <v>#REF!</v>
      </c>
      <c r="AW85" s="273" t="e">
        <f>IF(#REF!="Yes","H",IF($B85="","",IF(AND($C85&lt;=#REF!,$D85&gt;=#REF!),IF($G85="","x","y"),"")))</f>
        <v>#REF!</v>
      </c>
      <c r="AX85" s="274" t="e">
        <f>IF(#REF!="Yes","H",IF($B85="","",IF(AND($C85&lt;=#REF!,$D85&gt;=#REF!),IF($G85="","x","y"),"")))</f>
        <v>#REF!</v>
      </c>
      <c r="AY85" s="270" t="e">
        <f>IF(#REF!="Yes","H",IF($B85="","",IF(AND($C85&lt;=#REF!,$D85&gt;=#REF!),IF($G85="","x","y"),"")))</f>
        <v>#REF!</v>
      </c>
      <c r="AZ85" s="270" t="e">
        <f>IF(#REF!="Yes","H",IF($B85="","",IF(AND($C85&lt;=#REF!,$D85&gt;=#REF!),IF($G85="","x","y"),"")))</f>
        <v>#REF!</v>
      </c>
      <c r="BA85" s="270" t="e">
        <f>IF(#REF!="Yes","H",IF($B85="","",IF(AND($C85&lt;=#REF!,$D85&gt;=#REF!),IF($G85="","x","y"),"")))</f>
        <v>#REF!</v>
      </c>
      <c r="BB85" s="271" t="e">
        <f>IF(#REF!="Yes","H",IF($B85="","",IF(AND($C85&lt;=#REF!,$D85&gt;=#REF!),IF($G85="","x","y"),"")))</f>
        <v>#REF!</v>
      </c>
      <c r="BC85" s="272" t="e">
        <f>IF(#REF!="Yes","H",IF($B85="","",IF(AND($C85&lt;=#REF!,$D85&gt;=#REF!),IF($G85="","x","y"),"")))</f>
        <v>#REF!</v>
      </c>
      <c r="BD85" s="270" t="e">
        <f>IF(#REF!="Yes","H",IF($B85="","",IF(AND($C85&lt;=#REF!,$D85&gt;=#REF!),IF($G85="","x","y"),"")))</f>
        <v>#REF!</v>
      </c>
      <c r="BE85" s="270" t="e">
        <f>IF(#REF!="Yes","H",IF($B85="","",IF(AND($C85&lt;=#REF!,$D85&gt;=#REF!),IF($G85="","x","y"),"")))</f>
        <v>#REF!</v>
      </c>
      <c r="BF85" s="270" t="e">
        <f>IF(#REF!="Yes","H",IF($B85="","",IF(AND($C85&lt;=#REF!,$D85&gt;=#REF!),IF($G85="","x","y"),"")))</f>
        <v>#REF!</v>
      </c>
      <c r="BG85" s="273" t="e">
        <f>IF(#REF!="Yes","H",IF($B85="","",IF(AND($C85&lt;=#REF!,$D85&gt;=#REF!),IF($G85="","x","y"),"")))</f>
        <v>#REF!</v>
      </c>
      <c r="BH85" s="274" t="e">
        <f>IF(#REF!="Yes","H",IF($B85="","",IF(AND($C85&lt;=#REF!,$D85&gt;=#REF!),IF($G85="","x","y"),"")))</f>
        <v>#REF!</v>
      </c>
      <c r="BI85" s="270" t="e">
        <f>IF(#REF!="Yes","H",IF($B85="","",IF(AND($C85&lt;=#REF!,$D85&gt;=#REF!),IF($G85="","x","y"),"")))</f>
        <v>#REF!</v>
      </c>
      <c r="BJ85" s="270" t="e">
        <f>IF(#REF!="Yes","H",IF($B85="","",IF(AND($C85&lt;=#REF!,$D85&gt;=#REF!),IF($G85="","x","y"),"")))</f>
        <v>#REF!</v>
      </c>
      <c r="BK85" s="270" t="e">
        <f>IF(#REF!="Yes","H",IF($B85="","",IF(AND($C85&lt;=#REF!,$D85&gt;=#REF!),IF($G85="","x","y"),"")))</f>
        <v>#REF!</v>
      </c>
      <c r="BL85" s="271" t="e">
        <f>IF(#REF!="Yes","H",IF($B85="","",IF(AND($C85&lt;=#REF!,$D85&gt;=#REF!),IF($G85="","x","y"),"")))</f>
        <v>#REF!</v>
      </c>
      <c r="BM85" s="272" t="e">
        <f>IF(#REF!="Yes","H",IF($B85="","",IF(AND($C85&lt;=#REF!,$D85&gt;=#REF!),IF($G85="","x","y"),"")))</f>
        <v>#REF!</v>
      </c>
      <c r="BN85" s="270" t="e">
        <f>IF(#REF!="Yes","H",IF($B85="","",IF(AND($C85&lt;=#REF!,$D85&gt;=#REF!),IF($G85="","x","y"),"")))</f>
        <v>#REF!</v>
      </c>
      <c r="BO85" s="270" t="e">
        <f>IF(#REF!="Yes","H",IF($B85="","",IF(AND($C85&lt;=#REF!,$D85&gt;=#REF!),IF($G85="","x","y"),"")))</f>
        <v>#REF!</v>
      </c>
      <c r="BP85" s="270" t="e">
        <f>IF(#REF!="Yes","H",IF($B85="","",IF(AND($C85&lt;=#REF!,$D85&gt;=#REF!),IF($G85="","x","y"),"")))</f>
        <v>#REF!</v>
      </c>
      <c r="BQ85" s="273" t="e">
        <f>IF(#REF!="Yes","H",IF($B85="","",IF(AND($C85&lt;=#REF!,$D85&gt;=#REF!),IF($G85="","x","y"),"")))</f>
        <v>#REF!</v>
      </c>
      <c r="BR85" s="274" t="e">
        <f>IF(#REF!="Yes","H",IF($B85="","",IF(AND($C85&lt;=#REF!,$D85&gt;=#REF!),IF($G85="","x","y"),"")))</f>
        <v>#REF!</v>
      </c>
      <c r="BS85" s="270" t="e">
        <f>IF(#REF!="Yes","H",IF($B85="","",IF(AND($C85&lt;=#REF!,$D85&gt;=#REF!),IF($G85="","x","y"),"")))</f>
        <v>#REF!</v>
      </c>
      <c r="BT85" s="270" t="e">
        <f>IF(#REF!="Yes","H",IF($B85="","",IF(AND($C85&lt;=#REF!,$D85&gt;=#REF!),IF($G85="","x","y"),"")))</f>
        <v>#REF!</v>
      </c>
      <c r="BU85" s="270" t="e">
        <f>IF(#REF!="Yes","H",IF($B85="","",IF(AND($C85&lt;=#REF!,$D85&gt;=#REF!),IF($G85="","x","y"),"")))</f>
        <v>#REF!</v>
      </c>
      <c r="BV85" s="271" t="e">
        <f>IF(#REF!="Yes","H",IF($B85="","",IF(AND($C85&lt;=#REF!,$D85&gt;=#REF!),IF($G85="","x","y"),"")))</f>
        <v>#REF!</v>
      </c>
      <c r="BW85" s="272" t="e">
        <f>IF(#REF!="Yes","H",IF($B85="","",IF(AND($C85&lt;=#REF!,$D85&gt;=#REF!),IF($G85="","x","y"),"")))</f>
        <v>#REF!</v>
      </c>
      <c r="BX85" s="270" t="e">
        <f>IF(#REF!="Yes","H",IF($B85="","",IF(AND($C85&lt;=#REF!,$D85&gt;=#REF!),IF($G85="","x","y"),"")))</f>
        <v>#REF!</v>
      </c>
      <c r="BY85" s="270" t="e">
        <f>IF(#REF!="Yes","H",IF($B85="","",IF(AND($C85&lt;=#REF!,$D85&gt;=#REF!),IF($G85="","x","y"),"")))</f>
        <v>#REF!</v>
      </c>
      <c r="BZ85" s="270" t="e">
        <f>IF(#REF!="Yes","H",IF($B85="","",IF(AND($C85&lt;=#REF!,$D85&gt;=#REF!),IF($G85="","x","y"),"")))</f>
        <v>#REF!</v>
      </c>
      <c r="CA85" s="273" t="e">
        <f>IF(#REF!="Yes","H",IF($B85="","",IF(AND($C85&lt;=#REF!,$D85&gt;=#REF!),IF($G85="","x","y"),"")))</f>
        <v>#REF!</v>
      </c>
    </row>
    <row r="86" spans="2:79">
      <c r="B86" s="278"/>
      <c r="C86" s="226"/>
      <c r="D86" s="226"/>
      <c r="E86" s="260"/>
      <c r="F86" s="224"/>
      <c r="G86" s="275"/>
      <c r="H86" s="209"/>
      <c r="I86" s="211"/>
      <c r="J86" s="269" t="e">
        <f>IF(#REF!="Yes","H",IF($B86="","",IF(AND($C86&lt;=#REF!,$D86&gt;=#REF!),IF($G86="","x","y"),"")))</f>
        <v>#REF!</v>
      </c>
      <c r="K86" s="270" t="e">
        <f>IF(#REF!="Yes","H",IF($B86="","",IF(AND($C86&lt;=#REF!,$D86&gt;=#REF!),IF($G86="","x","y"),"")))</f>
        <v>#REF!</v>
      </c>
      <c r="L86" s="270" t="e">
        <f>IF(#REF!="Yes","H",IF($B86="","",IF(AND($C86&lt;=#REF!,$D86&gt;=#REF!),IF($G86="","x","y"),"")))</f>
        <v>#REF!</v>
      </c>
      <c r="M86" s="270" t="e">
        <f>IF(#REF!="Yes","H",IF($B86="","",IF(AND($C86&lt;=#REF!,$D86&gt;=#REF!),IF($G86="","x","y"),"")))</f>
        <v>#REF!</v>
      </c>
      <c r="N86" s="271" t="e">
        <f>IF(#REF!="Yes","H",IF($B86="","",IF(AND($C86&lt;=#REF!,$D86&gt;=#REF!),IF($G86="","x","y"),"")))</f>
        <v>#REF!</v>
      </c>
      <c r="O86" s="272" t="e">
        <f>IF(#REF!="Yes","H",IF($B86="","",IF(AND($C86&lt;=#REF!,$D86&gt;=#REF!),IF($G86="","x","y"),"")))</f>
        <v>#REF!</v>
      </c>
      <c r="P86" s="270" t="e">
        <f>IF(#REF!="Yes","H",IF($B86="","",IF(AND($C86&lt;=#REF!,$D86&gt;=#REF!),IF($G86="","x","y"),"")))</f>
        <v>#REF!</v>
      </c>
      <c r="Q86" s="270" t="e">
        <f>IF(#REF!="Yes","H",IF($B86="","",IF(AND($C86&lt;=#REF!,$D86&gt;=#REF!),IF($G86="","x","y"),"")))</f>
        <v>#REF!</v>
      </c>
      <c r="R86" s="270" t="e">
        <f>IF(#REF!="Yes","H",IF($B86="","",IF(AND($C86&lt;=#REF!,$D86&gt;=#REF!),IF($G86="","x","y"),"")))</f>
        <v>#REF!</v>
      </c>
      <c r="S86" s="273" t="e">
        <f>IF(#REF!="Yes","H",IF($B86="","",IF(AND($C86&lt;=#REF!,$D86&gt;=#REF!),IF($G86="","x","y"),"")))</f>
        <v>#REF!</v>
      </c>
      <c r="T86" s="274" t="e">
        <f>IF(#REF!="Yes","H",IF($B86="","",IF(AND($C86&lt;=#REF!,$D86&gt;=#REF!),IF($G86="","x","y"),"")))</f>
        <v>#REF!</v>
      </c>
      <c r="U86" s="270" t="e">
        <f>IF(#REF!="Yes","H",IF($B86="","",IF(AND($C86&lt;=#REF!,$D86&gt;=#REF!),IF($G86="","x","y"),"")))</f>
        <v>#REF!</v>
      </c>
      <c r="V86" s="270" t="e">
        <f>IF(#REF!="Yes","H",IF($B86="","",IF(AND($C86&lt;=#REF!,$D86&gt;=#REF!),IF($G86="","x","y"),"")))</f>
        <v>#REF!</v>
      </c>
      <c r="W86" s="270" t="e">
        <f>IF(#REF!="Yes","H",IF($B86="","",IF(AND($C86&lt;=#REF!,$D86&gt;=#REF!),IF($G86="","x","y"),"")))</f>
        <v>#REF!</v>
      </c>
      <c r="X86" s="271" t="e">
        <f>IF(#REF!="Yes","H",IF($B86="","",IF(AND($C86&lt;=#REF!,$D86&gt;=#REF!),IF($G86="","x","y"),"")))</f>
        <v>#REF!</v>
      </c>
      <c r="Y86" s="272" t="e">
        <f>IF(#REF!="Yes","H",IF($B86="","",IF(AND($C86&lt;=#REF!,$D86&gt;=#REF!),IF($G86="","x","y"),"")))</f>
        <v>#REF!</v>
      </c>
      <c r="Z86" s="270" t="e">
        <f>IF(#REF!="Yes","H",IF($B86="","",IF(AND($C86&lt;=#REF!,$D86&gt;=#REF!),IF($G86="","x","y"),"")))</f>
        <v>#REF!</v>
      </c>
      <c r="AA86" s="270" t="e">
        <f>IF(#REF!="Yes","H",IF($B86="","",IF(AND($C86&lt;=#REF!,$D86&gt;=#REF!),IF($G86="","x","y"),"")))</f>
        <v>#REF!</v>
      </c>
      <c r="AB86" s="270" t="e">
        <f>IF(#REF!="Yes","H",IF($B86="","",IF(AND($C86&lt;=#REF!,$D86&gt;=#REF!),IF($G86="","x","y"),"")))</f>
        <v>#REF!</v>
      </c>
      <c r="AC86" s="273" t="e">
        <f>IF(#REF!="Yes","H",IF($B86="","",IF(AND($C86&lt;=#REF!,$D86&gt;=#REF!),IF($G86="","x","y"),"")))</f>
        <v>#REF!</v>
      </c>
      <c r="AD86" s="274" t="e">
        <f>IF(#REF!="Yes","H",IF($B86="","",IF(AND($C86&lt;=#REF!,$D86&gt;=#REF!),IF($G86="","x","y"),"")))</f>
        <v>#REF!</v>
      </c>
      <c r="AE86" s="270" t="e">
        <f>IF(#REF!="Yes","H",IF($B86="","",IF(AND($C86&lt;=#REF!,$D86&gt;=#REF!),IF($G86="","x","y"),"")))</f>
        <v>#REF!</v>
      </c>
      <c r="AF86" s="270" t="e">
        <f>IF(#REF!="Yes","H",IF($B86="","",IF(AND($C86&lt;=#REF!,$D86&gt;=#REF!),IF($G86="","x","y"),"")))</f>
        <v>#REF!</v>
      </c>
      <c r="AG86" s="270" t="e">
        <f>IF(#REF!="Yes","H",IF($B86="","",IF(AND($C86&lt;=#REF!,$D86&gt;=#REF!),IF($G86="","x","y"),"")))</f>
        <v>#REF!</v>
      </c>
      <c r="AH86" s="271" t="e">
        <f>IF(#REF!="Yes","H",IF($B86="","",IF(AND($C86&lt;=#REF!,$D86&gt;=#REF!),IF($G86="","x","y"),"")))</f>
        <v>#REF!</v>
      </c>
      <c r="AI86" s="272" t="e">
        <f>IF(#REF!="Yes","H",IF($B86="","",IF(AND($C86&lt;=#REF!,$D86&gt;=#REF!),IF($G86="","x","y"),"")))</f>
        <v>#REF!</v>
      </c>
      <c r="AJ86" s="270" t="e">
        <f>IF(#REF!="Yes","H",IF($B86="","",IF(AND($C86&lt;=#REF!,$D86&gt;=#REF!),IF($G86="","x","y"),"")))</f>
        <v>#REF!</v>
      </c>
      <c r="AK86" s="270" t="e">
        <f>IF(#REF!="Yes","H",IF($B86="","",IF(AND($C86&lt;=#REF!,$D86&gt;=#REF!),IF($G86="","x","y"),"")))</f>
        <v>#REF!</v>
      </c>
      <c r="AL86" s="270" t="e">
        <f>IF(#REF!="Yes","H",IF($B86="","",IF(AND($C86&lt;=#REF!,$D86&gt;=#REF!),IF($G86="","x","y"),"")))</f>
        <v>#REF!</v>
      </c>
      <c r="AM86" s="273" t="e">
        <f>IF(#REF!="Yes","H",IF($B86="","",IF(AND($C86&lt;=#REF!,$D86&gt;=#REF!),IF($G86="","x","y"),"")))</f>
        <v>#REF!</v>
      </c>
      <c r="AN86" s="274" t="e">
        <f>IF(#REF!="Yes","H",IF($B86="","",IF(AND($C86&lt;=#REF!,$D86&gt;=#REF!),IF($G86="","x","y"),"")))</f>
        <v>#REF!</v>
      </c>
      <c r="AO86" s="270" t="e">
        <f>IF(#REF!="Yes","H",IF($B86="","",IF(AND($C86&lt;=#REF!,$D86&gt;=#REF!),IF($G86="","x","y"),"")))</f>
        <v>#REF!</v>
      </c>
      <c r="AP86" s="270" t="e">
        <f>IF(#REF!="Yes","H",IF($B86="","",IF(AND($C86&lt;=#REF!,$D86&gt;=#REF!),IF($G86="","x","y"),"")))</f>
        <v>#REF!</v>
      </c>
      <c r="AQ86" s="270" t="e">
        <f>IF(#REF!="Yes","H",IF($B86="","",IF(AND($C86&lt;=#REF!,$D86&gt;=#REF!),IF($G86="","x","y"),"")))</f>
        <v>#REF!</v>
      </c>
      <c r="AR86" s="271" t="e">
        <f>IF(#REF!="Yes","H",IF($B86="","",IF(AND($C86&lt;=#REF!,$D86&gt;=#REF!),IF($G86="","x","y"),"")))</f>
        <v>#REF!</v>
      </c>
      <c r="AS86" s="272" t="e">
        <f>IF(#REF!="Yes","H",IF($B86="","",IF(AND($C86&lt;=#REF!,$D86&gt;=#REF!),IF($G86="","x","y"),"")))</f>
        <v>#REF!</v>
      </c>
      <c r="AT86" s="270" t="e">
        <f>IF(#REF!="Yes","H",IF($B86="","",IF(AND($C86&lt;=#REF!,$D86&gt;=#REF!),IF($G86="","x","y"),"")))</f>
        <v>#REF!</v>
      </c>
      <c r="AU86" s="270" t="e">
        <f>IF(#REF!="Yes","H",IF($B86="","",IF(AND($C86&lt;=#REF!,$D86&gt;=#REF!),IF($G86="","x","y"),"")))</f>
        <v>#REF!</v>
      </c>
      <c r="AV86" s="270" t="e">
        <f>IF(#REF!="Yes","H",IF($B86="","",IF(AND($C86&lt;=#REF!,$D86&gt;=#REF!),IF($G86="","x","y"),"")))</f>
        <v>#REF!</v>
      </c>
      <c r="AW86" s="273" t="e">
        <f>IF(#REF!="Yes","H",IF($B86="","",IF(AND($C86&lt;=#REF!,$D86&gt;=#REF!),IF($G86="","x","y"),"")))</f>
        <v>#REF!</v>
      </c>
      <c r="AX86" s="274" t="e">
        <f>IF(#REF!="Yes","H",IF($B86="","",IF(AND($C86&lt;=#REF!,$D86&gt;=#REF!),IF($G86="","x","y"),"")))</f>
        <v>#REF!</v>
      </c>
      <c r="AY86" s="270" t="e">
        <f>IF(#REF!="Yes","H",IF($B86="","",IF(AND($C86&lt;=#REF!,$D86&gt;=#REF!),IF($G86="","x","y"),"")))</f>
        <v>#REF!</v>
      </c>
      <c r="AZ86" s="270" t="e">
        <f>IF(#REF!="Yes","H",IF($B86="","",IF(AND($C86&lt;=#REF!,$D86&gt;=#REF!),IF($G86="","x","y"),"")))</f>
        <v>#REF!</v>
      </c>
      <c r="BA86" s="270" t="e">
        <f>IF(#REF!="Yes","H",IF($B86="","",IF(AND($C86&lt;=#REF!,$D86&gt;=#REF!),IF($G86="","x","y"),"")))</f>
        <v>#REF!</v>
      </c>
      <c r="BB86" s="271" t="e">
        <f>IF(#REF!="Yes","H",IF($B86="","",IF(AND($C86&lt;=#REF!,$D86&gt;=#REF!),IF($G86="","x","y"),"")))</f>
        <v>#REF!</v>
      </c>
      <c r="BC86" s="272" t="e">
        <f>IF(#REF!="Yes","H",IF($B86="","",IF(AND($C86&lt;=#REF!,$D86&gt;=#REF!),IF($G86="","x","y"),"")))</f>
        <v>#REF!</v>
      </c>
      <c r="BD86" s="270" t="e">
        <f>IF(#REF!="Yes","H",IF($B86="","",IF(AND($C86&lt;=#REF!,$D86&gt;=#REF!),IF($G86="","x","y"),"")))</f>
        <v>#REF!</v>
      </c>
      <c r="BE86" s="270" t="e">
        <f>IF(#REF!="Yes","H",IF($B86="","",IF(AND($C86&lt;=#REF!,$D86&gt;=#REF!),IF($G86="","x","y"),"")))</f>
        <v>#REF!</v>
      </c>
      <c r="BF86" s="270" t="e">
        <f>IF(#REF!="Yes","H",IF($B86="","",IF(AND($C86&lt;=#REF!,$D86&gt;=#REF!),IF($G86="","x","y"),"")))</f>
        <v>#REF!</v>
      </c>
      <c r="BG86" s="273" t="e">
        <f>IF(#REF!="Yes","H",IF($B86="","",IF(AND($C86&lt;=#REF!,$D86&gt;=#REF!),IF($G86="","x","y"),"")))</f>
        <v>#REF!</v>
      </c>
      <c r="BH86" s="274" t="e">
        <f>IF(#REF!="Yes","H",IF($B86="","",IF(AND($C86&lt;=#REF!,$D86&gt;=#REF!),IF($G86="","x","y"),"")))</f>
        <v>#REF!</v>
      </c>
      <c r="BI86" s="270" t="e">
        <f>IF(#REF!="Yes","H",IF($B86="","",IF(AND($C86&lt;=#REF!,$D86&gt;=#REF!),IF($G86="","x","y"),"")))</f>
        <v>#REF!</v>
      </c>
      <c r="BJ86" s="270" t="e">
        <f>IF(#REF!="Yes","H",IF($B86="","",IF(AND($C86&lt;=#REF!,$D86&gt;=#REF!),IF($G86="","x","y"),"")))</f>
        <v>#REF!</v>
      </c>
      <c r="BK86" s="270" t="e">
        <f>IF(#REF!="Yes","H",IF($B86="","",IF(AND($C86&lt;=#REF!,$D86&gt;=#REF!),IF($G86="","x","y"),"")))</f>
        <v>#REF!</v>
      </c>
      <c r="BL86" s="271" t="e">
        <f>IF(#REF!="Yes","H",IF($B86="","",IF(AND($C86&lt;=#REF!,$D86&gt;=#REF!),IF($G86="","x","y"),"")))</f>
        <v>#REF!</v>
      </c>
      <c r="BM86" s="272" t="e">
        <f>IF(#REF!="Yes","H",IF($B86="","",IF(AND($C86&lt;=#REF!,$D86&gt;=#REF!),IF($G86="","x","y"),"")))</f>
        <v>#REF!</v>
      </c>
      <c r="BN86" s="270" t="e">
        <f>IF(#REF!="Yes","H",IF($B86="","",IF(AND($C86&lt;=#REF!,$D86&gt;=#REF!),IF($G86="","x","y"),"")))</f>
        <v>#REF!</v>
      </c>
      <c r="BO86" s="270" t="e">
        <f>IF(#REF!="Yes","H",IF($B86="","",IF(AND($C86&lt;=#REF!,$D86&gt;=#REF!),IF($G86="","x","y"),"")))</f>
        <v>#REF!</v>
      </c>
      <c r="BP86" s="270" t="e">
        <f>IF(#REF!="Yes","H",IF($B86="","",IF(AND($C86&lt;=#REF!,$D86&gt;=#REF!),IF($G86="","x","y"),"")))</f>
        <v>#REF!</v>
      </c>
      <c r="BQ86" s="273" t="e">
        <f>IF(#REF!="Yes","H",IF($B86="","",IF(AND($C86&lt;=#REF!,$D86&gt;=#REF!),IF($G86="","x","y"),"")))</f>
        <v>#REF!</v>
      </c>
      <c r="BR86" s="274" t="e">
        <f>IF(#REF!="Yes","H",IF($B86="","",IF(AND($C86&lt;=#REF!,$D86&gt;=#REF!),IF($G86="","x","y"),"")))</f>
        <v>#REF!</v>
      </c>
      <c r="BS86" s="270" t="e">
        <f>IF(#REF!="Yes","H",IF($B86="","",IF(AND($C86&lt;=#REF!,$D86&gt;=#REF!),IF($G86="","x","y"),"")))</f>
        <v>#REF!</v>
      </c>
      <c r="BT86" s="270" t="e">
        <f>IF(#REF!="Yes","H",IF($B86="","",IF(AND($C86&lt;=#REF!,$D86&gt;=#REF!),IF($G86="","x","y"),"")))</f>
        <v>#REF!</v>
      </c>
      <c r="BU86" s="270" t="e">
        <f>IF(#REF!="Yes","H",IF($B86="","",IF(AND($C86&lt;=#REF!,$D86&gt;=#REF!),IF($G86="","x","y"),"")))</f>
        <v>#REF!</v>
      </c>
      <c r="BV86" s="271" t="e">
        <f>IF(#REF!="Yes","H",IF($B86="","",IF(AND($C86&lt;=#REF!,$D86&gt;=#REF!),IF($G86="","x","y"),"")))</f>
        <v>#REF!</v>
      </c>
      <c r="BW86" s="272" t="e">
        <f>IF(#REF!="Yes","H",IF($B86="","",IF(AND($C86&lt;=#REF!,$D86&gt;=#REF!),IF($G86="","x","y"),"")))</f>
        <v>#REF!</v>
      </c>
      <c r="BX86" s="270" t="e">
        <f>IF(#REF!="Yes","H",IF($B86="","",IF(AND($C86&lt;=#REF!,$D86&gt;=#REF!),IF($G86="","x","y"),"")))</f>
        <v>#REF!</v>
      </c>
      <c r="BY86" s="270" t="e">
        <f>IF(#REF!="Yes","H",IF($B86="","",IF(AND($C86&lt;=#REF!,$D86&gt;=#REF!),IF($G86="","x","y"),"")))</f>
        <v>#REF!</v>
      </c>
      <c r="BZ86" s="270" t="e">
        <f>IF(#REF!="Yes","H",IF($B86="","",IF(AND($C86&lt;=#REF!,$D86&gt;=#REF!),IF($G86="","x","y"),"")))</f>
        <v>#REF!</v>
      </c>
      <c r="CA86" s="273" t="e">
        <f>IF(#REF!="Yes","H",IF($B86="","",IF(AND($C86&lt;=#REF!,$D86&gt;=#REF!),IF($G86="","x","y"),"")))</f>
        <v>#REF!</v>
      </c>
    </row>
    <row r="87" spans="2:79" ht="15" customHeight="1">
      <c r="B87" s="278"/>
      <c r="C87" s="226"/>
      <c r="D87" s="226"/>
      <c r="E87" s="260"/>
      <c r="F87" s="225"/>
      <c r="G87" s="275"/>
      <c r="H87" s="209"/>
      <c r="I87" s="211"/>
      <c r="J87" s="269" t="e">
        <f>IF(#REF!="Yes","H",IF($B87="","",IF(AND($C87&lt;=#REF!,$D87&gt;=#REF!),IF($G87="","x","y"),"")))</f>
        <v>#REF!</v>
      </c>
      <c r="K87" s="270" t="e">
        <f>IF(#REF!="Yes","H",IF($B87="","",IF(AND($C87&lt;=#REF!,$D87&gt;=#REF!),IF($G87="","x","y"),"")))</f>
        <v>#REF!</v>
      </c>
      <c r="L87" s="270" t="e">
        <f>IF(#REF!="Yes","H",IF($B87="","",IF(AND($C87&lt;=#REF!,$D87&gt;=#REF!),IF($G87="","x","y"),"")))</f>
        <v>#REF!</v>
      </c>
      <c r="M87" s="270" t="e">
        <f>IF(#REF!="Yes","H",IF($B87="","",IF(AND($C87&lt;=#REF!,$D87&gt;=#REF!),IF($G87="","x","y"),"")))</f>
        <v>#REF!</v>
      </c>
      <c r="N87" s="271" t="e">
        <f>IF(#REF!="Yes","H",IF($B87="","",IF(AND($C87&lt;=#REF!,$D87&gt;=#REF!),IF($G87="","x","y"),"")))</f>
        <v>#REF!</v>
      </c>
      <c r="O87" s="272" t="e">
        <f>IF(#REF!="Yes","H",IF($B87="","",IF(AND($C87&lt;=#REF!,$D87&gt;=#REF!),IF($G87="","x","y"),"")))</f>
        <v>#REF!</v>
      </c>
      <c r="P87" s="270" t="e">
        <f>IF(#REF!="Yes","H",IF($B87="","",IF(AND($C87&lt;=#REF!,$D87&gt;=#REF!),IF($G87="","x","y"),"")))</f>
        <v>#REF!</v>
      </c>
      <c r="Q87" s="270" t="e">
        <f>IF(#REF!="Yes","H",IF($B87="","",IF(AND($C87&lt;=#REF!,$D87&gt;=#REF!),IF($G87="","x","y"),"")))</f>
        <v>#REF!</v>
      </c>
      <c r="R87" s="270" t="e">
        <f>IF(#REF!="Yes","H",IF($B87="","",IF(AND($C87&lt;=#REF!,$D87&gt;=#REF!),IF($G87="","x","y"),"")))</f>
        <v>#REF!</v>
      </c>
      <c r="S87" s="273" t="e">
        <f>IF(#REF!="Yes","H",IF($B87="","",IF(AND($C87&lt;=#REF!,$D87&gt;=#REF!),IF($G87="","x","y"),"")))</f>
        <v>#REF!</v>
      </c>
      <c r="T87" s="274" t="e">
        <f>IF(#REF!="Yes","H",IF($B87="","",IF(AND($C87&lt;=#REF!,$D87&gt;=#REF!),IF($G87="","x","y"),"")))</f>
        <v>#REF!</v>
      </c>
      <c r="U87" s="270" t="e">
        <f>IF(#REF!="Yes","H",IF($B87="","",IF(AND($C87&lt;=#REF!,$D87&gt;=#REF!),IF($G87="","x","y"),"")))</f>
        <v>#REF!</v>
      </c>
      <c r="V87" s="270" t="e">
        <f>IF(#REF!="Yes","H",IF($B87="","",IF(AND($C87&lt;=#REF!,$D87&gt;=#REF!),IF($G87="","x","y"),"")))</f>
        <v>#REF!</v>
      </c>
      <c r="W87" s="270" t="e">
        <f>IF(#REF!="Yes","H",IF($B87="","",IF(AND($C87&lt;=#REF!,$D87&gt;=#REF!),IF($G87="","x","y"),"")))</f>
        <v>#REF!</v>
      </c>
      <c r="X87" s="271" t="e">
        <f>IF(#REF!="Yes","H",IF($B87="","",IF(AND($C87&lt;=#REF!,$D87&gt;=#REF!),IF($G87="","x","y"),"")))</f>
        <v>#REF!</v>
      </c>
      <c r="Y87" s="272" t="e">
        <f>IF(#REF!="Yes","H",IF($B87="","",IF(AND($C87&lt;=#REF!,$D87&gt;=#REF!),IF($G87="","x","y"),"")))</f>
        <v>#REF!</v>
      </c>
      <c r="Z87" s="270" t="e">
        <f>IF(#REF!="Yes","H",IF($B87="","",IF(AND($C87&lt;=#REF!,$D87&gt;=#REF!),IF($G87="","x","y"),"")))</f>
        <v>#REF!</v>
      </c>
      <c r="AA87" s="270" t="e">
        <f>IF(#REF!="Yes","H",IF($B87="","",IF(AND($C87&lt;=#REF!,$D87&gt;=#REF!),IF($G87="","x","y"),"")))</f>
        <v>#REF!</v>
      </c>
      <c r="AB87" s="270" t="e">
        <f>IF(#REF!="Yes","H",IF($B87="","",IF(AND($C87&lt;=#REF!,$D87&gt;=#REF!),IF($G87="","x","y"),"")))</f>
        <v>#REF!</v>
      </c>
      <c r="AC87" s="273" t="e">
        <f>IF(#REF!="Yes","H",IF($B87="","",IF(AND($C87&lt;=#REF!,$D87&gt;=#REF!),IF($G87="","x","y"),"")))</f>
        <v>#REF!</v>
      </c>
      <c r="AD87" s="274" t="e">
        <f>IF(#REF!="Yes","H",IF($B87="","",IF(AND($C87&lt;=#REF!,$D87&gt;=#REF!),IF($G87="","x","y"),"")))</f>
        <v>#REF!</v>
      </c>
      <c r="AE87" s="270" t="e">
        <f>IF(#REF!="Yes","H",IF($B87="","",IF(AND($C87&lt;=#REF!,$D87&gt;=#REF!),IF($G87="","x","y"),"")))</f>
        <v>#REF!</v>
      </c>
      <c r="AF87" s="270" t="e">
        <f>IF(#REF!="Yes","H",IF($B87="","",IF(AND($C87&lt;=#REF!,$D87&gt;=#REF!),IF($G87="","x","y"),"")))</f>
        <v>#REF!</v>
      </c>
      <c r="AG87" s="270" t="e">
        <f>IF(#REF!="Yes","H",IF($B87="","",IF(AND($C87&lt;=#REF!,$D87&gt;=#REF!),IF($G87="","x","y"),"")))</f>
        <v>#REF!</v>
      </c>
      <c r="AH87" s="271" t="e">
        <f>IF(#REF!="Yes","H",IF($B87="","",IF(AND($C87&lt;=#REF!,$D87&gt;=#REF!),IF($G87="","x","y"),"")))</f>
        <v>#REF!</v>
      </c>
      <c r="AI87" s="272" t="e">
        <f>IF(#REF!="Yes","H",IF($B87="","",IF(AND($C87&lt;=#REF!,$D87&gt;=#REF!),IF($G87="","x","y"),"")))</f>
        <v>#REF!</v>
      </c>
      <c r="AJ87" s="270" t="e">
        <f>IF(#REF!="Yes","H",IF($B87="","",IF(AND($C87&lt;=#REF!,$D87&gt;=#REF!),IF($G87="","x","y"),"")))</f>
        <v>#REF!</v>
      </c>
      <c r="AK87" s="270" t="e">
        <f>IF(#REF!="Yes","H",IF($B87="","",IF(AND($C87&lt;=#REF!,$D87&gt;=#REF!),IF($G87="","x","y"),"")))</f>
        <v>#REF!</v>
      </c>
      <c r="AL87" s="270" t="e">
        <f>IF(#REF!="Yes","H",IF($B87="","",IF(AND($C87&lt;=#REF!,$D87&gt;=#REF!),IF($G87="","x","y"),"")))</f>
        <v>#REF!</v>
      </c>
      <c r="AM87" s="273" t="e">
        <f>IF(#REF!="Yes","H",IF($B87="","",IF(AND($C87&lt;=#REF!,$D87&gt;=#REF!),IF($G87="","x","y"),"")))</f>
        <v>#REF!</v>
      </c>
      <c r="AN87" s="274" t="e">
        <f>IF(#REF!="Yes","H",IF($B87="","",IF(AND($C87&lt;=#REF!,$D87&gt;=#REF!),IF($G87="","x","y"),"")))</f>
        <v>#REF!</v>
      </c>
      <c r="AO87" s="270" t="e">
        <f>IF(#REF!="Yes","H",IF($B87="","",IF(AND($C87&lt;=#REF!,$D87&gt;=#REF!),IF($G87="","x","y"),"")))</f>
        <v>#REF!</v>
      </c>
      <c r="AP87" s="270" t="e">
        <f>IF(#REF!="Yes","H",IF($B87="","",IF(AND($C87&lt;=#REF!,$D87&gt;=#REF!),IF($G87="","x","y"),"")))</f>
        <v>#REF!</v>
      </c>
      <c r="AQ87" s="270" t="e">
        <f>IF(#REF!="Yes","H",IF($B87="","",IF(AND($C87&lt;=#REF!,$D87&gt;=#REF!),IF($G87="","x","y"),"")))</f>
        <v>#REF!</v>
      </c>
      <c r="AR87" s="271" t="e">
        <f>IF(#REF!="Yes","H",IF($B87="","",IF(AND($C87&lt;=#REF!,$D87&gt;=#REF!),IF($G87="","x","y"),"")))</f>
        <v>#REF!</v>
      </c>
      <c r="AS87" s="272" t="e">
        <f>IF(#REF!="Yes","H",IF($B87="","",IF(AND($C87&lt;=#REF!,$D87&gt;=#REF!),IF($G87="","x","y"),"")))</f>
        <v>#REF!</v>
      </c>
      <c r="AT87" s="270" t="e">
        <f>IF(#REF!="Yes","H",IF($B87="","",IF(AND($C87&lt;=#REF!,$D87&gt;=#REF!),IF($G87="","x","y"),"")))</f>
        <v>#REF!</v>
      </c>
      <c r="AU87" s="270" t="e">
        <f>IF(#REF!="Yes","H",IF($B87="","",IF(AND($C87&lt;=#REF!,$D87&gt;=#REF!),IF($G87="","x","y"),"")))</f>
        <v>#REF!</v>
      </c>
      <c r="AV87" s="270" t="e">
        <f>IF(#REF!="Yes","H",IF($B87="","",IF(AND($C87&lt;=#REF!,$D87&gt;=#REF!),IF($G87="","x","y"),"")))</f>
        <v>#REF!</v>
      </c>
      <c r="AW87" s="273" t="e">
        <f>IF(#REF!="Yes","H",IF($B87="","",IF(AND($C87&lt;=#REF!,$D87&gt;=#REF!),IF($G87="","x","y"),"")))</f>
        <v>#REF!</v>
      </c>
      <c r="AX87" s="274" t="e">
        <f>IF(#REF!="Yes","H",IF($B87="","",IF(AND($C87&lt;=#REF!,$D87&gt;=#REF!),IF($G87="","x","y"),"")))</f>
        <v>#REF!</v>
      </c>
      <c r="AY87" s="270" t="e">
        <f>IF(#REF!="Yes","H",IF($B87="","",IF(AND($C87&lt;=#REF!,$D87&gt;=#REF!),IF($G87="","x","y"),"")))</f>
        <v>#REF!</v>
      </c>
      <c r="AZ87" s="270" t="e">
        <f>IF(#REF!="Yes","H",IF($B87="","",IF(AND($C87&lt;=#REF!,$D87&gt;=#REF!),IF($G87="","x","y"),"")))</f>
        <v>#REF!</v>
      </c>
      <c r="BA87" s="270" t="e">
        <f>IF(#REF!="Yes","H",IF($B87="","",IF(AND($C87&lt;=#REF!,$D87&gt;=#REF!),IF($G87="","x","y"),"")))</f>
        <v>#REF!</v>
      </c>
      <c r="BB87" s="271" t="e">
        <f>IF(#REF!="Yes","H",IF($B87="","",IF(AND($C87&lt;=#REF!,$D87&gt;=#REF!),IF($G87="","x","y"),"")))</f>
        <v>#REF!</v>
      </c>
      <c r="BC87" s="272" t="e">
        <f>IF(#REF!="Yes","H",IF($B87="","",IF(AND($C87&lt;=#REF!,$D87&gt;=#REF!),IF($G87="","x","y"),"")))</f>
        <v>#REF!</v>
      </c>
      <c r="BD87" s="270" t="e">
        <f>IF(#REF!="Yes","H",IF($B87="","",IF(AND($C87&lt;=#REF!,$D87&gt;=#REF!),IF($G87="","x","y"),"")))</f>
        <v>#REF!</v>
      </c>
      <c r="BE87" s="270" t="e">
        <f>IF(#REF!="Yes","H",IF($B87="","",IF(AND($C87&lt;=#REF!,$D87&gt;=#REF!),IF($G87="","x","y"),"")))</f>
        <v>#REF!</v>
      </c>
      <c r="BF87" s="270" t="e">
        <f>IF(#REF!="Yes","H",IF($B87="","",IF(AND($C87&lt;=#REF!,$D87&gt;=#REF!),IF($G87="","x","y"),"")))</f>
        <v>#REF!</v>
      </c>
      <c r="BG87" s="273" t="e">
        <f>IF(#REF!="Yes","H",IF($B87="","",IF(AND($C87&lt;=#REF!,$D87&gt;=#REF!),IF($G87="","x","y"),"")))</f>
        <v>#REF!</v>
      </c>
      <c r="BH87" s="274" t="e">
        <f>IF(#REF!="Yes","H",IF($B87="","",IF(AND($C87&lt;=#REF!,$D87&gt;=#REF!),IF($G87="","x","y"),"")))</f>
        <v>#REF!</v>
      </c>
      <c r="BI87" s="270" t="e">
        <f>IF(#REF!="Yes","H",IF($B87="","",IF(AND($C87&lt;=#REF!,$D87&gt;=#REF!),IF($G87="","x","y"),"")))</f>
        <v>#REF!</v>
      </c>
      <c r="BJ87" s="270" t="e">
        <f>IF(#REF!="Yes","H",IF($B87="","",IF(AND($C87&lt;=#REF!,$D87&gt;=#REF!),IF($G87="","x","y"),"")))</f>
        <v>#REF!</v>
      </c>
      <c r="BK87" s="270" t="e">
        <f>IF(#REF!="Yes","H",IF($B87="","",IF(AND($C87&lt;=#REF!,$D87&gt;=#REF!),IF($G87="","x","y"),"")))</f>
        <v>#REF!</v>
      </c>
      <c r="BL87" s="271" t="e">
        <f>IF(#REF!="Yes","H",IF($B87="","",IF(AND($C87&lt;=#REF!,$D87&gt;=#REF!),IF($G87="","x","y"),"")))</f>
        <v>#REF!</v>
      </c>
      <c r="BM87" s="272" t="e">
        <f>IF(#REF!="Yes","H",IF($B87="","",IF(AND($C87&lt;=#REF!,$D87&gt;=#REF!),IF($G87="","x","y"),"")))</f>
        <v>#REF!</v>
      </c>
      <c r="BN87" s="270" t="e">
        <f>IF(#REF!="Yes","H",IF($B87="","",IF(AND($C87&lt;=#REF!,$D87&gt;=#REF!),IF($G87="","x","y"),"")))</f>
        <v>#REF!</v>
      </c>
      <c r="BO87" s="270" t="e">
        <f>IF(#REF!="Yes","H",IF($B87="","",IF(AND($C87&lt;=#REF!,$D87&gt;=#REF!),IF($G87="","x","y"),"")))</f>
        <v>#REF!</v>
      </c>
      <c r="BP87" s="270" t="e">
        <f>IF(#REF!="Yes","H",IF($B87="","",IF(AND($C87&lt;=#REF!,$D87&gt;=#REF!),IF($G87="","x","y"),"")))</f>
        <v>#REF!</v>
      </c>
      <c r="BQ87" s="273" t="e">
        <f>IF(#REF!="Yes","H",IF($B87="","",IF(AND($C87&lt;=#REF!,$D87&gt;=#REF!),IF($G87="","x","y"),"")))</f>
        <v>#REF!</v>
      </c>
      <c r="BR87" s="274" t="e">
        <f>IF(#REF!="Yes","H",IF($B87="","",IF(AND($C87&lt;=#REF!,$D87&gt;=#REF!),IF($G87="","x","y"),"")))</f>
        <v>#REF!</v>
      </c>
      <c r="BS87" s="270" t="e">
        <f>IF(#REF!="Yes","H",IF($B87="","",IF(AND($C87&lt;=#REF!,$D87&gt;=#REF!),IF($G87="","x","y"),"")))</f>
        <v>#REF!</v>
      </c>
      <c r="BT87" s="270" t="e">
        <f>IF(#REF!="Yes","H",IF($B87="","",IF(AND($C87&lt;=#REF!,$D87&gt;=#REF!),IF($G87="","x","y"),"")))</f>
        <v>#REF!</v>
      </c>
      <c r="BU87" s="270" t="e">
        <f>IF(#REF!="Yes","H",IF($B87="","",IF(AND($C87&lt;=#REF!,$D87&gt;=#REF!),IF($G87="","x","y"),"")))</f>
        <v>#REF!</v>
      </c>
      <c r="BV87" s="271" t="e">
        <f>IF(#REF!="Yes","H",IF($B87="","",IF(AND($C87&lt;=#REF!,$D87&gt;=#REF!),IF($G87="","x","y"),"")))</f>
        <v>#REF!</v>
      </c>
      <c r="BW87" s="272" t="e">
        <f>IF(#REF!="Yes","H",IF($B87="","",IF(AND($C87&lt;=#REF!,$D87&gt;=#REF!),IF($G87="","x","y"),"")))</f>
        <v>#REF!</v>
      </c>
      <c r="BX87" s="270" t="e">
        <f>IF(#REF!="Yes","H",IF($B87="","",IF(AND($C87&lt;=#REF!,$D87&gt;=#REF!),IF($G87="","x","y"),"")))</f>
        <v>#REF!</v>
      </c>
      <c r="BY87" s="270" t="e">
        <f>IF(#REF!="Yes","H",IF($B87="","",IF(AND($C87&lt;=#REF!,$D87&gt;=#REF!),IF($G87="","x","y"),"")))</f>
        <v>#REF!</v>
      </c>
      <c r="BZ87" s="270" t="e">
        <f>IF(#REF!="Yes","H",IF($B87="","",IF(AND($C87&lt;=#REF!,$D87&gt;=#REF!),IF($G87="","x","y"),"")))</f>
        <v>#REF!</v>
      </c>
      <c r="CA87" s="273" t="e">
        <f>IF(#REF!="Yes","H",IF($B87="","",IF(AND($C87&lt;=#REF!,$D87&gt;=#REF!),IF($G87="","x","y"),"")))</f>
        <v>#REF!</v>
      </c>
    </row>
    <row r="88" spans="2:79" ht="15" customHeight="1" thickBot="1">
      <c r="B88" s="278"/>
      <c r="C88" s="137"/>
      <c r="D88" s="137"/>
      <c r="E88" s="138"/>
      <c r="F88" s="224"/>
      <c r="G88" s="275"/>
      <c r="H88" s="209"/>
      <c r="I88" s="211"/>
      <c r="J88" s="269" t="e">
        <f>IF(#REF!="Yes","H",IF($B88="","",IF(AND($C88&lt;=#REF!,$D88&gt;=#REF!),IF($G88="","x","y"),"")))</f>
        <v>#REF!</v>
      </c>
      <c r="K88" s="270" t="e">
        <f>IF(#REF!="Yes","H",IF($B88="","",IF(AND($C88&lt;=#REF!,$D88&gt;=#REF!),IF($G88="","x","y"),"")))</f>
        <v>#REF!</v>
      </c>
      <c r="L88" s="270" t="e">
        <f>IF(#REF!="Yes","H",IF($B88="","",IF(AND($C88&lt;=#REF!,$D88&gt;=#REF!),IF($G88="","x","y"),"")))</f>
        <v>#REF!</v>
      </c>
      <c r="M88" s="270" t="e">
        <f>IF(#REF!="Yes","H",IF($B88="","",IF(AND($C88&lt;=#REF!,$D88&gt;=#REF!),IF($G88="","x","y"),"")))</f>
        <v>#REF!</v>
      </c>
      <c r="N88" s="271" t="e">
        <f>IF(#REF!="Yes","H",IF($B88="","",IF(AND($C88&lt;=#REF!,$D88&gt;=#REF!),IF($G88="","x","y"),"")))</f>
        <v>#REF!</v>
      </c>
      <c r="O88" s="272" t="e">
        <f>IF(#REF!="Yes","H",IF($B88="","",IF(AND($C88&lt;=#REF!,$D88&gt;=#REF!),IF($G88="","x","y"),"")))</f>
        <v>#REF!</v>
      </c>
      <c r="P88" s="270" t="e">
        <f>IF(#REF!="Yes","H",IF($B88="","",IF(AND($C88&lt;=#REF!,$D88&gt;=#REF!),IF($G88="","x","y"),"")))</f>
        <v>#REF!</v>
      </c>
      <c r="Q88" s="270" t="e">
        <f>IF(#REF!="Yes","H",IF($B88="","",IF(AND($C88&lt;=#REF!,$D88&gt;=#REF!),IF($G88="","x","y"),"")))</f>
        <v>#REF!</v>
      </c>
      <c r="R88" s="270" t="e">
        <f>IF(#REF!="Yes","H",IF($B88="","",IF(AND($C88&lt;=#REF!,$D88&gt;=#REF!),IF($G88="","x","y"),"")))</f>
        <v>#REF!</v>
      </c>
      <c r="S88" s="273" t="e">
        <f>IF(#REF!="Yes","H",IF($B88="","",IF(AND($C88&lt;=#REF!,$D88&gt;=#REF!),IF($G88="","x","y"),"")))</f>
        <v>#REF!</v>
      </c>
      <c r="T88" s="274" t="e">
        <f>IF(#REF!="Yes","H",IF($B88="","",IF(AND($C88&lt;=#REF!,$D88&gt;=#REF!),IF($G88="","x","y"),"")))</f>
        <v>#REF!</v>
      </c>
      <c r="U88" s="270" t="e">
        <f>IF(#REF!="Yes","H",IF($B88="","",IF(AND($C88&lt;=#REF!,$D88&gt;=#REF!),IF($G88="","x","y"),"")))</f>
        <v>#REF!</v>
      </c>
      <c r="V88" s="270" t="e">
        <f>IF(#REF!="Yes","H",IF($B88="","",IF(AND($C88&lt;=#REF!,$D88&gt;=#REF!),IF($G88="","x","y"),"")))</f>
        <v>#REF!</v>
      </c>
      <c r="W88" s="270" t="e">
        <f>IF(#REF!="Yes","H",IF($B88="","",IF(AND($C88&lt;=#REF!,$D88&gt;=#REF!),IF($G88="","x","y"),"")))</f>
        <v>#REF!</v>
      </c>
      <c r="X88" s="271" t="e">
        <f>IF(#REF!="Yes","H",IF($B88="","",IF(AND($C88&lt;=#REF!,$D88&gt;=#REF!),IF($G88="","x","y"),"")))</f>
        <v>#REF!</v>
      </c>
      <c r="Y88" s="272" t="e">
        <f>IF(#REF!="Yes","H",IF($B88="","",IF(AND($C88&lt;=#REF!,$D88&gt;=#REF!),IF($G88="","x","y"),"")))</f>
        <v>#REF!</v>
      </c>
      <c r="Z88" s="270" t="e">
        <f>IF(#REF!="Yes","H",IF($B88="","",IF(AND($C88&lt;=#REF!,$D88&gt;=#REF!),IF($G88="","x","y"),"")))</f>
        <v>#REF!</v>
      </c>
      <c r="AA88" s="270" t="e">
        <f>IF(#REF!="Yes","H",IF($B88="","",IF(AND($C88&lt;=#REF!,$D88&gt;=#REF!),IF($G88="","x","y"),"")))</f>
        <v>#REF!</v>
      </c>
      <c r="AB88" s="270" t="e">
        <f>IF(#REF!="Yes","H",IF($B88="","",IF(AND($C88&lt;=#REF!,$D88&gt;=#REF!),IF($G88="","x","y"),"")))</f>
        <v>#REF!</v>
      </c>
      <c r="AC88" s="273" t="e">
        <f>IF(#REF!="Yes","H",IF($B88="","",IF(AND($C88&lt;=#REF!,$D88&gt;=#REF!),IF($G88="","x","y"),"")))</f>
        <v>#REF!</v>
      </c>
      <c r="AD88" s="274" t="e">
        <f>IF(#REF!="Yes","H",IF($B88="","",IF(AND($C88&lt;=#REF!,$D88&gt;=#REF!),IF($G88="","x","y"),"")))</f>
        <v>#REF!</v>
      </c>
      <c r="AE88" s="270" t="e">
        <f>IF(#REF!="Yes","H",IF($B88="","",IF(AND($C88&lt;=#REF!,$D88&gt;=#REF!),IF($G88="","x","y"),"")))</f>
        <v>#REF!</v>
      </c>
      <c r="AF88" s="270" t="e">
        <f>IF(#REF!="Yes","H",IF($B88="","",IF(AND($C88&lt;=#REF!,$D88&gt;=#REF!),IF($G88="","x","y"),"")))</f>
        <v>#REF!</v>
      </c>
      <c r="AG88" s="270" t="e">
        <f>IF(#REF!="Yes","H",IF($B88="","",IF(AND($C88&lt;=#REF!,$D88&gt;=#REF!),IF($G88="","x","y"),"")))</f>
        <v>#REF!</v>
      </c>
      <c r="AH88" s="271" t="e">
        <f>IF(#REF!="Yes","H",IF($B88="","",IF(AND($C88&lt;=#REF!,$D88&gt;=#REF!),IF($G88="","x","y"),"")))</f>
        <v>#REF!</v>
      </c>
      <c r="AI88" s="272" t="e">
        <f>IF(#REF!="Yes","H",IF($B88="","",IF(AND($C88&lt;=#REF!,$D88&gt;=#REF!),IF($G88="","x","y"),"")))</f>
        <v>#REF!</v>
      </c>
      <c r="AJ88" s="270" t="e">
        <f>IF(#REF!="Yes","H",IF($B88="","",IF(AND($C88&lt;=#REF!,$D88&gt;=#REF!),IF($G88="","x","y"),"")))</f>
        <v>#REF!</v>
      </c>
      <c r="AK88" s="270" t="e">
        <f>IF(#REF!="Yes","H",IF($B88="","",IF(AND($C88&lt;=#REF!,$D88&gt;=#REF!),IF($G88="","x","y"),"")))</f>
        <v>#REF!</v>
      </c>
      <c r="AL88" s="270" t="e">
        <f>IF(#REF!="Yes","H",IF($B88="","",IF(AND($C88&lt;=#REF!,$D88&gt;=#REF!),IF($G88="","x","y"),"")))</f>
        <v>#REF!</v>
      </c>
      <c r="AM88" s="273" t="e">
        <f>IF(#REF!="Yes","H",IF($B88="","",IF(AND($C88&lt;=#REF!,$D88&gt;=#REF!),IF($G88="","x","y"),"")))</f>
        <v>#REF!</v>
      </c>
      <c r="AN88" s="274" t="e">
        <f>IF(#REF!="Yes","H",IF($B88="","",IF(AND($C88&lt;=#REF!,$D88&gt;=#REF!),IF($G88="","x","y"),"")))</f>
        <v>#REF!</v>
      </c>
      <c r="AO88" s="270" t="e">
        <f>IF(#REF!="Yes","H",IF($B88="","",IF(AND($C88&lt;=#REF!,$D88&gt;=#REF!),IF($G88="","x","y"),"")))</f>
        <v>#REF!</v>
      </c>
      <c r="AP88" s="270" t="e">
        <f>IF(#REF!="Yes","H",IF($B88="","",IF(AND($C88&lt;=#REF!,$D88&gt;=#REF!),IF($G88="","x","y"),"")))</f>
        <v>#REF!</v>
      </c>
      <c r="AQ88" s="270" t="e">
        <f>IF(#REF!="Yes","H",IF($B88="","",IF(AND($C88&lt;=#REF!,$D88&gt;=#REF!),IF($G88="","x","y"),"")))</f>
        <v>#REF!</v>
      </c>
      <c r="AR88" s="271" t="e">
        <f>IF(#REF!="Yes","H",IF($B88="","",IF(AND($C88&lt;=#REF!,$D88&gt;=#REF!),IF($G88="","x","y"),"")))</f>
        <v>#REF!</v>
      </c>
      <c r="AS88" s="272" t="e">
        <f>IF(#REF!="Yes","H",IF($B88="","",IF(AND($C88&lt;=#REF!,$D88&gt;=#REF!),IF($G88="","x","y"),"")))</f>
        <v>#REF!</v>
      </c>
      <c r="AT88" s="270" t="e">
        <f>IF(#REF!="Yes","H",IF($B88="","",IF(AND($C88&lt;=#REF!,$D88&gt;=#REF!),IF($G88="","x","y"),"")))</f>
        <v>#REF!</v>
      </c>
      <c r="AU88" s="270" t="e">
        <f>IF(#REF!="Yes","H",IF($B88="","",IF(AND($C88&lt;=#REF!,$D88&gt;=#REF!),IF($G88="","x","y"),"")))</f>
        <v>#REF!</v>
      </c>
      <c r="AV88" s="270" t="e">
        <f>IF(#REF!="Yes","H",IF($B88="","",IF(AND($C88&lt;=#REF!,$D88&gt;=#REF!),IF($G88="","x","y"),"")))</f>
        <v>#REF!</v>
      </c>
      <c r="AW88" s="273" t="e">
        <f>IF(#REF!="Yes","H",IF($B88="","",IF(AND($C88&lt;=#REF!,$D88&gt;=#REF!),IF($G88="","x","y"),"")))</f>
        <v>#REF!</v>
      </c>
      <c r="AX88" s="274" t="e">
        <f>IF(#REF!="Yes","H",IF($B88="","",IF(AND($C88&lt;=#REF!,$D88&gt;=#REF!),IF($G88="","x","y"),"")))</f>
        <v>#REF!</v>
      </c>
      <c r="AY88" s="270" t="e">
        <f>IF(#REF!="Yes","H",IF($B88="","",IF(AND($C88&lt;=#REF!,$D88&gt;=#REF!),IF($G88="","x","y"),"")))</f>
        <v>#REF!</v>
      </c>
      <c r="AZ88" s="270" t="e">
        <f>IF(#REF!="Yes","H",IF($B88="","",IF(AND($C88&lt;=#REF!,$D88&gt;=#REF!),IF($G88="","x","y"),"")))</f>
        <v>#REF!</v>
      </c>
      <c r="BA88" s="270" t="e">
        <f>IF(#REF!="Yes","H",IF($B88="","",IF(AND($C88&lt;=#REF!,$D88&gt;=#REF!),IF($G88="","x","y"),"")))</f>
        <v>#REF!</v>
      </c>
      <c r="BB88" s="271" t="e">
        <f>IF(#REF!="Yes","H",IF($B88="","",IF(AND($C88&lt;=#REF!,$D88&gt;=#REF!),IF($G88="","x","y"),"")))</f>
        <v>#REF!</v>
      </c>
      <c r="BC88" s="272" t="e">
        <f>IF(#REF!="Yes","H",IF($B88="","",IF(AND($C88&lt;=#REF!,$D88&gt;=#REF!),IF($G88="","x","y"),"")))</f>
        <v>#REF!</v>
      </c>
      <c r="BD88" s="270" t="e">
        <f>IF(#REF!="Yes","H",IF($B88="","",IF(AND($C88&lt;=#REF!,$D88&gt;=#REF!),IF($G88="","x","y"),"")))</f>
        <v>#REF!</v>
      </c>
      <c r="BE88" s="270" t="e">
        <f>IF(#REF!="Yes","H",IF($B88="","",IF(AND($C88&lt;=#REF!,$D88&gt;=#REF!),IF($G88="","x","y"),"")))</f>
        <v>#REF!</v>
      </c>
      <c r="BF88" s="270" t="e">
        <f>IF(#REF!="Yes","H",IF($B88="","",IF(AND($C88&lt;=#REF!,$D88&gt;=#REF!),IF($G88="","x","y"),"")))</f>
        <v>#REF!</v>
      </c>
      <c r="BG88" s="273" t="e">
        <f>IF(#REF!="Yes","H",IF($B88="","",IF(AND($C88&lt;=#REF!,$D88&gt;=#REF!),IF($G88="","x","y"),"")))</f>
        <v>#REF!</v>
      </c>
      <c r="BH88" s="274" t="e">
        <f>IF(#REF!="Yes","H",IF($B88="","",IF(AND($C88&lt;=#REF!,$D88&gt;=#REF!),IF($G88="","x","y"),"")))</f>
        <v>#REF!</v>
      </c>
      <c r="BI88" s="270" t="e">
        <f>IF(#REF!="Yes","H",IF($B88="","",IF(AND($C88&lt;=#REF!,$D88&gt;=#REF!),IF($G88="","x","y"),"")))</f>
        <v>#REF!</v>
      </c>
      <c r="BJ88" s="270" t="e">
        <f>IF(#REF!="Yes","H",IF($B88="","",IF(AND($C88&lt;=#REF!,$D88&gt;=#REF!),IF($G88="","x","y"),"")))</f>
        <v>#REF!</v>
      </c>
      <c r="BK88" s="270" t="e">
        <f>IF(#REF!="Yes","H",IF($B88="","",IF(AND($C88&lt;=#REF!,$D88&gt;=#REF!),IF($G88="","x","y"),"")))</f>
        <v>#REF!</v>
      </c>
      <c r="BL88" s="271" t="e">
        <f>IF(#REF!="Yes","H",IF($B88="","",IF(AND($C88&lt;=#REF!,$D88&gt;=#REF!),IF($G88="","x","y"),"")))</f>
        <v>#REF!</v>
      </c>
      <c r="BM88" s="272" t="e">
        <f>IF(#REF!="Yes","H",IF($B88="","",IF(AND($C88&lt;=#REF!,$D88&gt;=#REF!),IF($G88="","x","y"),"")))</f>
        <v>#REF!</v>
      </c>
      <c r="BN88" s="270" t="e">
        <f>IF(#REF!="Yes","H",IF($B88="","",IF(AND($C88&lt;=#REF!,$D88&gt;=#REF!),IF($G88="","x","y"),"")))</f>
        <v>#REF!</v>
      </c>
      <c r="BO88" s="270" t="e">
        <f>IF(#REF!="Yes","H",IF($B88="","",IF(AND($C88&lt;=#REF!,$D88&gt;=#REF!),IF($G88="","x","y"),"")))</f>
        <v>#REF!</v>
      </c>
      <c r="BP88" s="270" t="e">
        <f>IF(#REF!="Yes","H",IF($B88="","",IF(AND($C88&lt;=#REF!,$D88&gt;=#REF!),IF($G88="","x","y"),"")))</f>
        <v>#REF!</v>
      </c>
      <c r="BQ88" s="273" t="e">
        <f>IF(#REF!="Yes","H",IF($B88="","",IF(AND($C88&lt;=#REF!,$D88&gt;=#REF!),IF($G88="","x","y"),"")))</f>
        <v>#REF!</v>
      </c>
      <c r="BR88" s="274" t="e">
        <f>IF(#REF!="Yes","H",IF($B88="","",IF(AND($C88&lt;=#REF!,$D88&gt;=#REF!),IF($G88="","x","y"),"")))</f>
        <v>#REF!</v>
      </c>
      <c r="BS88" s="270" t="e">
        <f>IF(#REF!="Yes","H",IF($B88="","",IF(AND($C88&lt;=#REF!,$D88&gt;=#REF!),IF($G88="","x","y"),"")))</f>
        <v>#REF!</v>
      </c>
      <c r="BT88" s="270" t="e">
        <f>IF(#REF!="Yes","H",IF($B88="","",IF(AND($C88&lt;=#REF!,$D88&gt;=#REF!),IF($G88="","x","y"),"")))</f>
        <v>#REF!</v>
      </c>
      <c r="BU88" s="270" t="e">
        <f>IF(#REF!="Yes","H",IF($B88="","",IF(AND($C88&lt;=#REF!,$D88&gt;=#REF!),IF($G88="","x","y"),"")))</f>
        <v>#REF!</v>
      </c>
      <c r="BV88" s="271" t="e">
        <f>IF(#REF!="Yes","H",IF($B88="","",IF(AND($C88&lt;=#REF!,$D88&gt;=#REF!),IF($G88="","x","y"),"")))</f>
        <v>#REF!</v>
      </c>
      <c r="BW88" s="272" t="e">
        <f>IF(#REF!="Yes","H",IF($B88="","",IF(AND($C88&lt;=#REF!,$D88&gt;=#REF!),IF($G88="","x","y"),"")))</f>
        <v>#REF!</v>
      </c>
      <c r="BX88" s="270" t="e">
        <f>IF(#REF!="Yes","H",IF($B88="","",IF(AND($C88&lt;=#REF!,$D88&gt;=#REF!),IF($G88="","x","y"),"")))</f>
        <v>#REF!</v>
      </c>
      <c r="BY88" s="270" t="e">
        <f>IF(#REF!="Yes","H",IF($B88="","",IF(AND($C88&lt;=#REF!,$D88&gt;=#REF!),IF($G88="","x","y"),"")))</f>
        <v>#REF!</v>
      </c>
      <c r="BZ88" s="270" t="e">
        <f>IF(#REF!="Yes","H",IF($B88="","",IF(AND($C88&lt;=#REF!,$D88&gt;=#REF!),IF($G88="","x","y"),"")))</f>
        <v>#REF!</v>
      </c>
      <c r="CA88" s="273" t="e">
        <f>IF(#REF!="Yes","H",IF($B88="","",IF(AND($C88&lt;=#REF!,$D88&gt;=#REF!),IF($G88="","x","y"),"")))</f>
        <v>#REF!</v>
      </c>
    </row>
    <row r="89" spans="2:79" ht="15" customHeight="1" thickBot="1">
      <c r="B89" s="278"/>
      <c r="C89" s="137"/>
      <c r="D89" s="137"/>
      <c r="E89" s="138"/>
      <c r="F89" s="224"/>
      <c r="G89" s="275"/>
      <c r="H89" s="209"/>
      <c r="I89" s="211"/>
      <c r="J89" s="269" t="e">
        <f>IF(#REF!="Yes","H",IF($B89="","",IF(AND($C89&lt;=#REF!,$D89&gt;=#REF!),IF($G89="","x","y"),"")))</f>
        <v>#REF!</v>
      </c>
      <c r="K89" s="270" t="e">
        <f>IF(#REF!="Yes","H",IF($B89="","",IF(AND($C89&lt;=#REF!,$D89&gt;=#REF!),IF($G89="","x","y"),"")))</f>
        <v>#REF!</v>
      </c>
      <c r="L89" s="270" t="e">
        <f>IF(#REF!="Yes","H",IF($B89="","",IF(AND($C89&lt;=#REF!,$D89&gt;=#REF!),IF($G89="","x","y"),"")))</f>
        <v>#REF!</v>
      </c>
      <c r="M89" s="270" t="e">
        <f>IF(#REF!="Yes","H",IF($B89="","",IF(AND($C89&lt;=#REF!,$D89&gt;=#REF!),IF($G89="","x","y"),"")))</f>
        <v>#REF!</v>
      </c>
      <c r="N89" s="271" t="e">
        <f>IF(#REF!="Yes","H",IF($B89="","",IF(AND($C89&lt;=#REF!,$D89&gt;=#REF!),IF($G89="","x","y"),"")))</f>
        <v>#REF!</v>
      </c>
      <c r="O89" s="272" t="e">
        <f>IF(#REF!="Yes","H",IF($B89="","",IF(AND($C89&lt;=#REF!,$D89&gt;=#REF!),IF($G89="","x","y"),"")))</f>
        <v>#REF!</v>
      </c>
      <c r="P89" s="270" t="e">
        <f>IF(#REF!="Yes","H",IF($B89="","",IF(AND($C89&lt;=#REF!,$D89&gt;=#REF!),IF($G89="","x","y"),"")))</f>
        <v>#REF!</v>
      </c>
      <c r="Q89" s="270" t="e">
        <f>IF(#REF!="Yes","H",IF($B89="","",IF(AND($C89&lt;=#REF!,$D89&gt;=#REF!),IF($G89="","x","y"),"")))</f>
        <v>#REF!</v>
      </c>
      <c r="R89" s="270" t="e">
        <f>IF(#REF!="Yes","H",IF($B89="","",IF(AND($C89&lt;=#REF!,$D89&gt;=#REF!),IF($G89="","x","y"),"")))</f>
        <v>#REF!</v>
      </c>
      <c r="S89" s="273" t="e">
        <f>IF(#REF!="Yes","H",IF($B89="","",IF(AND($C89&lt;=#REF!,$D89&gt;=#REF!),IF($G89="","x","y"),"")))</f>
        <v>#REF!</v>
      </c>
      <c r="T89" s="274" t="e">
        <f>IF(#REF!="Yes","H",IF($B89="","",IF(AND($C89&lt;=#REF!,$D89&gt;=#REF!),IF($G89="","x","y"),"")))</f>
        <v>#REF!</v>
      </c>
      <c r="U89" s="270" t="e">
        <f>IF(#REF!="Yes","H",IF($B89="","",IF(AND($C89&lt;=#REF!,$D89&gt;=#REF!),IF($G89="","x","y"),"")))</f>
        <v>#REF!</v>
      </c>
      <c r="V89" s="270" t="e">
        <f>IF(#REF!="Yes","H",IF($B89="","",IF(AND($C89&lt;=#REF!,$D89&gt;=#REF!),IF($G89="","x","y"),"")))</f>
        <v>#REF!</v>
      </c>
      <c r="W89" s="270" t="e">
        <f>IF(#REF!="Yes","H",IF($B89="","",IF(AND($C89&lt;=#REF!,$D89&gt;=#REF!),IF($G89="","x","y"),"")))</f>
        <v>#REF!</v>
      </c>
      <c r="X89" s="271" t="e">
        <f>IF(#REF!="Yes","H",IF($B89="","",IF(AND($C89&lt;=#REF!,$D89&gt;=#REF!),IF($G89="","x","y"),"")))</f>
        <v>#REF!</v>
      </c>
      <c r="Y89" s="272" t="e">
        <f>IF(#REF!="Yes","H",IF($B89="","",IF(AND($C89&lt;=#REF!,$D89&gt;=#REF!),IF($G89="","x","y"),"")))</f>
        <v>#REF!</v>
      </c>
      <c r="Z89" s="270" t="e">
        <f>IF(#REF!="Yes","H",IF($B89="","",IF(AND($C89&lt;=#REF!,$D89&gt;=#REF!),IF($G89="","x","y"),"")))</f>
        <v>#REF!</v>
      </c>
      <c r="AA89" s="270" t="e">
        <f>IF(#REF!="Yes","H",IF($B89="","",IF(AND($C89&lt;=#REF!,$D89&gt;=#REF!),IF($G89="","x","y"),"")))</f>
        <v>#REF!</v>
      </c>
      <c r="AB89" s="270" t="e">
        <f>IF(#REF!="Yes","H",IF($B89="","",IF(AND($C89&lt;=#REF!,$D89&gt;=#REF!),IF($G89="","x","y"),"")))</f>
        <v>#REF!</v>
      </c>
      <c r="AC89" s="273" t="e">
        <f>IF(#REF!="Yes","H",IF($B89="","",IF(AND($C89&lt;=#REF!,$D89&gt;=#REF!),IF($G89="","x","y"),"")))</f>
        <v>#REF!</v>
      </c>
      <c r="AD89" s="274" t="e">
        <f>IF(#REF!="Yes","H",IF($B89="","",IF(AND($C89&lt;=#REF!,$D89&gt;=#REF!),IF($G89="","x","y"),"")))</f>
        <v>#REF!</v>
      </c>
      <c r="AE89" s="270" t="e">
        <f>IF(#REF!="Yes","H",IF($B89="","",IF(AND($C89&lt;=#REF!,$D89&gt;=#REF!),IF($G89="","x","y"),"")))</f>
        <v>#REF!</v>
      </c>
      <c r="AF89" s="270" t="e">
        <f>IF(#REF!="Yes","H",IF($B89="","",IF(AND($C89&lt;=#REF!,$D89&gt;=#REF!),IF($G89="","x","y"),"")))</f>
        <v>#REF!</v>
      </c>
      <c r="AG89" s="270" t="e">
        <f>IF(#REF!="Yes","H",IF($B89="","",IF(AND($C89&lt;=#REF!,$D89&gt;=#REF!),IF($G89="","x","y"),"")))</f>
        <v>#REF!</v>
      </c>
      <c r="AH89" s="271" t="e">
        <f>IF(#REF!="Yes","H",IF($B89="","",IF(AND($C89&lt;=#REF!,$D89&gt;=#REF!),IF($G89="","x","y"),"")))</f>
        <v>#REF!</v>
      </c>
      <c r="AI89" s="272" t="e">
        <f>IF(#REF!="Yes","H",IF($B89="","",IF(AND($C89&lt;=#REF!,$D89&gt;=#REF!),IF($G89="","x","y"),"")))</f>
        <v>#REF!</v>
      </c>
      <c r="AJ89" s="270" t="e">
        <f>IF(#REF!="Yes","H",IF($B89="","",IF(AND($C89&lt;=#REF!,$D89&gt;=#REF!),IF($G89="","x","y"),"")))</f>
        <v>#REF!</v>
      </c>
      <c r="AK89" s="270" t="e">
        <f>IF(#REF!="Yes","H",IF($B89="","",IF(AND($C89&lt;=#REF!,$D89&gt;=#REF!),IF($G89="","x","y"),"")))</f>
        <v>#REF!</v>
      </c>
      <c r="AL89" s="270" t="e">
        <f>IF(#REF!="Yes","H",IF($B89="","",IF(AND($C89&lt;=#REF!,$D89&gt;=#REF!),IF($G89="","x","y"),"")))</f>
        <v>#REF!</v>
      </c>
      <c r="AM89" s="273" t="e">
        <f>IF(#REF!="Yes","H",IF($B89="","",IF(AND($C89&lt;=#REF!,$D89&gt;=#REF!),IF($G89="","x","y"),"")))</f>
        <v>#REF!</v>
      </c>
      <c r="AN89" s="274" t="e">
        <f>IF(#REF!="Yes","H",IF($B89="","",IF(AND($C89&lt;=#REF!,$D89&gt;=#REF!),IF($G89="","x","y"),"")))</f>
        <v>#REF!</v>
      </c>
      <c r="AO89" s="270" t="e">
        <f>IF(#REF!="Yes","H",IF($B89="","",IF(AND($C89&lt;=#REF!,$D89&gt;=#REF!),IF($G89="","x","y"),"")))</f>
        <v>#REF!</v>
      </c>
      <c r="AP89" s="270" t="e">
        <f>IF(#REF!="Yes","H",IF($B89="","",IF(AND($C89&lt;=#REF!,$D89&gt;=#REF!),IF($G89="","x","y"),"")))</f>
        <v>#REF!</v>
      </c>
      <c r="AQ89" s="270" t="e">
        <f>IF(#REF!="Yes","H",IF($B89="","",IF(AND($C89&lt;=#REF!,$D89&gt;=#REF!),IF($G89="","x","y"),"")))</f>
        <v>#REF!</v>
      </c>
      <c r="AR89" s="271" t="e">
        <f>IF(#REF!="Yes","H",IF($B89="","",IF(AND($C89&lt;=#REF!,$D89&gt;=#REF!),IF($G89="","x","y"),"")))</f>
        <v>#REF!</v>
      </c>
      <c r="AS89" s="272" t="e">
        <f>IF(#REF!="Yes","H",IF($B89="","",IF(AND($C89&lt;=#REF!,$D89&gt;=#REF!),IF($G89="","x","y"),"")))</f>
        <v>#REF!</v>
      </c>
      <c r="AT89" s="270" t="e">
        <f>IF(#REF!="Yes","H",IF($B89="","",IF(AND($C89&lt;=#REF!,$D89&gt;=#REF!),IF($G89="","x","y"),"")))</f>
        <v>#REF!</v>
      </c>
      <c r="AU89" s="270" t="e">
        <f>IF(#REF!="Yes","H",IF($B89="","",IF(AND($C89&lt;=#REF!,$D89&gt;=#REF!),IF($G89="","x","y"),"")))</f>
        <v>#REF!</v>
      </c>
      <c r="AV89" s="270" t="e">
        <f>IF(#REF!="Yes","H",IF($B89="","",IF(AND($C89&lt;=#REF!,$D89&gt;=#REF!),IF($G89="","x","y"),"")))</f>
        <v>#REF!</v>
      </c>
      <c r="AW89" s="273" t="e">
        <f>IF(#REF!="Yes","H",IF($B89="","",IF(AND($C89&lt;=#REF!,$D89&gt;=#REF!),IF($G89="","x","y"),"")))</f>
        <v>#REF!</v>
      </c>
      <c r="AX89" s="274" t="e">
        <f>IF(#REF!="Yes","H",IF($B89="","",IF(AND($C89&lt;=#REF!,$D89&gt;=#REF!),IF($G89="","x","y"),"")))</f>
        <v>#REF!</v>
      </c>
      <c r="AY89" s="270" t="e">
        <f>IF(#REF!="Yes","H",IF($B89="","",IF(AND($C89&lt;=#REF!,$D89&gt;=#REF!),IF($G89="","x","y"),"")))</f>
        <v>#REF!</v>
      </c>
      <c r="AZ89" s="270" t="e">
        <f>IF(#REF!="Yes","H",IF($B89="","",IF(AND($C89&lt;=#REF!,$D89&gt;=#REF!),IF($G89="","x","y"),"")))</f>
        <v>#REF!</v>
      </c>
      <c r="BA89" s="270" t="e">
        <f>IF(#REF!="Yes","H",IF($B89="","",IF(AND($C89&lt;=#REF!,$D89&gt;=#REF!),IF($G89="","x","y"),"")))</f>
        <v>#REF!</v>
      </c>
      <c r="BB89" s="271" t="e">
        <f>IF(#REF!="Yes","H",IF($B89="","",IF(AND($C89&lt;=#REF!,$D89&gt;=#REF!),IF($G89="","x","y"),"")))</f>
        <v>#REF!</v>
      </c>
      <c r="BC89" s="272" t="e">
        <f>IF(#REF!="Yes","H",IF($B89="","",IF(AND($C89&lt;=#REF!,$D89&gt;=#REF!),IF($G89="","x","y"),"")))</f>
        <v>#REF!</v>
      </c>
      <c r="BD89" s="270" t="e">
        <f>IF(#REF!="Yes","H",IF($B89="","",IF(AND($C89&lt;=#REF!,$D89&gt;=#REF!),IF($G89="","x","y"),"")))</f>
        <v>#REF!</v>
      </c>
      <c r="BE89" s="270" t="e">
        <f>IF(#REF!="Yes","H",IF($B89="","",IF(AND($C89&lt;=#REF!,$D89&gt;=#REF!),IF($G89="","x","y"),"")))</f>
        <v>#REF!</v>
      </c>
      <c r="BF89" s="270" t="e">
        <f>IF(#REF!="Yes","H",IF($B89="","",IF(AND($C89&lt;=#REF!,$D89&gt;=#REF!),IF($G89="","x","y"),"")))</f>
        <v>#REF!</v>
      </c>
      <c r="BG89" s="273" t="e">
        <f>IF(#REF!="Yes","H",IF($B89="","",IF(AND($C89&lt;=#REF!,$D89&gt;=#REF!),IF($G89="","x","y"),"")))</f>
        <v>#REF!</v>
      </c>
      <c r="BH89" s="274" t="e">
        <f>IF(#REF!="Yes","H",IF($B89="","",IF(AND($C89&lt;=#REF!,$D89&gt;=#REF!),IF($G89="","x","y"),"")))</f>
        <v>#REF!</v>
      </c>
      <c r="BI89" s="270" t="e">
        <f>IF(#REF!="Yes","H",IF($B89="","",IF(AND($C89&lt;=#REF!,$D89&gt;=#REF!),IF($G89="","x","y"),"")))</f>
        <v>#REF!</v>
      </c>
      <c r="BJ89" s="270" t="e">
        <f>IF(#REF!="Yes","H",IF($B89="","",IF(AND($C89&lt;=#REF!,$D89&gt;=#REF!),IF($G89="","x","y"),"")))</f>
        <v>#REF!</v>
      </c>
      <c r="BK89" s="270" t="e">
        <f>IF(#REF!="Yes","H",IF($B89="","",IF(AND($C89&lt;=#REF!,$D89&gt;=#REF!),IF($G89="","x","y"),"")))</f>
        <v>#REF!</v>
      </c>
      <c r="BL89" s="271" t="e">
        <f>IF(#REF!="Yes","H",IF($B89="","",IF(AND($C89&lt;=#REF!,$D89&gt;=#REF!),IF($G89="","x","y"),"")))</f>
        <v>#REF!</v>
      </c>
      <c r="BM89" s="272" t="e">
        <f>IF(#REF!="Yes","H",IF($B89="","",IF(AND($C89&lt;=#REF!,$D89&gt;=#REF!),IF($G89="","x","y"),"")))</f>
        <v>#REF!</v>
      </c>
      <c r="BN89" s="270" t="e">
        <f>IF(#REF!="Yes","H",IF($B89="","",IF(AND($C89&lt;=#REF!,$D89&gt;=#REF!),IF($G89="","x","y"),"")))</f>
        <v>#REF!</v>
      </c>
      <c r="BO89" s="270" t="e">
        <f>IF(#REF!="Yes","H",IF($B89="","",IF(AND($C89&lt;=#REF!,$D89&gt;=#REF!),IF($G89="","x","y"),"")))</f>
        <v>#REF!</v>
      </c>
      <c r="BP89" s="270" t="e">
        <f>IF(#REF!="Yes","H",IF($B89="","",IF(AND($C89&lt;=#REF!,$D89&gt;=#REF!),IF($G89="","x","y"),"")))</f>
        <v>#REF!</v>
      </c>
      <c r="BQ89" s="273" t="e">
        <f>IF(#REF!="Yes","H",IF($B89="","",IF(AND($C89&lt;=#REF!,$D89&gt;=#REF!),IF($G89="","x","y"),"")))</f>
        <v>#REF!</v>
      </c>
      <c r="BR89" s="274" t="e">
        <f>IF(#REF!="Yes","H",IF($B89="","",IF(AND($C89&lt;=#REF!,$D89&gt;=#REF!),IF($G89="","x","y"),"")))</f>
        <v>#REF!</v>
      </c>
      <c r="BS89" s="270" t="e">
        <f>IF(#REF!="Yes","H",IF($B89="","",IF(AND($C89&lt;=#REF!,$D89&gt;=#REF!),IF($G89="","x","y"),"")))</f>
        <v>#REF!</v>
      </c>
      <c r="BT89" s="270" t="e">
        <f>IF(#REF!="Yes","H",IF($B89="","",IF(AND($C89&lt;=#REF!,$D89&gt;=#REF!),IF($G89="","x","y"),"")))</f>
        <v>#REF!</v>
      </c>
      <c r="BU89" s="270" t="e">
        <f>IF(#REF!="Yes","H",IF($B89="","",IF(AND($C89&lt;=#REF!,$D89&gt;=#REF!),IF($G89="","x","y"),"")))</f>
        <v>#REF!</v>
      </c>
      <c r="BV89" s="271" t="e">
        <f>IF(#REF!="Yes","H",IF($B89="","",IF(AND($C89&lt;=#REF!,$D89&gt;=#REF!),IF($G89="","x","y"),"")))</f>
        <v>#REF!</v>
      </c>
      <c r="BW89" s="272" t="e">
        <f>IF(#REF!="Yes","H",IF($B89="","",IF(AND($C89&lt;=#REF!,$D89&gt;=#REF!),IF($G89="","x","y"),"")))</f>
        <v>#REF!</v>
      </c>
      <c r="BX89" s="270" t="e">
        <f>IF(#REF!="Yes","H",IF($B89="","",IF(AND($C89&lt;=#REF!,$D89&gt;=#REF!),IF($G89="","x","y"),"")))</f>
        <v>#REF!</v>
      </c>
      <c r="BY89" s="270" t="e">
        <f>IF(#REF!="Yes","H",IF($B89="","",IF(AND($C89&lt;=#REF!,$D89&gt;=#REF!),IF($G89="","x","y"),"")))</f>
        <v>#REF!</v>
      </c>
      <c r="BZ89" s="270" t="e">
        <f>IF(#REF!="Yes","H",IF($B89="","",IF(AND($C89&lt;=#REF!,$D89&gt;=#REF!),IF($G89="","x","y"),"")))</f>
        <v>#REF!</v>
      </c>
      <c r="CA89" s="273" t="e">
        <f>IF(#REF!="Yes","H",IF($B89="","",IF(AND($C89&lt;=#REF!,$D89&gt;=#REF!),IF($G89="","x","y"),"")))</f>
        <v>#REF!</v>
      </c>
    </row>
    <row r="90" spans="2:79" ht="15" customHeight="1">
      <c r="B90" s="135"/>
      <c r="C90" s="260"/>
      <c r="D90" s="260"/>
      <c r="E90" s="223"/>
      <c r="F90" s="224"/>
      <c r="G90" s="275"/>
      <c r="H90" s="209"/>
      <c r="I90" s="211"/>
      <c r="J90" s="269" t="e">
        <f>IF(#REF!="Yes","H",IF($B90="","",IF(AND($C90&lt;=#REF!,$D90&gt;=#REF!),IF($G90="","x","y"),"")))</f>
        <v>#REF!</v>
      </c>
      <c r="K90" s="270" t="e">
        <f>IF(#REF!="Yes","H",IF($B90="","",IF(AND($C90&lt;=#REF!,$D90&gt;=#REF!),IF($G90="","x","y"),"")))</f>
        <v>#REF!</v>
      </c>
      <c r="L90" s="270" t="e">
        <f>IF(#REF!="Yes","H",IF($B90="","",IF(AND($C90&lt;=#REF!,$D90&gt;=#REF!),IF($G90="","x","y"),"")))</f>
        <v>#REF!</v>
      </c>
      <c r="M90" s="270" t="e">
        <f>IF(#REF!="Yes","H",IF($B90="","",IF(AND($C90&lt;=#REF!,$D90&gt;=#REF!),IF($G90="","x","y"),"")))</f>
        <v>#REF!</v>
      </c>
      <c r="N90" s="271" t="e">
        <f>IF(#REF!="Yes","H",IF($B90="","",IF(AND($C90&lt;=#REF!,$D90&gt;=#REF!),IF($G90="","x","y"),"")))</f>
        <v>#REF!</v>
      </c>
      <c r="O90" s="272" t="e">
        <f>IF(#REF!="Yes","H",IF($B90="","",IF(AND($C90&lt;=#REF!,$D90&gt;=#REF!),IF($G90="","x","y"),"")))</f>
        <v>#REF!</v>
      </c>
      <c r="P90" s="270" t="e">
        <f>IF(#REF!="Yes","H",IF($B90="","",IF(AND($C90&lt;=#REF!,$D90&gt;=#REF!),IF($G90="","x","y"),"")))</f>
        <v>#REF!</v>
      </c>
      <c r="Q90" s="270" t="e">
        <f>IF(#REF!="Yes","H",IF($B90="","",IF(AND($C90&lt;=#REF!,$D90&gt;=#REF!),IF($G90="","x","y"),"")))</f>
        <v>#REF!</v>
      </c>
      <c r="R90" s="270" t="e">
        <f>IF(#REF!="Yes","H",IF($B90="","",IF(AND($C90&lt;=#REF!,$D90&gt;=#REF!),IF($G90="","x","y"),"")))</f>
        <v>#REF!</v>
      </c>
      <c r="S90" s="273" t="e">
        <f>IF(#REF!="Yes","H",IF($B90="","",IF(AND($C90&lt;=#REF!,$D90&gt;=#REF!),IF($G90="","x","y"),"")))</f>
        <v>#REF!</v>
      </c>
      <c r="T90" s="274" t="e">
        <f>IF(#REF!="Yes","H",IF($B90="","",IF(AND($C90&lt;=#REF!,$D90&gt;=#REF!),IF($G90="","x","y"),"")))</f>
        <v>#REF!</v>
      </c>
      <c r="U90" s="270" t="e">
        <f>IF(#REF!="Yes","H",IF($B90="","",IF(AND($C90&lt;=#REF!,$D90&gt;=#REF!),IF($G90="","x","y"),"")))</f>
        <v>#REF!</v>
      </c>
      <c r="V90" s="270" t="e">
        <f>IF(#REF!="Yes","H",IF($B90="","",IF(AND($C90&lt;=#REF!,$D90&gt;=#REF!),IF($G90="","x","y"),"")))</f>
        <v>#REF!</v>
      </c>
      <c r="W90" s="270" t="e">
        <f>IF(#REF!="Yes","H",IF($B90="","",IF(AND($C90&lt;=#REF!,$D90&gt;=#REF!),IF($G90="","x","y"),"")))</f>
        <v>#REF!</v>
      </c>
      <c r="X90" s="271" t="e">
        <f>IF(#REF!="Yes","H",IF($B90="","",IF(AND($C90&lt;=#REF!,$D90&gt;=#REF!),IF($G90="","x","y"),"")))</f>
        <v>#REF!</v>
      </c>
      <c r="Y90" s="272" t="e">
        <f>IF(#REF!="Yes","H",IF($B90="","",IF(AND($C90&lt;=#REF!,$D90&gt;=#REF!),IF($G90="","x","y"),"")))</f>
        <v>#REF!</v>
      </c>
      <c r="Z90" s="270" t="e">
        <f>IF(#REF!="Yes","H",IF($B90="","",IF(AND($C90&lt;=#REF!,$D90&gt;=#REF!),IF($G90="","x","y"),"")))</f>
        <v>#REF!</v>
      </c>
      <c r="AA90" s="270" t="e">
        <f>IF(#REF!="Yes","H",IF($B90="","",IF(AND($C90&lt;=#REF!,$D90&gt;=#REF!),IF($G90="","x","y"),"")))</f>
        <v>#REF!</v>
      </c>
      <c r="AB90" s="270" t="e">
        <f>IF(#REF!="Yes","H",IF($B90="","",IF(AND($C90&lt;=#REF!,$D90&gt;=#REF!),IF($G90="","x","y"),"")))</f>
        <v>#REF!</v>
      </c>
      <c r="AC90" s="273" t="e">
        <f>IF(#REF!="Yes","H",IF($B90="","",IF(AND($C90&lt;=#REF!,$D90&gt;=#REF!),IF($G90="","x","y"),"")))</f>
        <v>#REF!</v>
      </c>
      <c r="AD90" s="274" t="e">
        <f>IF(#REF!="Yes","H",IF($B90="","",IF(AND($C90&lt;=#REF!,$D90&gt;=#REF!),IF($G90="","x","y"),"")))</f>
        <v>#REF!</v>
      </c>
      <c r="AE90" s="270" t="e">
        <f>IF(#REF!="Yes","H",IF($B90="","",IF(AND($C90&lt;=#REF!,$D90&gt;=#REF!),IF($G90="","x","y"),"")))</f>
        <v>#REF!</v>
      </c>
      <c r="AF90" s="270" t="e">
        <f>IF(#REF!="Yes","H",IF($B90="","",IF(AND($C90&lt;=#REF!,$D90&gt;=#REF!),IF($G90="","x","y"),"")))</f>
        <v>#REF!</v>
      </c>
      <c r="AG90" s="270" t="e">
        <f>IF(#REF!="Yes","H",IF($B90="","",IF(AND($C90&lt;=#REF!,$D90&gt;=#REF!),IF($G90="","x","y"),"")))</f>
        <v>#REF!</v>
      </c>
      <c r="AH90" s="271" t="e">
        <f>IF(#REF!="Yes","H",IF($B90="","",IF(AND($C90&lt;=#REF!,$D90&gt;=#REF!),IF($G90="","x","y"),"")))</f>
        <v>#REF!</v>
      </c>
      <c r="AI90" s="272" t="e">
        <f>IF(#REF!="Yes","H",IF($B90="","",IF(AND($C90&lt;=#REF!,$D90&gt;=#REF!),IF($G90="","x","y"),"")))</f>
        <v>#REF!</v>
      </c>
      <c r="AJ90" s="270" t="e">
        <f>IF(#REF!="Yes","H",IF($B90="","",IF(AND($C90&lt;=#REF!,$D90&gt;=#REF!),IF($G90="","x","y"),"")))</f>
        <v>#REF!</v>
      </c>
      <c r="AK90" s="270" t="e">
        <f>IF(#REF!="Yes","H",IF($B90="","",IF(AND($C90&lt;=#REF!,$D90&gt;=#REF!),IF($G90="","x","y"),"")))</f>
        <v>#REF!</v>
      </c>
      <c r="AL90" s="270" t="e">
        <f>IF(#REF!="Yes","H",IF($B90="","",IF(AND($C90&lt;=#REF!,$D90&gt;=#REF!),IF($G90="","x","y"),"")))</f>
        <v>#REF!</v>
      </c>
      <c r="AM90" s="273" t="e">
        <f>IF(#REF!="Yes","H",IF($B90="","",IF(AND($C90&lt;=#REF!,$D90&gt;=#REF!),IF($G90="","x","y"),"")))</f>
        <v>#REF!</v>
      </c>
      <c r="AN90" s="274" t="e">
        <f>IF(#REF!="Yes","H",IF($B90="","",IF(AND($C90&lt;=#REF!,$D90&gt;=#REF!),IF($G90="","x","y"),"")))</f>
        <v>#REF!</v>
      </c>
      <c r="AO90" s="270" t="e">
        <f>IF(#REF!="Yes","H",IF($B90="","",IF(AND($C90&lt;=#REF!,$D90&gt;=#REF!),IF($G90="","x","y"),"")))</f>
        <v>#REF!</v>
      </c>
      <c r="AP90" s="270" t="e">
        <f>IF(#REF!="Yes","H",IF($B90="","",IF(AND($C90&lt;=#REF!,$D90&gt;=#REF!),IF($G90="","x","y"),"")))</f>
        <v>#REF!</v>
      </c>
      <c r="AQ90" s="270" t="e">
        <f>IF(#REF!="Yes","H",IF($B90="","",IF(AND($C90&lt;=#REF!,$D90&gt;=#REF!),IF($G90="","x","y"),"")))</f>
        <v>#REF!</v>
      </c>
      <c r="AR90" s="271" t="e">
        <f>IF(#REF!="Yes","H",IF($B90="","",IF(AND($C90&lt;=#REF!,$D90&gt;=#REF!),IF($G90="","x","y"),"")))</f>
        <v>#REF!</v>
      </c>
      <c r="AS90" s="272" t="e">
        <f>IF(#REF!="Yes","H",IF($B90="","",IF(AND($C90&lt;=#REF!,$D90&gt;=#REF!),IF($G90="","x","y"),"")))</f>
        <v>#REF!</v>
      </c>
      <c r="AT90" s="270" t="e">
        <f>IF(#REF!="Yes","H",IF($B90="","",IF(AND($C90&lt;=#REF!,$D90&gt;=#REF!),IF($G90="","x","y"),"")))</f>
        <v>#REF!</v>
      </c>
      <c r="AU90" s="270" t="e">
        <f>IF(#REF!="Yes","H",IF($B90="","",IF(AND($C90&lt;=#REF!,$D90&gt;=#REF!),IF($G90="","x","y"),"")))</f>
        <v>#REF!</v>
      </c>
      <c r="AV90" s="270" t="e">
        <f>IF(#REF!="Yes","H",IF($B90="","",IF(AND($C90&lt;=#REF!,$D90&gt;=#REF!),IF($G90="","x","y"),"")))</f>
        <v>#REF!</v>
      </c>
      <c r="AW90" s="273" t="e">
        <f>IF(#REF!="Yes","H",IF($B90="","",IF(AND($C90&lt;=#REF!,$D90&gt;=#REF!),IF($G90="","x","y"),"")))</f>
        <v>#REF!</v>
      </c>
      <c r="AX90" s="274" t="e">
        <f>IF(#REF!="Yes","H",IF($B90="","",IF(AND($C90&lt;=#REF!,$D90&gt;=#REF!),IF($G90="","x","y"),"")))</f>
        <v>#REF!</v>
      </c>
      <c r="AY90" s="270" t="e">
        <f>IF(#REF!="Yes","H",IF($B90="","",IF(AND($C90&lt;=#REF!,$D90&gt;=#REF!),IF($G90="","x","y"),"")))</f>
        <v>#REF!</v>
      </c>
      <c r="AZ90" s="270" t="e">
        <f>IF(#REF!="Yes","H",IF($B90="","",IF(AND($C90&lt;=#REF!,$D90&gt;=#REF!),IF($G90="","x","y"),"")))</f>
        <v>#REF!</v>
      </c>
      <c r="BA90" s="270" t="e">
        <f>IF(#REF!="Yes","H",IF($B90="","",IF(AND($C90&lt;=#REF!,$D90&gt;=#REF!),IF($G90="","x","y"),"")))</f>
        <v>#REF!</v>
      </c>
      <c r="BB90" s="271" t="e">
        <f>IF(#REF!="Yes","H",IF($B90="","",IF(AND($C90&lt;=#REF!,$D90&gt;=#REF!),IF($G90="","x","y"),"")))</f>
        <v>#REF!</v>
      </c>
      <c r="BC90" s="272" t="e">
        <f>IF(#REF!="Yes","H",IF($B90="","",IF(AND($C90&lt;=#REF!,$D90&gt;=#REF!),IF($G90="","x","y"),"")))</f>
        <v>#REF!</v>
      </c>
      <c r="BD90" s="270" t="e">
        <f>IF(#REF!="Yes","H",IF($B90="","",IF(AND($C90&lt;=#REF!,$D90&gt;=#REF!),IF($G90="","x","y"),"")))</f>
        <v>#REF!</v>
      </c>
      <c r="BE90" s="270" t="e">
        <f>IF(#REF!="Yes","H",IF($B90="","",IF(AND($C90&lt;=#REF!,$D90&gt;=#REF!),IF($G90="","x","y"),"")))</f>
        <v>#REF!</v>
      </c>
      <c r="BF90" s="270" t="e">
        <f>IF(#REF!="Yes","H",IF($B90="","",IF(AND($C90&lt;=#REF!,$D90&gt;=#REF!),IF($G90="","x","y"),"")))</f>
        <v>#REF!</v>
      </c>
      <c r="BG90" s="273" t="e">
        <f>IF(#REF!="Yes","H",IF($B90="","",IF(AND($C90&lt;=#REF!,$D90&gt;=#REF!),IF($G90="","x","y"),"")))</f>
        <v>#REF!</v>
      </c>
      <c r="BH90" s="274" t="e">
        <f>IF(#REF!="Yes","H",IF($B90="","",IF(AND($C90&lt;=#REF!,$D90&gt;=#REF!),IF($G90="","x","y"),"")))</f>
        <v>#REF!</v>
      </c>
      <c r="BI90" s="270" t="e">
        <f>IF(#REF!="Yes","H",IF($B90="","",IF(AND($C90&lt;=#REF!,$D90&gt;=#REF!),IF($G90="","x","y"),"")))</f>
        <v>#REF!</v>
      </c>
      <c r="BJ90" s="270" t="e">
        <f>IF(#REF!="Yes","H",IF($B90="","",IF(AND($C90&lt;=#REF!,$D90&gt;=#REF!),IF($G90="","x","y"),"")))</f>
        <v>#REF!</v>
      </c>
      <c r="BK90" s="270" t="e">
        <f>IF(#REF!="Yes","H",IF($B90="","",IF(AND($C90&lt;=#REF!,$D90&gt;=#REF!),IF($G90="","x","y"),"")))</f>
        <v>#REF!</v>
      </c>
      <c r="BL90" s="271" t="e">
        <f>IF(#REF!="Yes","H",IF($B90="","",IF(AND($C90&lt;=#REF!,$D90&gt;=#REF!),IF($G90="","x","y"),"")))</f>
        <v>#REF!</v>
      </c>
      <c r="BM90" s="272" t="e">
        <f>IF(#REF!="Yes","H",IF($B90="","",IF(AND($C90&lt;=#REF!,$D90&gt;=#REF!),IF($G90="","x","y"),"")))</f>
        <v>#REF!</v>
      </c>
      <c r="BN90" s="270" t="e">
        <f>IF(#REF!="Yes","H",IF($B90="","",IF(AND($C90&lt;=#REF!,$D90&gt;=#REF!),IF($G90="","x","y"),"")))</f>
        <v>#REF!</v>
      </c>
      <c r="BO90" s="270" t="e">
        <f>IF(#REF!="Yes","H",IF($B90="","",IF(AND($C90&lt;=#REF!,$D90&gt;=#REF!),IF($G90="","x","y"),"")))</f>
        <v>#REF!</v>
      </c>
      <c r="BP90" s="270" t="e">
        <f>IF(#REF!="Yes","H",IF($B90="","",IF(AND($C90&lt;=#REF!,$D90&gt;=#REF!),IF($G90="","x","y"),"")))</f>
        <v>#REF!</v>
      </c>
      <c r="BQ90" s="273" t="e">
        <f>IF(#REF!="Yes","H",IF($B90="","",IF(AND($C90&lt;=#REF!,$D90&gt;=#REF!),IF($G90="","x","y"),"")))</f>
        <v>#REF!</v>
      </c>
      <c r="BR90" s="274" t="e">
        <f>IF(#REF!="Yes","H",IF($B90="","",IF(AND($C90&lt;=#REF!,$D90&gt;=#REF!),IF($G90="","x","y"),"")))</f>
        <v>#REF!</v>
      </c>
      <c r="BS90" s="270" t="e">
        <f>IF(#REF!="Yes","H",IF($B90="","",IF(AND($C90&lt;=#REF!,$D90&gt;=#REF!),IF($G90="","x","y"),"")))</f>
        <v>#REF!</v>
      </c>
      <c r="BT90" s="270" t="e">
        <f>IF(#REF!="Yes","H",IF($B90="","",IF(AND($C90&lt;=#REF!,$D90&gt;=#REF!),IF($G90="","x","y"),"")))</f>
        <v>#REF!</v>
      </c>
      <c r="BU90" s="270" t="e">
        <f>IF(#REF!="Yes","H",IF($B90="","",IF(AND($C90&lt;=#REF!,$D90&gt;=#REF!),IF($G90="","x","y"),"")))</f>
        <v>#REF!</v>
      </c>
      <c r="BV90" s="271" t="e">
        <f>IF(#REF!="Yes","H",IF($B90="","",IF(AND($C90&lt;=#REF!,$D90&gt;=#REF!),IF($G90="","x","y"),"")))</f>
        <v>#REF!</v>
      </c>
      <c r="BW90" s="272" t="e">
        <f>IF(#REF!="Yes","H",IF($B90="","",IF(AND($C90&lt;=#REF!,$D90&gt;=#REF!),IF($G90="","x","y"),"")))</f>
        <v>#REF!</v>
      </c>
      <c r="BX90" s="270" t="e">
        <f>IF(#REF!="Yes","H",IF($B90="","",IF(AND($C90&lt;=#REF!,$D90&gt;=#REF!),IF($G90="","x","y"),"")))</f>
        <v>#REF!</v>
      </c>
      <c r="BY90" s="270" t="e">
        <f>IF(#REF!="Yes","H",IF($B90="","",IF(AND($C90&lt;=#REF!,$D90&gt;=#REF!),IF($G90="","x","y"),"")))</f>
        <v>#REF!</v>
      </c>
      <c r="BZ90" s="270" t="e">
        <f>IF(#REF!="Yes","H",IF($B90="","",IF(AND($C90&lt;=#REF!,$D90&gt;=#REF!),IF($G90="","x","y"),"")))</f>
        <v>#REF!</v>
      </c>
      <c r="CA90" s="273" t="e">
        <f>IF(#REF!="Yes","H",IF($B90="","",IF(AND($C90&lt;=#REF!,$D90&gt;=#REF!),IF($G90="","x","y"),"")))</f>
        <v>#REF!</v>
      </c>
    </row>
    <row r="91" spans="2:79" ht="15" customHeight="1">
      <c r="B91" s="139"/>
      <c r="C91" s="260"/>
      <c r="D91" s="260"/>
      <c r="E91" s="223"/>
      <c r="F91" s="224"/>
      <c r="G91" s="275"/>
      <c r="H91" s="209"/>
      <c r="I91" s="211"/>
      <c r="J91" s="269" t="e">
        <f>IF(#REF!="Yes","H",IF($B91="","",IF(AND($C91&lt;=#REF!,$D91&gt;=#REF!),IF($G91="","x","y"),"")))</f>
        <v>#REF!</v>
      </c>
      <c r="K91" s="270" t="e">
        <f>IF(#REF!="Yes","H",IF($B91="","",IF(AND($C91&lt;=#REF!,$D91&gt;=#REF!),IF($G91="","x","y"),"")))</f>
        <v>#REF!</v>
      </c>
      <c r="L91" s="270" t="e">
        <f>IF(#REF!="Yes","H",IF($B91="","",IF(AND($C91&lt;=#REF!,$D91&gt;=#REF!),IF($G91="","x","y"),"")))</f>
        <v>#REF!</v>
      </c>
      <c r="M91" s="270" t="e">
        <f>IF(#REF!="Yes","H",IF($B91="","",IF(AND($C91&lt;=#REF!,$D91&gt;=#REF!),IF($G91="","x","y"),"")))</f>
        <v>#REF!</v>
      </c>
      <c r="N91" s="271" t="e">
        <f>IF(#REF!="Yes","H",IF($B91="","",IF(AND($C91&lt;=#REF!,$D91&gt;=#REF!),IF($G91="","x","y"),"")))</f>
        <v>#REF!</v>
      </c>
      <c r="O91" s="272" t="e">
        <f>IF(#REF!="Yes","H",IF($B91="","",IF(AND($C91&lt;=#REF!,$D91&gt;=#REF!),IF($G91="","x","y"),"")))</f>
        <v>#REF!</v>
      </c>
      <c r="P91" s="270" t="e">
        <f>IF(#REF!="Yes","H",IF($B91="","",IF(AND($C91&lt;=#REF!,$D91&gt;=#REF!),IF($G91="","x","y"),"")))</f>
        <v>#REF!</v>
      </c>
      <c r="Q91" s="270" t="e">
        <f>IF(#REF!="Yes","H",IF($B91="","",IF(AND($C91&lt;=#REF!,$D91&gt;=#REF!),IF($G91="","x","y"),"")))</f>
        <v>#REF!</v>
      </c>
      <c r="R91" s="270" t="e">
        <f>IF(#REF!="Yes","H",IF($B91="","",IF(AND($C91&lt;=#REF!,$D91&gt;=#REF!),IF($G91="","x","y"),"")))</f>
        <v>#REF!</v>
      </c>
      <c r="S91" s="273" t="e">
        <f>IF(#REF!="Yes","H",IF($B91="","",IF(AND($C91&lt;=#REF!,$D91&gt;=#REF!),IF($G91="","x","y"),"")))</f>
        <v>#REF!</v>
      </c>
      <c r="T91" s="274" t="e">
        <f>IF(#REF!="Yes","H",IF($B91="","",IF(AND($C91&lt;=#REF!,$D91&gt;=#REF!),IF($G91="","x","y"),"")))</f>
        <v>#REF!</v>
      </c>
      <c r="U91" s="270" t="e">
        <f>IF(#REF!="Yes","H",IF($B91="","",IF(AND($C91&lt;=#REF!,$D91&gt;=#REF!),IF($G91="","x","y"),"")))</f>
        <v>#REF!</v>
      </c>
      <c r="V91" s="270" t="e">
        <f>IF(#REF!="Yes","H",IF($B91="","",IF(AND($C91&lt;=#REF!,$D91&gt;=#REF!),IF($G91="","x","y"),"")))</f>
        <v>#REF!</v>
      </c>
      <c r="W91" s="270" t="e">
        <f>IF(#REF!="Yes","H",IF($B91="","",IF(AND($C91&lt;=#REF!,$D91&gt;=#REF!),IF($G91="","x","y"),"")))</f>
        <v>#REF!</v>
      </c>
      <c r="X91" s="271" t="e">
        <f>IF(#REF!="Yes","H",IF($B91="","",IF(AND($C91&lt;=#REF!,$D91&gt;=#REF!),IF($G91="","x","y"),"")))</f>
        <v>#REF!</v>
      </c>
      <c r="Y91" s="272" t="e">
        <f>IF(#REF!="Yes","H",IF($B91="","",IF(AND($C91&lt;=#REF!,$D91&gt;=#REF!),IF($G91="","x","y"),"")))</f>
        <v>#REF!</v>
      </c>
      <c r="Z91" s="270" t="e">
        <f>IF(#REF!="Yes","H",IF($B91="","",IF(AND($C91&lt;=#REF!,$D91&gt;=#REF!),IF($G91="","x","y"),"")))</f>
        <v>#REF!</v>
      </c>
      <c r="AA91" s="270" t="e">
        <f>IF(#REF!="Yes","H",IF($B91="","",IF(AND($C91&lt;=#REF!,$D91&gt;=#REF!),IF($G91="","x","y"),"")))</f>
        <v>#REF!</v>
      </c>
      <c r="AB91" s="270" t="e">
        <f>IF(#REF!="Yes","H",IF($B91="","",IF(AND($C91&lt;=#REF!,$D91&gt;=#REF!),IF($G91="","x","y"),"")))</f>
        <v>#REF!</v>
      </c>
      <c r="AC91" s="273" t="e">
        <f>IF(#REF!="Yes","H",IF($B91="","",IF(AND($C91&lt;=#REF!,$D91&gt;=#REF!),IF($G91="","x","y"),"")))</f>
        <v>#REF!</v>
      </c>
      <c r="AD91" s="274" t="e">
        <f>IF(#REF!="Yes","H",IF($B91="","",IF(AND($C91&lt;=#REF!,$D91&gt;=#REF!),IF($G91="","x","y"),"")))</f>
        <v>#REF!</v>
      </c>
      <c r="AE91" s="270" t="e">
        <f>IF(#REF!="Yes","H",IF($B91="","",IF(AND($C91&lt;=#REF!,$D91&gt;=#REF!),IF($G91="","x","y"),"")))</f>
        <v>#REF!</v>
      </c>
      <c r="AF91" s="270" t="e">
        <f>IF(#REF!="Yes","H",IF($B91="","",IF(AND($C91&lt;=#REF!,$D91&gt;=#REF!),IF($G91="","x","y"),"")))</f>
        <v>#REF!</v>
      </c>
      <c r="AG91" s="270" t="e">
        <f>IF(#REF!="Yes","H",IF($B91="","",IF(AND($C91&lt;=#REF!,$D91&gt;=#REF!),IF($G91="","x","y"),"")))</f>
        <v>#REF!</v>
      </c>
      <c r="AH91" s="271" t="e">
        <f>IF(#REF!="Yes","H",IF($B91="","",IF(AND($C91&lt;=#REF!,$D91&gt;=#REF!),IF($G91="","x","y"),"")))</f>
        <v>#REF!</v>
      </c>
      <c r="AI91" s="272" t="e">
        <f>IF(#REF!="Yes","H",IF($B91="","",IF(AND($C91&lt;=#REF!,$D91&gt;=#REF!),IF($G91="","x","y"),"")))</f>
        <v>#REF!</v>
      </c>
      <c r="AJ91" s="270" t="e">
        <f>IF(#REF!="Yes","H",IF($B91="","",IF(AND($C91&lt;=#REF!,$D91&gt;=#REF!),IF($G91="","x","y"),"")))</f>
        <v>#REF!</v>
      </c>
      <c r="AK91" s="270" t="e">
        <f>IF(#REF!="Yes","H",IF($B91="","",IF(AND($C91&lt;=#REF!,$D91&gt;=#REF!),IF($G91="","x","y"),"")))</f>
        <v>#REF!</v>
      </c>
      <c r="AL91" s="270" t="e">
        <f>IF(#REF!="Yes","H",IF($B91="","",IF(AND($C91&lt;=#REF!,$D91&gt;=#REF!),IF($G91="","x","y"),"")))</f>
        <v>#REF!</v>
      </c>
      <c r="AM91" s="273" t="e">
        <f>IF(#REF!="Yes","H",IF($B91="","",IF(AND($C91&lt;=#REF!,$D91&gt;=#REF!),IF($G91="","x","y"),"")))</f>
        <v>#REF!</v>
      </c>
      <c r="AN91" s="274" t="e">
        <f>IF(#REF!="Yes","H",IF($B91="","",IF(AND($C91&lt;=#REF!,$D91&gt;=#REF!),IF($G91="","x","y"),"")))</f>
        <v>#REF!</v>
      </c>
      <c r="AO91" s="270" t="e">
        <f>IF(#REF!="Yes","H",IF($B91="","",IF(AND($C91&lt;=#REF!,$D91&gt;=#REF!),IF($G91="","x","y"),"")))</f>
        <v>#REF!</v>
      </c>
      <c r="AP91" s="270" t="e">
        <f>IF(#REF!="Yes","H",IF($B91="","",IF(AND($C91&lt;=#REF!,$D91&gt;=#REF!),IF($G91="","x","y"),"")))</f>
        <v>#REF!</v>
      </c>
      <c r="AQ91" s="270" t="e">
        <f>IF(#REF!="Yes","H",IF($B91="","",IF(AND($C91&lt;=#REF!,$D91&gt;=#REF!),IF($G91="","x","y"),"")))</f>
        <v>#REF!</v>
      </c>
      <c r="AR91" s="271" t="e">
        <f>IF(#REF!="Yes","H",IF($B91="","",IF(AND($C91&lt;=#REF!,$D91&gt;=#REF!),IF($G91="","x","y"),"")))</f>
        <v>#REF!</v>
      </c>
      <c r="AS91" s="272" t="e">
        <f>IF(#REF!="Yes","H",IF($B91="","",IF(AND($C91&lt;=#REF!,$D91&gt;=#REF!),IF($G91="","x","y"),"")))</f>
        <v>#REF!</v>
      </c>
      <c r="AT91" s="270" t="e">
        <f>IF(#REF!="Yes","H",IF($B91="","",IF(AND($C91&lt;=#REF!,$D91&gt;=#REF!),IF($G91="","x","y"),"")))</f>
        <v>#REF!</v>
      </c>
      <c r="AU91" s="270" t="e">
        <f>IF(#REF!="Yes","H",IF($B91="","",IF(AND($C91&lt;=#REF!,$D91&gt;=#REF!),IF($G91="","x","y"),"")))</f>
        <v>#REF!</v>
      </c>
      <c r="AV91" s="270" t="e">
        <f>IF(#REF!="Yes","H",IF($B91="","",IF(AND($C91&lt;=#REF!,$D91&gt;=#REF!),IF($G91="","x","y"),"")))</f>
        <v>#REF!</v>
      </c>
      <c r="AW91" s="273" t="e">
        <f>IF(#REF!="Yes","H",IF($B91="","",IF(AND($C91&lt;=#REF!,$D91&gt;=#REF!),IF($G91="","x","y"),"")))</f>
        <v>#REF!</v>
      </c>
      <c r="AX91" s="274" t="e">
        <f>IF(#REF!="Yes","H",IF($B91="","",IF(AND($C91&lt;=#REF!,$D91&gt;=#REF!),IF($G91="","x","y"),"")))</f>
        <v>#REF!</v>
      </c>
      <c r="AY91" s="270" t="e">
        <f>IF(#REF!="Yes","H",IF($B91="","",IF(AND($C91&lt;=#REF!,$D91&gt;=#REF!),IF($G91="","x","y"),"")))</f>
        <v>#REF!</v>
      </c>
      <c r="AZ91" s="270" t="e">
        <f>IF(#REF!="Yes","H",IF($B91="","",IF(AND($C91&lt;=#REF!,$D91&gt;=#REF!),IF($G91="","x","y"),"")))</f>
        <v>#REF!</v>
      </c>
      <c r="BA91" s="270" t="e">
        <f>IF(#REF!="Yes","H",IF($B91="","",IF(AND($C91&lt;=#REF!,$D91&gt;=#REF!),IF($G91="","x","y"),"")))</f>
        <v>#REF!</v>
      </c>
      <c r="BB91" s="271" t="e">
        <f>IF(#REF!="Yes","H",IF($B91="","",IF(AND($C91&lt;=#REF!,$D91&gt;=#REF!),IF($G91="","x","y"),"")))</f>
        <v>#REF!</v>
      </c>
      <c r="BC91" s="272" t="e">
        <f>IF(#REF!="Yes","H",IF($B91="","",IF(AND($C91&lt;=#REF!,$D91&gt;=#REF!),IF($G91="","x","y"),"")))</f>
        <v>#REF!</v>
      </c>
      <c r="BD91" s="270" t="e">
        <f>IF(#REF!="Yes","H",IF($B91="","",IF(AND($C91&lt;=#REF!,$D91&gt;=#REF!),IF($G91="","x","y"),"")))</f>
        <v>#REF!</v>
      </c>
      <c r="BE91" s="270" t="e">
        <f>IF(#REF!="Yes","H",IF($B91="","",IF(AND($C91&lt;=#REF!,$D91&gt;=#REF!),IF($G91="","x","y"),"")))</f>
        <v>#REF!</v>
      </c>
      <c r="BF91" s="270" t="e">
        <f>IF(#REF!="Yes","H",IF($B91="","",IF(AND($C91&lt;=#REF!,$D91&gt;=#REF!),IF($G91="","x","y"),"")))</f>
        <v>#REF!</v>
      </c>
      <c r="BG91" s="273" t="e">
        <f>IF(#REF!="Yes","H",IF($B91="","",IF(AND($C91&lt;=#REF!,$D91&gt;=#REF!),IF($G91="","x","y"),"")))</f>
        <v>#REF!</v>
      </c>
      <c r="BH91" s="274" t="e">
        <f>IF(#REF!="Yes","H",IF($B91="","",IF(AND($C91&lt;=#REF!,$D91&gt;=#REF!),IF($G91="","x","y"),"")))</f>
        <v>#REF!</v>
      </c>
      <c r="BI91" s="270" t="e">
        <f>IF(#REF!="Yes","H",IF($B91="","",IF(AND($C91&lt;=#REF!,$D91&gt;=#REF!),IF($G91="","x","y"),"")))</f>
        <v>#REF!</v>
      </c>
      <c r="BJ91" s="270" t="e">
        <f>IF(#REF!="Yes","H",IF($B91="","",IF(AND($C91&lt;=#REF!,$D91&gt;=#REF!),IF($G91="","x","y"),"")))</f>
        <v>#REF!</v>
      </c>
      <c r="BK91" s="270" t="e">
        <f>IF(#REF!="Yes","H",IF($B91="","",IF(AND($C91&lt;=#REF!,$D91&gt;=#REF!),IF($G91="","x","y"),"")))</f>
        <v>#REF!</v>
      </c>
      <c r="BL91" s="271" t="e">
        <f>IF(#REF!="Yes","H",IF($B91="","",IF(AND($C91&lt;=#REF!,$D91&gt;=#REF!),IF($G91="","x","y"),"")))</f>
        <v>#REF!</v>
      </c>
      <c r="BM91" s="272" t="e">
        <f>IF(#REF!="Yes","H",IF($B91="","",IF(AND($C91&lt;=#REF!,$D91&gt;=#REF!),IF($G91="","x","y"),"")))</f>
        <v>#REF!</v>
      </c>
      <c r="BN91" s="270" t="e">
        <f>IF(#REF!="Yes","H",IF($B91="","",IF(AND($C91&lt;=#REF!,$D91&gt;=#REF!),IF($G91="","x","y"),"")))</f>
        <v>#REF!</v>
      </c>
      <c r="BO91" s="270" t="e">
        <f>IF(#REF!="Yes","H",IF($B91="","",IF(AND($C91&lt;=#REF!,$D91&gt;=#REF!),IF($G91="","x","y"),"")))</f>
        <v>#REF!</v>
      </c>
      <c r="BP91" s="270" t="e">
        <f>IF(#REF!="Yes","H",IF($B91="","",IF(AND($C91&lt;=#REF!,$D91&gt;=#REF!),IF($G91="","x","y"),"")))</f>
        <v>#REF!</v>
      </c>
      <c r="BQ91" s="273" t="e">
        <f>IF(#REF!="Yes","H",IF($B91="","",IF(AND($C91&lt;=#REF!,$D91&gt;=#REF!),IF($G91="","x","y"),"")))</f>
        <v>#REF!</v>
      </c>
      <c r="BR91" s="274" t="e">
        <f>IF(#REF!="Yes","H",IF($B91="","",IF(AND($C91&lt;=#REF!,$D91&gt;=#REF!),IF($G91="","x","y"),"")))</f>
        <v>#REF!</v>
      </c>
      <c r="BS91" s="270" t="e">
        <f>IF(#REF!="Yes","H",IF($B91="","",IF(AND($C91&lt;=#REF!,$D91&gt;=#REF!),IF($G91="","x","y"),"")))</f>
        <v>#REF!</v>
      </c>
      <c r="BT91" s="270" t="e">
        <f>IF(#REF!="Yes","H",IF($B91="","",IF(AND($C91&lt;=#REF!,$D91&gt;=#REF!),IF($G91="","x","y"),"")))</f>
        <v>#REF!</v>
      </c>
      <c r="BU91" s="270" t="e">
        <f>IF(#REF!="Yes","H",IF($B91="","",IF(AND($C91&lt;=#REF!,$D91&gt;=#REF!),IF($G91="","x","y"),"")))</f>
        <v>#REF!</v>
      </c>
      <c r="BV91" s="271" t="e">
        <f>IF(#REF!="Yes","H",IF($B91="","",IF(AND($C91&lt;=#REF!,$D91&gt;=#REF!),IF($G91="","x","y"),"")))</f>
        <v>#REF!</v>
      </c>
      <c r="BW91" s="272" t="e">
        <f>IF(#REF!="Yes","H",IF($B91="","",IF(AND($C91&lt;=#REF!,$D91&gt;=#REF!),IF($G91="","x","y"),"")))</f>
        <v>#REF!</v>
      </c>
      <c r="BX91" s="270" t="e">
        <f>IF(#REF!="Yes","H",IF($B91="","",IF(AND($C91&lt;=#REF!,$D91&gt;=#REF!),IF($G91="","x","y"),"")))</f>
        <v>#REF!</v>
      </c>
      <c r="BY91" s="270" t="e">
        <f>IF(#REF!="Yes","H",IF($B91="","",IF(AND($C91&lt;=#REF!,$D91&gt;=#REF!),IF($G91="","x","y"),"")))</f>
        <v>#REF!</v>
      </c>
      <c r="BZ91" s="270" t="e">
        <f>IF(#REF!="Yes","H",IF($B91="","",IF(AND($C91&lt;=#REF!,$D91&gt;=#REF!),IF($G91="","x","y"),"")))</f>
        <v>#REF!</v>
      </c>
      <c r="CA91" s="273" t="e">
        <f>IF(#REF!="Yes","H",IF($B91="","",IF(AND($C91&lt;=#REF!,$D91&gt;=#REF!),IF($G91="","x","y"),"")))</f>
        <v>#REF!</v>
      </c>
    </row>
    <row r="92" spans="2:79" ht="15" customHeight="1">
      <c r="B92" s="139"/>
      <c r="C92" s="260"/>
      <c r="D92" s="260"/>
      <c r="E92" s="223"/>
      <c r="F92" s="224"/>
      <c r="G92" s="275"/>
      <c r="H92" s="209"/>
      <c r="I92" s="211"/>
      <c r="J92" s="269" t="e">
        <f>IF(#REF!="Yes","H",IF($B92="","",IF(AND($C92&lt;=#REF!,$D92&gt;=#REF!),IF($G92="","x","y"),"")))</f>
        <v>#REF!</v>
      </c>
      <c r="K92" s="270" t="e">
        <f>IF(#REF!="Yes","H",IF($B92="","",IF(AND($C92&lt;=#REF!,$D92&gt;=#REF!),IF($G92="","x","y"),"")))</f>
        <v>#REF!</v>
      </c>
      <c r="L92" s="270" t="e">
        <f>IF(#REF!="Yes","H",IF($B92="","",IF(AND($C92&lt;=#REF!,$D92&gt;=#REF!),IF($G92="","x","y"),"")))</f>
        <v>#REF!</v>
      </c>
      <c r="M92" s="270" t="e">
        <f>IF(#REF!="Yes","H",IF($B92="","",IF(AND($C92&lt;=#REF!,$D92&gt;=#REF!),IF($G92="","x","y"),"")))</f>
        <v>#REF!</v>
      </c>
      <c r="N92" s="271" t="e">
        <f>IF(#REF!="Yes","H",IF($B92="","",IF(AND($C92&lt;=#REF!,$D92&gt;=#REF!),IF($G92="","x","y"),"")))</f>
        <v>#REF!</v>
      </c>
      <c r="O92" s="272" t="e">
        <f>IF(#REF!="Yes","H",IF($B92="","",IF(AND($C92&lt;=#REF!,$D92&gt;=#REF!),IF($G92="","x","y"),"")))</f>
        <v>#REF!</v>
      </c>
      <c r="P92" s="270" t="e">
        <f>IF(#REF!="Yes","H",IF($B92="","",IF(AND($C92&lt;=#REF!,$D92&gt;=#REF!),IF($G92="","x","y"),"")))</f>
        <v>#REF!</v>
      </c>
      <c r="Q92" s="270" t="e">
        <f>IF(#REF!="Yes","H",IF($B92="","",IF(AND($C92&lt;=#REF!,$D92&gt;=#REF!),IF($G92="","x","y"),"")))</f>
        <v>#REF!</v>
      </c>
      <c r="R92" s="270" t="e">
        <f>IF(#REF!="Yes","H",IF($B92="","",IF(AND($C92&lt;=#REF!,$D92&gt;=#REF!),IF($G92="","x","y"),"")))</f>
        <v>#REF!</v>
      </c>
      <c r="S92" s="273" t="e">
        <f>IF(#REF!="Yes","H",IF($B92="","",IF(AND($C92&lt;=#REF!,$D92&gt;=#REF!),IF($G92="","x","y"),"")))</f>
        <v>#REF!</v>
      </c>
      <c r="T92" s="274" t="e">
        <f>IF(#REF!="Yes","H",IF($B92="","",IF(AND($C92&lt;=#REF!,$D92&gt;=#REF!),IF($G92="","x","y"),"")))</f>
        <v>#REF!</v>
      </c>
      <c r="U92" s="270" t="e">
        <f>IF(#REF!="Yes","H",IF($B92="","",IF(AND($C92&lt;=#REF!,$D92&gt;=#REF!),IF($G92="","x","y"),"")))</f>
        <v>#REF!</v>
      </c>
      <c r="V92" s="270" t="e">
        <f>IF(#REF!="Yes","H",IF($B92="","",IF(AND($C92&lt;=#REF!,$D92&gt;=#REF!),IF($G92="","x","y"),"")))</f>
        <v>#REF!</v>
      </c>
      <c r="W92" s="270" t="e">
        <f>IF(#REF!="Yes","H",IF($B92="","",IF(AND($C92&lt;=#REF!,$D92&gt;=#REF!),IF($G92="","x","y"),"")))</f>
        <v>#REF!</v>
      </c>
      <c r="X92" s="271" t="e">
        <f>IF(#REF!="Yes","H",IF($B92="","",IF(AND($C92&lt;=#REF!,$D92&gt;=#REF!),IF($G92="","x","y"),"")))</f>
        <v>#REF!</v>
      </c>
      <c r="Y92" s="272" t="e">
        <f>IF(#REF!="Yes","H",IF($B92="","",IF(AND($C92&lt;=#REF!,$D92&gt;=#REF!),IF($G92="","x","y"),"")))</f>
        <v>#REF!</v>
      </c>
      <c r="Z92" s="270" t="e">
        <f>IF(#REF!="Yes","H",IF($B92="","",IF(AND($C92&lt;=#REF!,$D92&gt;=#REF!),IF($G92="","x","y"),"")))</f>
        <v>#REF!</v>
      </c>
      <c r="AA92" s="270" t="e">
        <f>IF(#REF!="Yes","H",IF($B92="","",IF(AND($C92&lt;=#REF!,$D92&gt;=#REF!),IF($G92="","x","y"),"")))</f>
        <v>#REF!</v>
      </c>
      <c r="AB92" s="270" t="e">
        <f>IF(#REF!="Yes","H",IF($B92="","",IF(AND($C92&lt;=#REF!,$D92&gt;=#REF!),IF($G92="","x","y"),"")))</f>
        <v>#REF!</v>
      </c>
      <c r="AC92" s="273" t="e">
        <f>IF(#REF!="Yes","H",IF($B92="","",IF(AND($C92&lt;=#REF!,$D92&gt;=#REF!),IF($G92="","x","y"),"")))</f>
        <v>#REF!</v>
      </c>
      <c r="AD92" s="274" t="e">
        <f>IF(#REF!="Yes","H",IF($B92="","",IF(AND($C92&lt;=#REF!,$D92&gt;=#REF!),IF($G92="","x","y"),"")))</f>
        <v>#REF!</v>
      </c>
      <c r="AE92" s="270" t="e">
        <f>IF(#REF!="Yes","H",IF($B92="","",IF(AND($C92&lt;=#REF!,$D92&gt;=#REF!),IF($G92="","x","y"),"")))</f>
        <v>#REF!</v>
      </c>
      <c r="AF92" s="270" t="e">
        <f>IF(#REF!="Yes","H",IF($B92="","",IF(AND($C92&lt;=#REF!,$D92&gt;=#REF!),IF($G92="","x","y"),"")))</f>
        <v>#REF!</v>
      </c>
      <c r="AG92" s="270" t="e">
        <f>IF(#REF!="Yes","H",IF($B92="","",IF(AND($C92&lt;=#REF!,$D92&gt;=#REF!),IF($G92="","x","y"),"")))</f>
        <v>#REF!</v>
      </c>
      <c r="AH92" s="271" t="e">
        <f>IF(#REF!="Yes","H",IF($B92="","",IF(AND($C92&lt;=#REF!,$D92&gt;=#REF!),IF($G92="","x","y"),"")))</f>
        <v>#REF!</v>
      </c>
      <c r="AI92" s="272" t="e">
        <f>IF(#REF!="Yes","H",IF($B92="","",IF(AND($C92&lt;=#REF!,$D92&gt;=#REF!),IF($G92="","x","y"),"")))</f>
        <v>#REF!</v>
      </c>
      <c r="AJ92" s="270" t="e">
        <f>IF(#REF!="Yes","H",IF($B92="","",IF(AND($C92&lt;=#REF!,$D92&gt;=#REF!),IF($G92="","x","y"),"")))</f>
        <v>#REF!</v>
      </c>
      <c r="AK92" s="270" t="e">
        <f>IF(#REF!="Yes","H",IF($B92="","",IF(AND($C92&lt;=#REF!,$D92&gt;=#REF!),IF($G92="","x","y"),"")))</f>
        <v>#REF!</v>
      </c>
      <c r="AL92" s="270" t="e">
        <f>IF(#REF!="Yes","H",IF($B92="","",IF(AND($C92&lt;=#REF!,$D92&gt;=#REF!),IF($G92="","x","y"),"")))</f>
        <v>#REF!</v>
      </c>
      <c r="AM92" s="273" t="e">
        <f>IF(#REF!="Yes","H",IF($B92="","",IF(AND($C92&lt;=#REF!,$D92&gt;=#REF!),IF($G92="","x","y"),"")))</f>
        <v>#REF!</v>
      </c>
      <c r="AN92" s="274" t="e">
        <f>IF(#REF!="Yes","H",IF($B92="","",IF(AND($C92&lt;=#REF!,$D92&gt;=#REF!),IF($G92="","x","y"),"")))</f>
        <v>#REF!</v>
      </c>
      <c r="AO92" s="270" t="e">
        <f>IF(#REF!="Yes","H",IF($B92="","",IF(AND($C92&lt;=#REF!,$D92&gt;=#REF!),IF($G92="","x","y"),"")))</f>
        <v>#REF!</v>
      </c>
      <c r="AP92" s="270" t="e">
        <f>IF(#REF!="Yes","H",IF($B92="","",IF(AND($C92&lt;=#REF!,$D92&gt;=#REF!),IF($G92="","x","y"),"")))</f>
        <v>#REF!</v>
      </c>
      <c r="AQ92" s="270" t="e">
        <f>IF(#REF!="Yes","H",IF($B92="","",IF(AND($C92&lt;=#REF!,$D92&gt;=#REF!),IF($G92="","x","y"),"")))</f>
        <v>#REF!</v>
      </c>
      <c r="AR92" s="271" t="e">
        <f>IF(#REF!="Yes","H",IF($B92="","",IF(AND($C92&lt;=#REF!,$D92&gt;=#REF!),IF($G92="","x","y"),"")))</f>
        <v>#REF!</v>
      </c>
      <c r="AS92" s="272" t="e">
        <f>IF(#REF!="Yes","H",IF($B92="","",IF(AND($C92&lt;=#REF!,$D92&gt;=#REF!),IF($G92="","x","y"),"")))</f>
        <v>#REF!</v>
      </c>
      <c r="AT92" s="270" t="e">
        <f>IF(#REF!="Yes","H",IF($B92="","",IF(AND($C92&lt;=#REF!,$D92&gt;=#REF!),IF($G92="","x","y"),"")))</f>
        <v>#REF!</v>
      </c>
      <c r="AU92" s="270" t="e">
        <f>IF(#REF!="Yes","H",IF($B92="","",IF(AND($C92&lt;=#REF!,$D92&gt;=#REF!),IF($G92="","x","y"),"")))</f>
        <v>#REF!</v>
      </c>
      <c r="AV92" s="270" t="e">
        <f>IF(#REF!="Yes","H",IF($B92="","",IF(AND($C92&lt;=#REF!,$D92&gt;=#REF!),IF($G92="","x","y"),"")))</f>
        <v>#REF!</v>
      </c>
      <c r="AW92" s="273" t="e">
        <f>IF(#REF!="Yes","H",IF($B92="","",IF(AND($C92&lt;=#REF!,$D92&gt;=#REF!),IF($G92="","x","y"),"")))</f>
        <v>#REF!</v>
      </c>
      <c r="AX92" s="274" t="e">
        <f>IF(#REF!="Yes","H",IF($B92="","",IF(AND($C92&lt;=#REF!,$D92&gt;=#REF!),IF($G92="","x","y"),"")))</f>
        <v>#REF!</v>
      </c>
      <c r="AY92" s="270" t="e">
        <f>IF(#REF!="Yes","H",IF($B92="","",IF(AND($C92&lt;=#REF!,$D92&gt;=#REF!),IF($G92="","x","y"),"")))</f>
        <v>#REF!</v>
      </c>
      <c r="AZ92" s="270" t="e">
        <f>IF(#REF!="Yes","H",IF($B92="","",IF(AND($C92&lt;=#REF!,$D92&gt;=#REF!),IF($G92="","x","y"),"")))</f>
        <v>#REF!</v>
      </c>
      <c r="BA92" s="270" t="e">
        <f>IF(#REF!="Yes","H",IF($B92="","",IF(AND($C92&lt;=#REF!,$D92&gt;=#REF!),IF($G92="","x","y"),"")))</f>
        <v>#REF!</v>
      </c>
      <c r="BB92" s="271" t="e">
        <f>IF(#REF!="Yes","H",IF($B92="","",IF(AND($C92&lt;=#REF!,$D92&gt;=#REF!),IF($G92="","x","y"),"")))</f>
        <v>#REF!</v>
      </c>
      <c r="BC92" s="272" t="e">
        <f>IF(#REF!="Yes","H",IF($B92="","",IF(AND($C92&lt;=#REF!,$D92&gt;=#REF!),IF($G92="","x","y"),"")))</f>
        <v>#REF!</v>
      </c>
      <c r="BD92" s="270" t="e">
        <f>IF(#REF!="Yes","H",IF($B92="","",IF(AND($C92&lt;=#REF!,$D92&gt;=#REF!),IF($G92="","x","y"),"")))</f>
        <v>#REF!</v>
      </c>
      <c r="BE92" s="270" t="e">
        <f>IF(#REF!="Yes","H",IF($B92="","",IF(AND($C92&lt;=#REF!,$D92&gt;=#REF!),IF($G92="","x","y"),"")))</f>
        <v>#REF!</v>
      </c>
      <c r="BF92" s="270" t="e">
        <f>IF(#REF!="Yes","H",IF($B92="","",IF(AND($C92&lt;=#REF!,$D92&gt;=#REF!),IF($G92="","x","y"),"")))</f>
        <v>#REF!</v>
      </c>
      <c r="BG92" s="273" t="e">
        <f>IF(#REF!="Yes","H",IF($B92="","",IF(AND($C92&lt;=#REF!,$D92&gt;=#REF!),IF($G92="","x","y"),"")))</f>
        <v>#REF!</v>
      </c>
      <c r="BH92" s="274" t="e">
        <f>IF(#REF!="Yes","H",IF($B92="","",IF(AND($C92&lt;=#REF!,$D92&gt;=#REF!),IF($G92="","x","y"),"")))</f>
        <v>#REF!</v>
      </c>
      <c r="BI92" s="270" t="e">
        <f>IF(#REF!="Yes","H",IF($B92="","",IF(AND($C92&lt;=#REF!,$D92&gt;=#REF!),IF($G92="","x","y"),"")))</f>
        <v>#REF!</v>
      </c>
      <c r="BJ92" s="270" t="e">
        <f>IF(#REF!="Yes","H",IF($B92="","",IF(AND($C92&lt;=#REF!,$D92&gt;=#REF!),IF($G92="","x","y"),"")))</f>
        <v>#REF!</v>
      </c>
      <c r="BK92" s="270" t="e">
        <f>IF(#REF!="Yes","H",IF($B92="","",IF(AND($C92&lt;=#REF!,$D92&gt;=#REF!),IF($G92="","x","y"),"")))</f>
        <v>#REF!</v>
      </c>
      <c r="BL92" s="271" t="e">
        <f>IF(#REF!="Yes","H",IF($B92="","",IF(AND($C92&lt;=#REF!,$D92&gt;=#REF!),IF($G92="","x","y"),"")))</f>
        <v>#REF!</v>
      </c>
      <c r="BM92" s="272" t="e">
        <f>IF(#REF!="Yes","H",IF($B92="","",IF(AND($C92&lt;=#REF!,$D92&gt;=#REF!),IF($G92="","x","y"),"")))</f>
        <v>#REF!</v>
      </c>
      <c r="BN92" s="270" t="e">
        <f>IF(#REF!="Yes","H",IF($B92="","",IF(AND($C92&lt;=#REF!,$D92&gt;=#REF!),IF($G92="","x","y"),"")))</f>
        <v>#REF!</v>
      </c>
      <c r="BO92" s="270" t="e">
        <f>IF(#REF!="Yes","H",IF($B92="","",IF(AND($C92&lt;=#REF!,$D92&gt;=#REF!),IF($G92="","x","y"),"")))</f>
        <v>#REF!</v>
      </c>
      <c r="BP92" s="270" t="e">
        <f>IF(#REF!="Yes","H",IF($B92="","",IF(AND($C92&lt;=#REF!,$D92&gt;=#REF!),IF($G92="","x","y"),"")))</f>
        <v>#REF!</v>
      </c>
      <c r="BQ92" s="273" t="e">
        <f>IF(#REF!="Yes","H",IF($B92="","",IF(AND($C92&lt;=#REF!,$D92&gt;=#REF!),IF($G92="","x","y"),"")))</f>
        <v>#REF!</v>
      </c>
      <c r="BR92" s="274" t="e">
        <f>IF(#REF!="Yes","H",IF($B92="","",IF(AND($C92&lt;=#REF!,$D92&gt;=#REF!),IF($G92="","x","y"),"")))</f>
        <v>#REF!</v>
      </c>
      <c r="BS92" s="270" t="e">
        <f>IF(#REF!="Yes","H",IF($B92="","",IF(AND($C92&lt;=#REF!,$D92&gt;=#REF!),IF($G92="","x","y"),"")))</f>
        <v>#REF!</v>
      </c>
      <c r="BT92" s="270" t="e">
        <f>IF(#REF!="Yes","H",IF($B92="","",IF(AND($C92&lt;=#REF!,$D92&gt;=#REF!),IF($G92="","x","y"),"")))</f>
        <v>#REF!</v>
      </c>
      <c r="BU92" s="270" t="e">
        <f>IF(#REF!="Yes","H",IF($B92="","",IF(AND($C92&lt;=#REF!,$D92&gt;=#REF!),IF($G92="","x","y"),"")))</f>
        <v>#REF!</v>
      </c>
      <c r="BV92" s="271" t="e">
        <f>IF(#REF!="Yes","H",IF($B92="","",IF(AND($C92&lt;=#REF!,$D92&gt;=#REF!),IF($G92="","x","y"),"")))</f>
        <v>#REF!</v>
      </c>
      <c r="BW92" s="272" t="e">
        <f>IF(#REF!="Yes","H",IF($B92="","",IF(AND($C92&lt;=#REF!,$D92&gt;=#REF!),IF($G92="","x","y"),"")))</f>
        <v>#REF!</v>
      </c>
      <c r="BX92" s="270" t="e">
        <f>IF(#REF!="Yes","H",IF($B92="","",IF(AND($C92&lt;=#REF!,$D92&gt;=#REF!),IF($G92="","x","y"),"")))</f>
        <v>#REF!</v>
      </c>
      <c r="BY92" s="270" t="e">
        <f>IF(#REF!="Yes","H",IF($B92="","",IF(AND($C92&lt;=#REF!,$D92&gt;=#REF!),IF($G92="","x","y"),"")))</f>
        <v>#REF!</v>
      </c>
      <c r="BZ92" s="270" t="e">
        <f>IF(#REF!="Yes","H",IF($B92="","",IF(AND($C92&lt;=#REF!,$D92&gt;=#REF!),IF($G92="","x","y"),"")))</f>
        <v>#REF!</v>
      </c>
      <c r="CA92" s="273" t="e">
        <f>IF(#REF!="Yes","H",IF($B92="","",IF(AND($C92&lt;=#REF!,$D92&gt;=#REF!),IF($G92="","x","y"),"")))</f>
        <v>#REF!</v>
      </c>
    </row>
    <row r="93" spans="2:79" ht="15" customHeight="1">
      <c r="B93" s="139"/>
      <c r="C93" s="260"/>
      <c r="D93" s="260"/>
      <c r="E93" s="223"/>
      <c r="F93" s="224"/>
      <c r="G93" s="275"/>
      <c r="H93" s="209"/>
      <c r="I93" s="211"/>
      <c r="J93" s="269" t="e">
        <f>IF(#REF!="Yes","H",IF($B93="","",IF(AND($C93&lt;=#REF!,$D93&gt;=#REF!),IF($G93="","x","y"),"")))</f>
        <v>#REF!</v>
      </c>
      <c r="K93" s="270" t="e">
        <f>IF(#REF!="Yes","H",IF($B93="","",IF(AND($C93&lt;=#REF!,$D93&gt;=#REF!),IF($G93="","x","y"),"")))</f>
        <v>#REF!</v>
      </c>
      <c r="L93" s="270" t="e">
        <f>IF(#REF!="Yes","H",IF($B93="","",IF(AND($C93&lt;=#REF!,$D93&gt;=#REF!),IF($G93="","x","y"),"")))</f>
        <v>#REF!</v>
      </c>
      <c r="M93" s="270" t="e">
        <f>IF(#REF!="Yes","H",IF($B93="","",IF(AND($C93&lt;=#REF!,$D93&gt;=#REF!),IF($G93="","x","y"),"")))</f>
        <v>#REF!</v>
      </c>
      <c r="N93" s="271" t="e">
        <f>IF(#REF!="Yes","H",IF($B93="","",IF(AND($C93&lt;=#REF!,$D93&gt;=#REF!),IF($G93="","x","y"),"")))</f>
        <v>#REF!</v>
      </c>
      <c r="O93" s="272" t="e">
        <f>IF(#REF!="Yes","H",IF($B93="","",IF(AND($C93&lt;=#REF!,$D93&gt;=#REF!),IF($G93="","x","y"),"")))</f>
        <v>#REF!</v>
      </c>
      <c r="P93" s="270" t="e">
        <f>IF(#REF!="Yes","H",IF($B93="","",IF(AND($C93&lt;=#REF!,$D93&gt;=#REF!),IF($G93="","x","y"),"")))</f>
        <v>#REF!</v>
      </c>
      <c r="Q93" s="270" t="e">
        <f>IF(#REF!="Yes","H",IF($B93="","",IF(AND($C93&lt;=#REF!,$D93&gt;=#REF!),IF($G93="","x","y"),"")))</f>
        <v>#REF!</v>
      </c>
      <c r="R93" s="270" t="e">
        <f>IF(#REF!="Yes","H",IF($B93="","",IF(AND($C93&lt;=#REF!,$D93&gt;=#REF!),IF($G93="","x","y"),"")))</f>
        <v>#REF!</v>
      </c>
      <c r="S93" s="273" t="e">
        <f>IF(#REF!="Yes","H",IF($B93="","",IF(AND($C93&lt;=#REF!,$D93&gt;=#REF!),IF($G93="","x","y"),"")))</f>
        <v>#REF!</v>
      </c>
      <c r="T93" s="274" t="e">
        <f>IF(#REF!="Yes","H",IF($B93="","",IF(AND($C93&lt;=#REF!,$D93&gt;=#REF!),IF($G93="","x","y"),"")))</f>
        <v>#REF!</v>
      </c>
      <c r="U93" s="270" t="e">
        <f>IF(#REF!="Yes","H",IF($B93="","",IF(AND($C93&lt;=#REF!,$D93&gt;=#REF!),IF($G93="","x","y"),"")))</f>
        <v>#REF!</v>
      </c>
      <c r="V93" s="270" t="e">
        <f>IF(#REF!="Yes","H",IF($B93="","",IF(AND($C93&lt;=#REF!,$D93&gt;=#REF!),IF($G93="","x","y"),"")))</f>
        <v>#REF!</v>
      </c>
      <c r="W93" s="270" t="e">
        <f>IF(#REF!="Yes","H",IF($B93="","",IF(AND($C93&lt;=#REF!,$D93&gt;=#REF!),IF($G93="","x","y"),"")))</f>
        <v>#REF!</v>
      </c>
      <c r="X93" s="271" t="e">
        <f>IF(#REF!="Yes","H",IF($B93="","",IF(AND($C93&lt;=#REF!,$D93&gt;=#REF!),IF($G93="","x","y"),"")))</f>
        <v>#REF!</v>
      </c>
      <c r="Y93" s="272" t="e">
        <f>IF(#REF!="Yes","H",IF($B93="","",IF(AND($C93&lt;=#REF!,$D93&gt;=#REF!),IF($G93="","x","y"),"")))</f>
        <v>#REF!</v>
      </c>
      <c r="Z93" s="270" t="e">
        <f>IF(#REF!="Yes","H",IF($B93="","",IF(AND($C93&lt;=#REF!,$D93&gt;=#REF!),IF($G93="","x","y"),"")))</f>
        <v>#REF!</v>
      </c>
      <c r="AA93" s="270" t="e">
        <f>IF(#REF!="Yes","H",IF($B93="","",IF(AND($C93&lt;=#REF!,$D93&gt;=#REF!),IF($G93="","x","y"),"")))</f>
        <v>#REF!</v>
      </c>
      <c r="AB93" s="270" t="e">
        <f>IF(#REF!="Yes","H",IF($B93="","",IF(AND($C93&lt;=#REF!,$D93&gt;=#REF!),IF($G93="","x","y"),"")))</f>
        <v>#REF!</v>
      </c>
      <c r="AC93" s="273" t="e">
        <f>IF(#REF!="Yes","H",IF($B93="","",IF(AND($C93&lt;=#REF!,$D93&gt;=#REF!),IF($G93="","x","y"),"")))</f>
        <v>#REF!</v>
      </c>
      <c r="AD93" s="274" t="e">
        <f>IF(#REF!="Yes","H",IF($B93="","",IF(AND($C93&lt;=#REF!,$D93&gt;=#REF!),IF($G93="","x","y"),"")))</f>
        <v>#REF!</v>
      </c>
      <c r="AE93" s="270" t="e">
        <f>IF(#REF!="Yes","H",IF($B93="","",IF(AND($C93&lt;=#REF!,$D93&gt;=#REF!),IF($G93="","x","y"),"")))</f>
        <v>#REF!</v>
      </c>
      <c r="AF93" s="270" t="e">
        <f>IF(#REF!="Yes","H",IF($B93="","",IF(AND($C93&lt;=#REF!,$D93&gt;=#REF!),IF($G93="","x","y"),"")))</f>
        <v>#REF!</v>
      </c>
      <c r="AG93" s="270" t="e">
        <f>IF(#REF!="Yes","H",IF($B93="","",IF(AND($C93&lt;=#REF!,$D93&gt;=#REF!),IF($G93="","x","y"),"")))</f>
        <v>#REF!</v>
      </c>
      <c r="AH93" s="271" t="e">
        <f>IF(#REF!="Yes","H",IF($B93="","",IF(AND($C93&lt;=#REF!,$D93&gt;=#REF!),IF($G93="","x","y"),"")))</f>
        <v>#REF!</v>
      </c>
      <c r="AI93" s="272" t="e">
        <f>IF(#REF!="Yes","H",IF($B93="","",IF(AND($C93&lt;=#REF!,$D93&gt;=#REF!),IF($G93="","x","y"),"")))</f>
        <v>#REF!</v>
      </c>
      <c r="AJ93" s="270" t="e">
        <f>IF(#REF!="Yes","H",IF($B93="","",IF(AND($C93&lt;=#REF!,$D93&gt;=#REF!),IF($G93="","x","y"),"")))</f>
        <v>#REF!</v>
      </c>
      <c r="AK93" s="270" t="e">
        <f>IF(#REF!="Yes","H",IF($B93="","",IF(AND($C93&lt;=#REF!,$D93&gt;=#REF!),IF($G93="","x","y"),"")))</f>
        <v>#REF!</v>
      </c>
      <c r="AL93" s="270" t="e">
        <f>IF(#REF!="Yes","H",IF($B93="","",IF(AND($C93&lt;=#REF!,$D93&gt;=#REF!),IF($G93="","x","y"),"")))</f>
        <v>#REF!</v>
      </c>
      <c r="AM93" s="273" t="e">
        <f>IF(#REF!="Yes","H",IF($B93="","",IF(AND($C93&lt;=#REF!,$D93&gt;=#REF!),IF($G93="","x","y"),"")))</f>
        <v>#REF!</v>
      </c>
      <c r="AN93" s="274" t="e">
        <f>IF(#REF!="Yes","H",IF($B93="","",IF(AND($C93&lt;=#REF!,$D93&gt;=#REF!),IF($G93="","x","y"),"")))</f>
        <v>#REF!</v>
      </c>
      <c r="AO93" s="270" t="e">
        <f>IF(#REF!="Yes","H",IF($B93="","",IF(AND($C93&lt;=#REF!,$D93&gt;=#REF!),IF($G93="","x","y"),"")))</f>
        <v>#REF!</v>
      </c>
      <c r="AP93" s="270" t="e">
        <f>IF(#REF!="Yes","H",IF($B93="","",IF(AND($C93&lt;=#REF!,$D93&gt;=#REF!),IF($G93="","x","y"),"")))</f>
        <v>#REF!</v>
      </c>
      <c r="AQ93" s="270" t="e">
        <f>IF(#REF!="Yes","H",IF($B93="","",IF(AND($C93&lt;=#REF!,$D93&gt;=#REF!),IF($G93="","x","y"),"")))</f>
        <v>#REF!</v>
      </c>
      <c r="AR93" s="271" t="e">
        <f>IF(#REF!="Yes","H",IF($B93="","",IF(AND($C93&lt;=#REF!,$D93&gt;=#REF!),IF($G93="","x","y"),"")))</f>
        <v>#REF!</v>
      </c>
      <c r="AS93" s="272" t="e">
        <f>IF(#REF!="Yes","H",IF($B93="","",IF(AND($C93&lt;=#REF!,$D93&gt;=#REF!),IF($G93="","x","y"),"")))</f>
        <v>#REF!</v>
      </c>
      <c r="AT93" s="270" t="e">
        <f>IF(#REF!="Yes","H",IF($B93="","",IF(AND($C93&lt;=#REF!,$D93&gt;=#REF!),IF($G93="","x","y"),"")))</f>
        <v>#REF!</v>
      </c>
      <c r="AU93" s="270" t="e">
        <f>IF(#REF!="Yes","H",IF($B93="","",IF(AND($C93&lt;=#REF!,$D93&gt;=#REF!),IF($G93="","x","y"),"")))</f>
        <v>#REF!</v>
      </c>
      <c r="AV93" s="270" t="e">
        <f>IF(#REF!="Yes","H",IF($B93="","",IF(AND($C93&lt;=#REF!,$D93&gt;=#REF!),IF($G93="","x","y"),"")))</f>
        <v>#REF!</v>
      </c>
      <c r="AW93" s="273" t="e">
        <f>IF(#REF!="Yes","H",IF($B93="","",IF(AND($C93&lt;=#REF!,$D93&gt;=#REF!),IF($G93="","x","y"),"")))</f>
        <v>#REF!</v>
      </c>
      <c r="AX93" s="274" t="e">
        <f>IF(#REF!="Yes","H",IF($B93="","",IF(AND($C93&lt;=#REF!,$D93&gt;=#REF!),IF($G93="","x","y"),"")))</f>
        <v>#REF!</v>
      </c>
      <c r="AY93" s="270" t="e">
        <f>IF(#REF!="Yes","H",IF($B93="","",IF(AND($C93&lt;=#REF!,$D93&gt;=#REF!),IF($G93="","x","y"),"")))</f>
        <v>#REF!</v>
      </c>
      <c r="AZ93" s="270" t="e">
        <f>IF(#REF!="Yes","H",IF($B93="","",IF(AND($C93&lt;=#REF!,$D93&gt;=#REF!),IF($G93="","x","y"),"")))</f>
        <v>#REF!</v>
      </c>
      <c r="BA93" s="270" t="e">
        <f>IF(#REF!="Yes","H",IF($B93="","",IF(AND($C93&lt;=#REF!,$D93&gt;=#REF!),IF($G93="","x","y"),"")))</f>
        <v>#REF!</v>
      </c>
      <c r="BB93" s="271" t="e">
        <f>IF(#REF!="Yes","H",IF($B93="","",IF(AND($C93&lt;=#REF!,$D93&gt;=#REF!),IF($G93="","x","y"),"")))</f>
        <v>#REF!</v>
      </c>
      <c r="BC93" s="272" t="e">
        <f>IF(#REF!="Yes","H",IF($B93="","",IF(AND($C93&lt;=#REF!,$D93&gt;=#REF!),IF($G93="","x","y"),"")))</f>
        <v>#REF!</v>
      </c>
      <c r="BD93" s="270" t="e">
        <f>IF(#REF!="Yes","H",IF($B93="","",IF(AND($C93&lt;=#REF!,$D93&gt;=#REF!),IF($G93="","x","y"),"")))</f>
        <v>#REF!</v>
      </c>
      <c r="BE93" s="270" t="e">
        <f>IF(#REF!="Yes","H",IF($B93="","",IF(AND($C93&lt;=#REF!,$D93&gt;=#REF!),IF($G93="","x","y"),"")))</f>
        <v>#REF!</v>
      </c>
      <c r="BF93" s="270" t="e">
        <f>IF(#REF!="Yes","H",IF($B93="","",IF(AND($C93&lt;=#REF!,$D93&gt;=#REF!),IF($G93="","x","y"),"")))</f>
        <v>#REF!</v>
      </c>
      <c r="BG93" s="273" t="e">
        <f>IF(#REF!="Yes","H",IF($B93="","",IF(AND($C93&lt;=#REF!,$D93&gt;=#REF!),IF($G93="","x","y"),"")))</f>
        <v>#REF!</v>
      </c>
      <c r="BH93" s="274" t="e">
        <f>IF(#REF!="Yes","H",IF($B93="","",IF(AND($C93&lt;=#REF!,$D93&gt;=#REF!),IF($G93="","x","y"),"")))</f>
        <v>#REF!</v>
      </c>
      <c r="BI93" s="270" t="e">
        <f>IF(#REF!="Yes","H",IF($B93="","",IF(AND($C93&lt;=#REF!,$D93&gt;=#REF!),IF($G93="","x","y"),"")))</f>
        <v>#REF!</v>
      </c>
      <c r="BJ93" s="270" t="e">
        <f>IF(#REF!="Yes","H",IF($B93="","",IF(AND($C93&lt;=#REF!,$D93&gt;=#REF!),IF($G93="","x","y"),"")))</f>
        <v>#REF!</v>
      </c>
      <c r="BK93" s="270" t="e">
        <f>IF(#REF!="Yes","H",IF($B93="","",IF(AND($C93&lt;=#REF!,$D93&gt;=#REF!),IF($G93="","x","y"),"")))</f>
        <v>#REF!</v>
      </c>
      <c r="BL93" s="271" t="e">
        <f>IF(#REF!="Yes","H",IF($B93="","",IF(AND($C93&lt;=#REF!,$D93&gt;=#REF!),IF($G93="","x","y"),"")))</f>
        <v>#REF!</v>
      </c>
      <c r="BM93" s="272" t="e">
        <f>IF(#REF!="Yes","H",IF($B93="","",IF(AND($C93&lt;=#REF!,$D93&gt;=#REF!),IF($G93="","x","y"),"")))</f>
        <v>#REF!</v>
      </c>
      <c r="BN93" s="270" t="e">
        <f>IF(#REF!="Yes","H",IF($B93="","",IF(AND($C93&lt;=#REF!,$D93&gt;=#REF!),IF($G93="","x","y"),"")))</f>
        <v>#REF!</v>
      </c>
      <c r="BO93" s="270" t="e">
        <f>IF(#REF!="Yes","H",IF($B93="","",IF(AND($C93&lt;=#REF!,$D93&gt;=#REF!),IF($G93="","x","y"),"")))</f>
        <v>#REF!</v>
      </c>
      <c r="BP93" s="270" t="e">
        <f>IF(#REF!="Yes","H",IF($B93="","",IF(AND($C93&lt;=#REF!,$D93&gt;=#REF!),IF($G93="","x","y"),"")))</f>
        <v>#REF!</v>
      </c>
      <c r="BQ93" s="273" t="e">
        <f>IF(#REF!="Yes","H",IF($B93="","",IF(AND($C93&lt;=#REF!,$D93&gt;=#REF!),IF($G93="","x","y"),"")))</f>
        <v>#REF!</v>
      </c>
      <c r="BR93" s="274" t="e">
        <f>IF(#REF!="Yes","H",IF($B93="","",IF(AND($C93&lt;=#REF!,$D93&gt;=#REF!),IF($G93="","x","y"),"")))</f>
        <v>#REF!</v>
      </c>
      <c r="BS93" s="270" t="e">
        <f>IF(#REF!="Yes","H",IF($B93="","",IF(AND($C93&lt;=#REF!,$D93&gt;=#REF!),IF($G93="","x","y"),"")))</f>
        <v>#REF!</v>
      </c>
      <c r="BT93" s="270" t="e">
        <f>IF(#REF!="Yes","H",IF($B93="","",IF(AND($C93&lt;=#REF!,$D93&gt;=#REF!),IF($G93="","x","y"),"")))</f>
        <v>#REF!</v>
      </c>
      <c r="BU93" s="270" t="e">
        <f>IF(#REF!="Yes","H",IF($B93="","",IF(AND($C93&lt;=#REF!,$D93&gt;=#REF!),IF($G93="","x","y"),"")))</f>
        <v>#REF!</v>
      </c>
      <c r="BV93" s="271" t="e">
        <f>IF(#REF!="Yes","H",IF($B93="","",IF(AND($C93&lt;=#REF!,$D93&gt;=#REF!),IF($G93="","x","y"),"")))</f>
        <v>#REF!</v>
      </c>
      <c r="BW93" s="272" t="e">
        <f>IF(#REF!="Yes","H",IF($B93="","",IF(AND($C93&lt;=#REF!,$D93&gt;=#REF!),IF($G93="","x","y"),"")))</f>
        <v>#REF!</v>
      </c>
      <c r="BX93" s="270" t="e">
        <f>IF(#REF!="Yes","H",IF($B93="","",IF(AND($C93&lt;=#REF!,$D93&gt;=#REF!),IF($G93="","x","y"),"")))</f>
        <v>#REF!</v>
      </c>
      <c r="BY93" s="270" t="e">
        <f>IF(#REF!="Yes","H",IF($B93="","",IF(AND($C93&lt;=#REF!,$D93&gt;=#REF!),IF($G93="","x","y"),"")))</f>
        <v>#REF!</v>
      </c>
      <c r="BZ93" s="270" t="e">
        <f>IF(#REF!="Yes","H",IF($B93="","",IF(AND($C93&lt;=#REF!,$D93&gt;=#REF!),IF($G93="","x","y"),"")))</f>
        <v>#REF!</v>
      </c>
      <c r="CA93" s="273" t="e">
        <f>IF(#REF!="Yes","H",IF($B93="","",IF(AND($C93&lt;=#REF!,$D93&gt;=#REF!),IF($G93="","x","y"),"")))</f>
        <v>#REF!</v>
      </c>
    </row>
    <row r="94" spans="2:79" ht="15" customHeight="1">
      <c r="B94" s="139"/>
      <c r="C94" s="260"/>
      <c r="D94" s="260"/>
      <c r="E94" s="223"/>
      <c r="F94" s="224"/>
      <c r="G94" s="275"/>
      <c r="H94" s="209"/>
      <c r="I94" s="211"/>
      <c r="J94" s="269" t="e">
        <f>IF(#REF!="Yes","H",IF($B94="","",IF(AND($C94&lt;=#REF!,$D94&gt;=#REF!),IF($G94="","x","y"),"")))</f>
        <v>#REF!</v>
      </c>
      <c r="K94" s="270" t="e">
        <f>IF(#REF!="Yes","H",IF($B94="","",IF(AND($C94&lt;=#REF!,$D94&gt;=#REF!),IF($G94="","x","y"),"")))</f>
        <v>#REF!</v>
      </c>
      <c r="L94" s="270" t="e">
        <f>IF(#REF!="Yes","H",IF($B94="","",IF(AND($C94&lt;=#REF!,$D94&gt;=#REF!),IF($G94="","x","y"),"")))</f>
        <v>#REF!</v>
      </c>
      <c r="M94" s="270" t="e">
        <f>IF(#REF!="Yes","H",IF($B94="","",IF(AND($C94&lt;=#REF!,$D94&gt;=#REF!),IF($G94="","x","y"),"")))</f>
        <v>#REF!</v>
      </c>
      <c r="N94" s="271" t="e">
        <f>IF(#REF!="Yes","H",IF($B94="","",IF(AND($C94&lt;=#REF!,$D94&gt;=#REF!),IF($G94="","x","y"),"")))</f>
        <v>#REF!</v>
      </c>
      <c r="O94" s="272" t="e">
        <f>IF(#REF!="Yes","H",IF($B94="","",IF(AND($C94&lt;=#REF!,$D94&gt;=#REF!),IF($G94="","x","y"),"")))</f>
        <v>#REF!</v>
      </c>
      <c r="P94" s="270" t="e">
        <f>IF(#REF!="Yes","H",IF($B94="","",IF(AND($C94&lt;=#REF!,$D94&gt;=#REF!),IF($G94="","x","y"),"")))</f>
        <v>#REF!</v>
      </c>
      <c r="Q94" s="270" t="e">
        <f>IF(#REF!="Yes","H",IF($B94="","",IF(AND($C94&lt;=#REF!,$D94&gt;=#REF!),IF($G94="","x","y"),"")))</f>
        <v>#REF!</v>
      </c>
      <c r="R94" s="270" t="e">
        <f>IF(#REF!="Yes","H",IF($B94="","",IF(AND($C94&lt;=#REF!,$D94&gt;=#REF!),IF($G94="","x","y"),"")))</f>
        <v>#REF!</v>
      </c>
      <c r="S94" s="273" t="e">
        <f>IF(#REF!="Yes","H",IF($B94="","",IF(AND($C94&lt;=#REF!,$D94&gt;=#REF!),IF($G94="","x","y"),"")))</f>
        <v>#REF!</v>
      </c>
      <c r="T94" s="274" t="e">
        <f>IF(#REF!="Yes","H",IF($B94="","",IF(AND($C94&lt;=#REF!,$D94&gt;=#REF!),IF($G94="","x","y"),"")))</f>
        <v>#REF!</v>
      </c>
      <c r="U94" s="270" t="e">
        <f>IF(#REF!="Yes","H",IF($B94="","",IF(AND($C94&lt;=#REF!,$D94&gt;=#REF!),IF($G94="","x","y"),"")))</f>
        <v>#REF!</v>
      </c>
      <c r="V94" s="270" t="e">
        <f>IF(#REF!="Yes","H",IF($B94="","",IF(AND($C94&lt;=#REF!,$D94&gt;=#REF!),IF($G94="","x","y"),"")))</f>
        <v>#REF!</v>
      </c>
      <c r="W94" s="270" t="e">
        <f>IF(#REF!="Yes","H",IF($B94="","",IF(AND($C94&lt;=#REF!,$D94&gt;=#REF!),IF($G94="","x","y"),"")))</f>
        <v>#REF!</v>
      </c>
      <c r="X94" s="271" t="e">
        <f>IF(#REF!="Yes","H",IF($B94="","",IF(AND($C94&lt;=#REF!,$D94&gt;=#REF!),IF($G94="","x","y"),"")))</f>
        <v>#REF!</v>
      </c>
      <c r="Y94" s="272" t="e">
        <f>IF(#REF!="Yes","H",IF($B94="","",IF(AND($C94&lt;=#REF!,$D94&gt;=#REF!),IF($G94="","x","y"),"")))</f>
        <v>#REF!</v>
      </c>
      <c r="Z94" s="270" t="e">
        <f>IF(#REF!="Yes","H",IF($B94="","",IF(AND($C94&lt;=#REF!,$D94&gt;=#REF!),IF($G94="","x","y"),"")))</f>
        <v>#REF!</v>
      </c>
      <c r="AA94" s="270" t="e">
        <f>IF(#REF!="Yes","H",IF($B94="","",IF(AND($C94&lt;=#REF!,$D94&gt;=#REF!),IF($G94="","x","y"),"")))</f>
        <v>#REF!</v>
      </c>
      <c r="AB94" s="270" t="e">
        <f>IF(#REF!="Yes","H",IF($B94="","",IF(AND($C94&lt;=#REF!,$D94&gt;=#REF!),IF($G94="","x","y"),"")))</f>
        <v>#REF!</v>
      </c>
      <c r="AC94" s="273" t="e">
        <f>IF(#REF!="Yes","H",IF($B94="","",IF(AND($C94&lt;=#REF!,$D94&gt;=#REF!),IF($G94="","x","y"),"")))</f>
        <v>#REF!</v>
      </c>
      <c r="AD94" s="274" t="e">
        <f>IF(#REF!="Yes","H",IF($B94="","",IF(AND($C94&lt;=#REF!,$D94&gt;=#REF!),IF($G94="","x","y"),"")))</f>
        <v>#REF!</v>
      </c>
      <c r="AE94" s="270" t="e">
        <f>IF(#REF!="Yes","H",IF($B94="","",IF(AND($C94&lt;=#REF!,$D94&gt;=#REF!),IF($G94="","x","y"),"")))</f>
        <v>#REF!</v>
      </c>
      <c r="AF94" s="270" t="e">
        <f>IF(#REF!="Yes","H",IF($B94="","",IF(AND($C94&lt;=#REF!,$D94&gt;=#REF!),IF($G94="","x","y"),"")))</f>
        <v>#REF!</v>
      </c>
      <c r="AG94" s="270" t="e">
        <f>IF(#REF!="Yes","H",IF($B94="","",IF(AND($C94&lt;=#REF!,$D94&gt;=#REF!),IF($G94="","x","y"),"")))</f>
        <v>#REF!</v>
      </c>
      <c r="AH94" s="271" t="e">
        <f>IF(#REF!="Yes","H",IF($B94="","",IF(AND($C94&lt;=#REF!,$D94&gt;=#REF!),IF($G94="","x","y"),"")))</f>
        <v>#REF!</v>
      </c>
      <c r="AI94" s="272" t="e">
        <f>IF(#REF!="Yes","H",IF($B94="","",IF(AND($C94&lt;=#REF!,$D94&gt;=#REF!),IF($G94="","x","y"),"")))</f>
        <v>#REF!</v>
      </c>
      <c r="AJ94" s="270" t="e">
        <f>IF(#REF!="Yes","H",IF($B94="","",IF(AND($C94&lt;=#REF!,$D94&gt;=#REF!),IF($G94="","x","y"),"")))</f>
        <v>#REF!</v>
      </c>
      <c r="AK94" s="270" t="e">
        <f>IF(#REF!="Yes","H",IF($B94="","",IF(AND($C94&lt;=#REF!,$D94&gt;=#REF!),IF($G94="","x","y"),"")))</f>
        <v>#REF!</v>
      </c>
      <c r="AL94" s="270" t="e">
        <f>IF(#REF!="Yes","H",IF($B94="","",IF(AND($C94&lt;=#REF!,$D94&gt;=#REF!),IF($G94="","x","y"),"")))</f>
        <v>#REF!</v>
      </c>
      <c r="AM94" s="273" t="e">
        <f>IF(#REF!="Yes","H",IF($B94="","",IF(AND($C94&lt;=#REF!,$D94&gt;=#REF!),IF($G94="","x","y"),"")))</f>
        <v>#REF!</v>
      </c>
      <c r="AN94" s="274" t="e">
        <f>IF(#REF!="Yes","H",IF($B94="","",IF(AND($C94&lt;=#REF!,$D94&gt;=#REF!),IF($G94="","x","y"),"")))</f>
        <v>#REF!</v>
      </c>
      <c r="AO94" s="270" t="e">
        <f>IF(#REF!="Yes","H",IF($B94="","",IF(AND($C94&lt;=#REF!,$D94&gt;=#REF!),IF($G94="","x","y"),"")))</f>
        <v>#REF!</v>
      </c>
      <c r="AP94" s="270" t="e">
        <f>IF(#REF!="Yes","H",IF($B94="","",IF(AND($C94&lt;=#REF!,$D94&gt;=#REF!),IF($G94="","x","y"),"")))</f>
        <v>#REF!</v>
      </c>
      <c r="AQ94" s="270" t="e">
        <f>IF(#REF!="Yes","H",IF($B94="","",IF(AND($C94&lt;=#REF!,$D94&gt;=#REF!),IF($G94="","x","y"),"")))</f>
        <v>#REF!</v>
      </c>
      <c r="AR94" s="271" t="e">
        <f>IF(#REF!="Yes","H",IF($B94="","",IF(AND($C94&lt;=#REF!,$D94&gt;=#REF!),IF($G94="","x","y"),"")))</f>
        <v>#REF!</v>
      </c>
      <c r="AS94" s="272" t="e">
        <f>IF(#REF!="Yes","H",IF($B94="","",IF(AND($C94&lt;=#REF!,$D94&gt;=#REF!),IF($G94="","x","y"),"")))</f>
        <v>#REF!</v>
      </c>
      <c r="AT94" s="270" t="e">
        <f>IF(#REF!="Yes","H",IF($B94="","",IF(AND($C94&lt;=#REF!,$D94&gt;=#REF!),IF($G94="","x","y"),"")))</f>
        <v>#REF!</v>
      </c>
      <c r="AU94" s="270" t="e">
        <f>IF(#REF!="Yes","H",IF($B94="","",IF(AND($C94&lt;=#REF!,$D94&gt;=#REF!),IF($G94="","x","y"),"")))</f>
        <v>#REF!</v>
      </c>
      <c r="AV94" s="270" t="e">
        <f>IF(#REF!="Yes","H",IF($B94="","",IF(AND($C94&lt;=#REF!,$D94&gt;=#REF!),IF($G94="","x","y"),"")))</f>
        <v>#REF!</v>
      </c>
      <c r="AW94" s="273" t="e">
        <f>IF(#REF!="Yes","H",IF($B94="","",IF(AND($C94&lt;=#REF!,$D94&gt;=#REF!),IF($G94="","x","y"),"")))</f>
        <v>#REF!</v>
      </c>
      <c r="AX94" s="274" t="e">
        <f>IF(#REF!="Yes","H",IF($B94="","",IF(AND($C94&lt;=#REF!,$D94&gt;=#REF!),IF($G94="","x","y"),"")))</f>
        <v>#REF!</v>
      </c>
      <c r="AY94" s="270" t="e">
        <f>IF(#REF!="Yes","H",IF($B94="","",IF(AND($C94&lt;=#REF!,$D94&gt;=#REF!),IF($G94="","x","y"),"")))</f>
        <v>#REF!</v>
      </c>
      <c r="AZ94" s="270" t="e">
        <f>IF(#REF!="Yes","H",IF($B94="","",IF(AND($C94&lt;=#REF!,$D94&gt;=#REF!),IF($G94="","x","y"),"")))</f>
        <v>#REF!</v>
      </c>
      <c r="BA94" s="270" t="e">
        <f>IF(#REF!="Yes","H",IF($B94="","",IF(AND($C94&lt;=#REF!,$D94&gt;=#REF!),IF($G94="","x","y"),"")))</f>
        <v>#REF!</v>
      </c>
      <c r="BB94" s="271" t="e">
        <f>IF(#REF!="Yes","H",IF($B94="","",IF(AND($C94&lt;=#REF!,$D94&gt;=#REF!),IF($G94="","x","y"),"")))</f>
        <v>#REF!</v>
      </c>
      <c r="BC94" s="272" t="e">
        <f>IF(#REF!="Yes","H",IF($B94="","",IF(AND($C94&lt;=#REF!,$D94&gt;=#REF!),IF($G94="","x","y"),"")))</f>
        <v>#REF!</v>
      </c>
      <c r="BD94" s="270" t="e">
        <f>IF(#REF!="Yes","H",IF($B94="","",IF(AND($C94&lt;=#REF!,$D94&gt;=#REF!),IF($G94="","x","y"),"")))</f>
        <v>#REF!</v>
      </c>
      <c r="BE94" s="270" t="e">
        <f>IF(#REF!="Yes","H",IF($B94="","",IF(AND($C94&lt;=#REF!,$D94&gt;=#REF!),IF($G94="","x","y"),"")))</f>
        <v>#REF!</v>
      </c>
      <c r="BF94" s="270" t="e">
        <f>IF(#REF!="Yes","H",IF($B94="","",IF(AND($C94&lt;=#REF!,$D94&gt;=#REF!),IF($G94="","x","y"),"")))</f>
        <v>#REF!</v>
      </c>
      <c r="BG94" s="273" t="e">
        <f>IF(#REF!="Yes","H",IF($B94="","",IF(AND($C94&lt;=#REF!,$D94&gt;=#REF!),IF($G94="","x","y"),"")))</f>
        <v>#REF!</v>
      </c>
      <c r="BH94" s="274" t="e">
        <f>IF(#REF!="Yes","H",IF($B94="","",IF(AND($C94&lt;=#REF!,$D94&gt;=#REF!),IF($G94="","x","y"),"")))</f>
        <v>#REF!</v>
      </c>
      <c r="BI94" s="270" t="e">
        <f>IF(#REF!="Yes","H",IF($B94="","",IF(AND($C94&lt;=#REF!,$D94&gt;=#REF!),IF($G94="","x","y"),"")))</f>
        <v>#REF!</v>
      </c>
      <c r="BJ94" s="270" t="e">
        <f>IF(#REF!="Yes","H",IF($B94="","",IF(AND($C94&lt;=#REF!,$D94&gt;=#REF!),IF($G94="","x","y"),"")))</f>
        <v>#REF!</v>
      </c>
      <c r="BK94" s="270" t="e">
        <f>IF(#REF!="Yes","H",IF($B94="","",IF(AND($C94&lt;=#REF!,$D94&gt;=#REF!),IF($G94="","x","y"),"")))</f>
        <v>#REF!</v>
      </c>
      <c r="BL94" s="271" t="e">
        <f>IF(#REF!="Yes","H",IF($B94="","",IF(AND($C94&lt;=#REF!,$D94&gt;=#REF!),IF($G94="","x","y"),"")))</f>
        <v>#REF!</v>
      </c>
      <c r="BM94" s="272" t="e">
        <f>IF(#REF!="Yes","H",IF($B94="","",IF(AND($C94&lt;=#REF!,$D94&gt;=#REF!),IF($G94="","x","y"),"")))</f>
        <v>#REF!</v>
      </c>
      <c r="BN94" s="270" t="e">
        <f>IF(#REF!="Yes","H",IF($B94="","",IF(AND($C94&lt;=#REF!,$D94&gt;=#REF!),IF($G94="","x","y"),"")))</f>
        <v>#REF!</v>
      </c>
      <c r="BO94" s="270" t="e">
        <f>IF(#REF!="Yes","H",IF($B94="","",IF(AND($C94&lt;=#REF!,$D94&gt;=#REF!),IF($G94="","x","y"),"")))</f>
        <v>#REF!</v>
      </c>
      <c r="BP94" s="270" t="e">
        <f>IF(#REF!="Yes","H",IF($B94="","",IF(AND($C94&lt;=#REF!,$D94&gt;=#REF!),IF($G94="","x","y"),"")))</f>
        <v>#REF!</v>
      </c>
      <c r="BQ94" s="273" t="e">
        <f>IF(#REF!="Yes","H",IF($B94="","",IF(AND($C94&lt;=#REF!,$D94&gt;=#REF!),IF($G94="","x","y"),"")))</f>
        <v>#REF!</v>
      </c>
      <c r="BR94" s="274" t="e">
        <f>IF(#REF!="Yes","H",IF($B94="","",IF(AND($C94&lt;=#REF!,$D94&gt;=#REF!),IF($G94="","x","y"),"")))</f>
        <v>#REF!</v>
      </c>
      <c r="BS94" s="270" t="e">
        <f>IF(#REF!="Yes","H",IF($B94="","",IF(AND($C94&lt;=#REF!,$D94&gt;=#REF!),IF($G94="","x","y"),"")))</f>
        <v>#REF!</v>
      </c>
      <c r="BT94" s="270" t="e">
        <f>IF(#REF!="Yes","H",IF($B94="","",IF(AND($C94&lt;=#REF!,$D94&gt;=#REF!),IF($G94="","x","y"),"")))</f>
        <v>#REF!</v>
      </c>
      <c r="BU94" s="270" t="e">
        <f>IF(#REF!="Yes","H",IF($B94="","",IF(AND($C94&lt;=#REF!,$D94&gt;=#REF!),IF($G94="","x","y"),"")))</f>
        <v>#REF!</v>
      </c>
      <c r="BV94" s="271" t="e">
        <f>IF(#REF!="Yes","H",IF($B94="","",IF(AND($C94&lt;=#REF!,$D94&gt;=#REF!),IF($G94="","x","y"),"")))</f>
        <v>#REF!</v>
      </c>
      <c r="BW94" s="272" t="e">
        <f>IF(#REF!="Yes","H",IF($B94="","",IF(AND($C94&lt;=#REF!,$D94&gt;=#REF!),IF($G94="","x","y"),"")))</f>
        <v>#REF!</v>
      </c>
      <c r="BX94" s="270" t="e">
        <f>IF(#REF!="Yes","H",IF($B94="","",IF(AND($C94&lt;=#REF!,$D94&gt;=#REF!),IF($G94="","x","y"),"")))</f>
        <v>#REF!</v>
      </c>
      <c r="BY94" s="270" t="e">
        <f>IF(#REF!="Yes","H",IF($B94="","",IF(AND($C94&lt;=#REF!,$D94&gt;=#REF!),IF($G94="","x","y"),"")))</f>
        <v>#REF!</v>
      </c>
      <c r="BZ94" s="270" t="e">
        <f>IF(#REF!="Yes","H",IF($B94="","",IF(AND($C94&lt;=#REF!,$D94&gt;=#REF!),IF($G94="","x","y"),"")))</f>
        <v>#REF!</v>
      </c>
      <c r="CA94" s="273" t="e">
        <f>IF(#REF!="Yes","H",IF($B94="","",IF(AND($C94&lt;=#REF!,$D94&gt;=#REF!),IF($G94="","x","y"),"")))</f>
        <v>#REF!</v>
      </c>
    </row>
    <row r="95" spans="2:79" ht="15" customHeight="1">
      <c r="B95" s="279"/>
      <c r="C95" s="280"/>
      <c r="D95" s="280"/>
      <c r="E95" s="223"/>
      <c r="F95" s="224"/>
      <c r="G95" s="275"/>
      <c r="H95" s="209"/>
      <c r="I95" s="211"/>
      <c r="J95" s="269" t="e">
        <f>IF(#REF!="Yes","H",IF($B95="","",IF(AND($C95&lt;=#REF!,$D95&gt;=#REF!),IF($G95="","x","y"),"")))</f>
        <v>#REF!</v>
      </c>
      <c r="K95" s="270" t="e">
        <f>IF(#REF!="Yes","H",IF($B95="","",IF(AND($C95&lt;=#REF!,$D95&gt;=#REF!),IF($G95="","x","y"),"")))</f>
        <v>#REF!</v>
      </c>
      <c r="L95" s="270" t="e">
        <f>IF(#REF!="Yes","H",IF($B95="","",IF(AND($C95&lt;=#REF!,$D95&gt;=#REF!),IF($G95="","x","y"),"")))</f>
        <v>#REF!</v>
      </c>
      <c r="M95" s="270" t="e">
        <f>IF(#REF!="Yes","H",IF($B95="","",IF(AND($C95&lt;=#REF!,$D95&gt;=#REF!),IF($G95="","x","y"),"")))</f>
        <v>#REF!</v>
      </c>
      <c r="N95" s="271" t="e">
        <f>IF(#REF!="Yes","H",IF($B95="","",IF(AND($C95&lt;=#REF!,$D95&gt;=#REF!),IF($G95="","x","y"),"")))</f>
        <v>#REF!</v>
      </c>
      <c r="O95" s="272" t="e">
        <f>IF(#REF!="Yes","H",IF($B95="","",IF(AND($C95&lt;=#REF!,$D95&gt;=#REF!),IF($G95="","x","y"),"")))</f>
        <v>#REF!</v>
      </c>
      <c r="P95" s="270" t="e">
        <f>IF(#REF!="Yes","H",IF($B95="","",IF(AND($C95&lt;=#REF!,$D95&gt;=#REF!),IF($G95="","x","y"),"")))</f>
        <v>#REF!</v>
      </c>
      <c r="Q95" s="270" t="e">
        <f>IF(#REF!="Yes","H",IF($B95="","",IF(AND($C95&lt;=#REF!,$D95&gt;=#REF!),IF($G95="","x","y"),"")))</f>
        <v>#REF!</v>
      </c>
      <c r="R95" s="270" t="e">
        <f>IF(#REF!="Yes","H",IF($B95="","",IF(AND($C95&lt;=#REF!,$D95&gt;=#REF!),IF($G95="","x","y"),"")))</f>
        <v>#REF!</v>
      </c>
      <c r="S95" s="273" t="e">
        <f>IF(#REF!="Yes","H",IF($B95="","",IF(AND($C95&lt;=#REF!,$D95&gt;=#REF!),IF($G95="","x","y"),"")))</f>
        <v>#REF!</v>
      </c>
      <c r="T95" s="274" t="e">
        <f>IF(#REF!="Yes","H",IF($B95="","",IF(AND($C95&lt;=#REF!,$D95&gt;=#REF!),IF($G95="","x","y"),"")))</f>
        <v>#REF!</v>
      </c>
      <c r="U95" s="270" t="e">
        <f>IF(#REF!="Yes","H",IF($B95="","",IF(AND($C95&lt;=#REF!,$D95&gt;=#REF!),IF($G95="","x","y"),"")))</f>
        <v>#REF!</v>
      </c>
      <c r="V95" s="270" t="e">
        <f>IF(#REF!="Yes","H",IF($B95="","",IF(AND($C95&lt;=#REF!,$D95&gt;=#REF!),IF($G95="","x","y"),"")))</f>
        <v>#REF!</v>
      </c>
      <c r="W95" s="270" t="e">
        <f>IF(#REF!="Yes","H",IF($B95="","",IF(AND($C95&lt;=#REF!,$D95&gt;=#REF!),IF($G95="","x","y"),"")))</f>
        <v>#REF!</v>
      </c>
      <c r="X95" s="271" t="e">
        <f>IF(#REF!="Yes","H",IF($B95="","",IF(AND($C95&lt;=#REF!,$D95&gt;=#REF!),IF($G95="","x","y"),"")))</f>
        <v>#REF!</v>
      </c>
      <c r="Y95" s="272" t="e">
        <f>IF(#REF!="Yes","H",IF($B95="","",IF(AND($C95&lt;=#REF!,$D95&gt;=#REF!),IF($G95="","x","y"),"")))</f>
        <v>#REF!</v>
      </c>
      <c r="Z95" s="270" t="e">
        <f>IF(#REF!="Yes","H",IF($B95="","",IF(AND($C95&lt;=#REF!,$D95&gt;=#REF!),IF($G95="","x","y"),"")))</f>
        <v>#REF!</v>
      </c>
      <c r="AA95" s="270" t="e">
        <f>IF(#REF!="Yes","H",IF($B95="","",IF(AND($C95&lt;=#REF!,$D95&gt;=#REF!),IF($G95="","x","y"),"")))</f>
        <v>#REF!</v>
      </c>
      <c r="AB95" s="270" t="e">
        <f>IF(#REF!="Yes","H",IF($B95="","",IF(AND($C95&lt;=#REF!,$D95&gt;=#REF!),IF($G95="","x","y"),"")))</f>
        <v>#REF!</v>
      </c>
      <c r="AC95" s="273" t="e">
        <f>IF(#REF!="Yes","H",IF($B95="","",IF(AND($C95&lt;=#REF!,$D95&gt;=#REF!),IF($G95="","x","y"),"")))</f>
        <v>#REF!</v>
      </c>
      <c r="AD95" s="274" t="e">
        <f>IF(#REF!="Yes","H",IF($B95="","",IF(AND($C95&lt;=#REF!,$D95&gt;=#REF!),IF($G95="","x","y"),"")))</f>
        <v>#REF!</v>
      </c>
      <c r="AE95" s="270" t="e">
        <f>IF(#REF!="Yes","H",IF($B95="","",IF(AND($C95&lt;=#REF!,$D95&gt;=#REF!),IF($G95="","x","y"),"")))</f>
        <v>#REF!</v>
      </c>
      <c r="AF95" s="270" t="e">
        <f>IF(#REF!="Yes","H",IF($B95="","",IF(AND($C95&lt;=#REF!,$D95&gt;=#REF!),IF($G95="","x","y"),"")))</f>
        <v>#REF!</v>
      </c>
      <c r="AG95" s="270" t="e">
        <f>IF(#REF!="Yes","H",IF($B95="","",IF(AND($C95&lt;=#REF!,$D95&gt;=#REF!),IF($G95="","x","y"),"")))</f>
        <v>#REF!</v>
      </c>
      <c r="AH95" s="271" t="e">
        <f>IF(#REF!="Yes","H",IF($B95="","",IF(AND($C95&lt;=#REF!,$D95&gt;=#REF!),IF($G95="","x","y"),"")))</f>
        <v>#REF!</v>
      </c>
      <c r="AI95" s="272" t="e">
        <f>IF(#REF!="Yes","H",IF($B95="","",IF(AND($C95&lt;=#REF!,$D95&gt;=#REF!),IF($G95="","x","y"),"")))</f>
        <v>#REF!</v>
      </c>
      <c r="AJ95" s="270" t="e">
        <f>IF(#REF!="Yes","H",IF($B95="","",IF(AND($C95&lt;=#REF!,$D95&gt;=#REF!),IF($G95="","x","y"),"")))</f>
        <v>#REF!</v>
      </c>
      <c r="AK95" s="270" t="e">
        <f>IF(#REF!="Yes","H",IF($B95="","",IF(AND($C95&lt;=#REF!,$D95&gt;=#REF!),IF($G95="","x","y"),"")))</f>
        <v>#REF!</v>
      </c>
      <c r="AL95" s="270" t="e">
        <f>IF(#REF!="Yes","H",IF($B95="","",IF(AND($C95&lt;=#REF!,$D95&gt;=#REF!),IF($G95="","x","y"),"")))</f>
        <v>#REF!</v>
      </c>
      <c r="AM95" s="273" t="e">
        <f>IF(#REF!="Yes","H",IF($B95="","",IF(AND($C95&lt;=#REF!,$D95&gt;=#REF!),IF($G95="","x","y"),"")))</f>
        <v>#REF!</v>
      </c>
      <c r="AN95" s="274" t="e">
        <f>IF(#REF!="Yes","H",IF($B95="","",IF(AND($C95&lt;=#REF!,$D95&gt;=#REF!),IF($G95="","x","y"),"")))</f>
        <v>#REF!</v>
      </c>
      <c r="AO95" s="270" t="e">
        <f>IF(#REF!="Yes","H",IF($B95="","",IF(AND($C95&lt;=#REF!,$D95&gt;=#REF!),IF($G95="","x","y"),"")))</f>
        <v>#REF!</v>
      </c>
      <c r="AP95" s="270" t="e">
        <f>IF(#REF!="Yes","H",IF($B95="","",IF(AND($C95&lt;=#REF!,$D95&gt;=#REF!),IF($G95="","x","y"),"")))</f>
        <v>#REF!</v>
      </c>
      <c r="AQ95" s="270" t="e">
        <f>IF(#REF!="Yes","H",IF($B95="","",IF(AND($C95&lt;=#REF!,$D95&gt;=#REF!),IF($G95="","x","y"),"")))</f>
        <v>#REF!</v>
      </c>
      <c r="AR95" s="271" t="e">
        <f>IF(#REF!="Yes","H",IF($B95="","",IF(AND($C95&lt;=#REF!,$D95&gt;=#REF!),IF($G95="","x","y"),"")))</f>
        <v>#REF!</v>
      </c>
      <c r="AS95" s="272" t="e">
        <f>IF(#REF!="Yes","H",IF($B95="","",IF(AND($C95&lt;=#REF!,$D95&gt;=#REF!),IF($G95="","x","y"),"")))</f>
        <v>#REF!</v>
      </c>
      <c r="AT95" s="270" t="e">
        <f>IF(#REF!="Yes","H",IF($B95="","",IF(AND($C95&lt;=#REF!,$D95&gt;=#REF!),IF($G95="","x","y"),"")))</f>
        <v>#REF!</v>
      </c>
      <c r="AU95" s="270" t="e">
        <f>IF(#REF!="Yes","H",IF($B95="","",IF(AND($C95&lt;=#REF!,$D95&gt;=#REF!),IF($G95="","x","y"),"")))</f>
        <v>#REF!</v>
      </c>
      <c r="AV95" s="270" t="e">
        <f>IF(#REF!="Yes","H",IF($B95="","",IF(AND($C95&lt;=#REF!,$D95&gt;=#REF!),IF($G95="","x","y"),"")))</f>
        <v>#REF!</v>
      </c>
      <c r="AW95" s="273" t="e">
        <f>IF(#REF!="Yes","H",IF($B95="","",IF(AND($C95&lt;=#REF!,$D95&gt;=#REF!),IF($G95="","x","y"),"")))</f>
        <v>#REF!</v>
      </c>
      <c r="AX95" s="274" t="e">
        <f>IF(#REF!="Yes","H",IF($B95="","",IF(AND($C95&lt;=#REF!,$D95&gt;=#REF!),IF($G95="","x","y"),"")))</f>
        <v>#REF!</v>
      </c>
      <c r="AY95" s="270" t="e">
        <f>IF(#REF!="Yes","H",IF($B95="","",IF(AND($C95&lt;=#REF!,$D95&gt;=#REF!),IF($G95="","x","y"),"")))</f>
        <v>#REF!</v>
      </c>
      <c r="AZ95" s="270" t="e">
        <f>IF(#REF!="Yes","H",IF($B95="","",IF(AND($C95&lt;=#REF!,$D95&gt;=#REF!),IF($G95="","x","y"),"")))</f>
        <v>#REF!</v>
      </c>
      <c r="BA95" s="270" t="e">
        <f>IF(#REF!="Yes","H",IF($B95="","",IF(AND($C95&lt;=#REF!,$D95&gt;=#REF!),IF($G95="","x","y"),"")))</f>
        <v>#REF!</v>
      </c>
      <c r="BB95" s="271" t="e">
        <f>IF(#REF!="Yes","H",IF($B95="","",IF(AND($C95&lt;=#REF!,$D95&gt;=#REF!),IF($G95="","x","y"),"")))</f>
        <v>#REF!</v>
      </c>
      <c r="BC95" s="272" t="e">
        <f>IF(#REF!="Yes","H",IF($B95="","",IF(AND($C95&lt;=#REF!,$D95&gt;=#REF!),IF($G95="","x","y"),"")))</f>
        <v>#REF!</v>
      </c>
      <c r="BD95" s="270" t="e">
        <f>IF(#REF!="Yes","H",IF($B95="","",IF(AND($C95&lt;=#REF!,$D95&gt;=#REF!),IF($G95="","x","y"),"")))</f>
        <v>#REF!</v>
      </c>
      <c r="BE95" s="270" t="e">
        <f>IF(#REF!="Yes","H",IF($B95="","",IF(AND($C95&lt;=#REF!,$D95&gt;=#REF!),IF($G95="","x","y"),"")))</f>
        <v>#REF!</v>
      </c>
      <c r="BF95" s="270" t="e">
        <f>IF(#REF!="Yes","H",IF($B95="","",IF(AND($C95&lt;=#REF!,$D95&gt;=#REF!),IF($G95="","x","y"),"")))</f>
        <v>#REF!</v>
      </c>
      <c r="BG95" s="273" t="e">
        <f>IF(#REF!="Yes","H",IF($B95="","",IF(AND($C95&lt;=#REF!,$D95&gt;=#REF!),IF($G95="","x","y"),"")))</f>
        <v>#REF!</v>
      </c>
      <c r="BH95" s="274" t="e">
        <f>IF(#REF!="Yes","H",IF($B95="","",IF(AND($C95&lt;=#REF!,$D95&gt;=#REF!),IF($G95="","x","y"),"")))</f>
        <v>#REF!</v>
      </c>
      <c r="BI95" s="270" t="e">
        <f>IF(#REF!="Yes","H",IF($B95="","",IF(AND($C95&lt;=#REF!,$D95&gt;=#REF!),IF($G95="","x","y"),"")))</f>
        <v>#REF!</v>
      </c>
      <c r="BJ95" s="270" t="e">
        <f>IF(#REF!="Yes","H",IF($B95="","",IF(AND($C95&lt;=#REF!,$D95&gt;=#REF!),IF($G95="","x","y"),"")))</f>
        <v>#REF!</v>
      </c>
      <c r="BK95" s="270" t="e">
        <f>IF(#REF!="Yes","H",IF($B95="","",IF(AND($C95&lt;=#REF!,$D95&gt;=#REF!),IF($G95="","x","y"),"")))</f>
        <v>#REF!</v>
      </c>
      <c r="BL95" s="271" t="e">
        <f>IF(#REF!="Yes","H",IF($B95="","",IF(AND($C95&lt;=#REF!,$D95&gt;=#REF!),IF($G95="","x","y"),"")))</f>
        <v>#REF!</v>
      </c>
      <c r="BM95" s="272" t="e">
        <f>IF(#REF!="Yes","H",IF($B95="","",IF(AND($C95&lt;=#REF!,$D95&gt;=#REF!),IF($G95="","x","y"),"")))</f>
        <v>#REF!</v>
      </c>
      <c r="BN95" s="270" t="e">
        <f>IF(#REF!="Yes","H",IF($B95="","",IF(AND($C95&lt;=#REF!,$D95&gt;=#REF!),IF($G95="","x","y"),"")))</f>
        <v>#REF!</v>
      </c>
      <c r="BO95" s="270" t="e">
        <f>IF(#REF!="Yes","H",IF($B95="","",IF(AND($C95&lt;=#REF!,$D95&gt;=#REF!),IF($G95="","x","y"),"")))</f>
        <v>#REF!</v>
      </c>
      <c r="BP95" s="270" t="e">
        <f>IF(#REF!="Yes","H",IF($B95="","",IF(AND($C95&lt;=#REF!,$D95&gt;=#REF!),IF($G95="","x","y"),"")))</f>
        <v>#REF!</v>
      </c>
      <c r="BQ95" s="273" t="e">
        <f>IF(#REF!="Yes","H",IF($B95="","",IF(AND($C95&lt;=#REF!,$D95&gt;=#REF!),IF($G95="","x","y"),"")))</f>
        <v>#REF!</v>
      </c>
      <c r="BR95" s="274" t="e">
        <f>IF(#REF!="Yes","H",IF($B95="","",IF(AND($C95&lt;=#REF!,$D95&gt;=#REF!),IF($G95="","x","y"),"")))</f>
        <v>#REF!</v>
      </c>
      <c r="BS95" s="270" t="e">
        <f>IF(#REF!="Yes","H",IF($B95="","",IF(AND($C95&lt;=#REF!,$D95&gt;=#REF!),IF($G95="","x","y"),"")))</f>
        <v>#REF!</v>
      </c>
      <c r="BT95" s="270" t="e">
        <f>IF(#REF!="Yes","H",IF($B95="","",IF(AND($C95&lt;=#REF!,$D95&gt;=#REF!),IF($G95="","x","y"),"")))</f>
        <v>#REF!</v>
      </c>
      <c r="BU95" s="270" t="e">
        <f>IF(#REF!="Yes","H",IF($B95="","",IF(AND($C95&lt;=#REF!,$D95&gt;=#REF!),IF($G95="","x","y"),"")))</f>
        <v>#REF!</v>
      </c>
      <c r="BV95" s="271" t="e">
        <f>IF(#REF!="Yes","H",IF($B95="","",IF(AND($C95&lt;=#REF!,$D95&gt;=#REF!),IF($G95="","x","y"),"")))</f>
        <v>#REF!</v>
      </c>
      <c r="BW95" s="272" t="e">
        <f>IF(#REF!="Yes","H",IF($B95="","",IF(AND($C95&lt;=#REF!,$D95&gt;=#REF!),IF($G95="","x","y"),"")))</f>
        <v>#REF!</v>
      </c>
      <c r="BX95" s="270" t="e">
        <f>IF(#REF!="Yes","H",IF($B95="","",IF(AND($C95&lt;=#REF!,$D95&gt;=#REF!),IF($G95="","x","y"),"")))</f>
        <v>#REF!</v>
      </c>
      <c r="BY95" s="270" t="e">
        <f>IF(#REF!="Yes","H",IF($B95="","",IF(AND($C95&lt;=#REF!,$D95&gt;=#REF!),IF($G95="","x","y"),"")))</f>
        <v>#REF!</v>
      </c>
      <c r="BZ95" s="270" t="e">
        <f>IF(#REF!="Yes","H",IF($B95="","",IF(AND($C95&lt;=#REF!,$D95&gt;=#REF!),IF($G95="","x","y"),"")))</f>
        <v>#REF!</v>
      </c>
      <c r="CA95" s="273" t="e">
        <f>IF(#REF!="Yes","H",IF($B95="","",IF(AND($C95&lt;=#REF!,$D95&gt;=#REF!),IF($G95="","x","y"),"")))</f>
        <v>#REF!</v>
      </c>
    </row>
    <row r="96" spans="2:79" ht="15" customHeight="1">
      <c r="B96" s="279"/>
      <c r="C96" s="280"/>
      <c r="D96" s="280"/>
      <c r="E96" s="223"/>
      <c r="F96" s="224"/>
      <c r="G96" s="275"/>
      <c r="H96" s="209"/>
      <c r="I96" s="211"/>
      <c r="J96" s="269" t="e">
        <f>IF(#REF!="Yes","H",IF($B96="","",IF(AND($C96&lt;=#REF!,$D96&gt;=#REF!),IF($G96="","x","y"),"")))</f>
        <v>#REF!</v>
      </c>
      <c r="K96" s="270" t="e">
        <f>IF(#REF!="Yes","H",IF($B96="","",IF(AND($C96&lt;=#REF!,$D96&gt;=#REF!),IF($G96="","x","y"),"")))</f>
        <v>#REF!</v>
      </c>
      <c r="L96" s="270" t="e">
        <f>IF(#REF!="Yes","H",IF($B96="","",IF(AND($C96&lt;=#REF!,$D96&gt;=#REF!),IF($G96="","x","y"),"")))</f>
        <v>#REF!</v>
      </c>
      <c r="M96" s="270" t="e">
        <f>IF(#REF!="Yes","H",IF($B96="","",IF(AND($C96&lt;=#REF!,$D96&gt;=#REF!),IF($G96="","x","y"),"")))</f>
        <v>#REF!</v>
      </c>
      <c r="N96" s="271" t="e">
        <f>IF(#REF!="Yes","H",IF($B96="","",IF(AND($C96&lt;=#REF!,$D96&gt;=#REF!),IF($G96="","x","y"),"")))</f>
        <v>#REF!</v>
      </c>
      <c r="O96" s="272" t="e">
        <f>IF(#REF!="Yes","H",IF($B96="","",IF(AND($C96&lt;=#REF!,$D96&gt;=#REF!),IF($G96="","x","y"),"")))</f>
        <v>#REF!</v>
      </c>
      <c r="P96" s="270" t="e">
        <f>IF(#REF!="Yes","H",IF($B96="","",IF(AND($C96&lt;=#REF!,$D96&gt;=#REF!),IF($G96="","x","y"),"")))</f>
        <v>#REF!</v>
      </c>
      <c r="Q96" s="270" t="e">
        <f>IF(#REF!="Yes","H",IF($B96="","",IF(AND($C96&lt;=#REF!,$D96&gt;=#REF!),IF($G96="","x","y"),"")))</f>
        <v>#REF!</v>
      </c>
      <c r="R96" s="270" t="e">
        <f>IF(#REF!="Yes","H",IF($B96="","",IF(AND($C96&lt;=#REF!,$D96&gt;=#REF!),IF($G96="","x","y"),"")))</f>
        <v>#REF!</v>
      </c>
      <c r="S96" s="273" t="e">
        <f>IF(#REF!="Yes","H",IF($B96="","",IF(AND($C96&lt;=#REF!,$D96&gt;=#REF!),IF($G96="","x","y"),"")))</f>
        <v>#REF!</v>
      </c>
      <c r="T96" s="274" t="e">
        <f>IF(#REF!="Yes","H",IF($B96="","",IF(AND($C96&lt;=#REF!,$D96&gt;=#REF!),IF($G96="","x","y"),"")))</f>
        <v>#REF!</v>
      </c>
      <c r="U96" s="270" t="e">
        <f>IF(#REF!="Yes","H",IF($B96="","",IF(AND($C96&lt;=#REF!,$D96&gt;=#REF!),IF($G96="","x","y"),"")))</f>
        <v>#REF!</v>
      </c>
      <c r="V96" s="270" t="e">
        <f>IF(#REF!="Yes","H",IF($B96="","",IF(AND($C96&lt;=#REF!,$D96&gt;=#REF!),IF($G96="","x","y"),"")))</f>
        <v>#REF!</v>
      </c>
      <c r="W96" s="270" t="e">
        <f>IF(#REF!="Yes","H",IF($B96="","",IF(AND($C96&lt;=#REF!,$D96&gt;=#REF!),IF($G96="","x","y"),"")))</f>
        <v>#REF!</v>
      </c>
      <c r="X96" s="271" t="e">
        <f>IF(#REF!="Yes","H",IF($B96="","",IF(AND($C96&lt;=#REF!,$D96&gt;=#REF!),IF($G96="","x","y"),"")))</f>
        <v>#REF!</v>
      </c>
      <c r="Y96" s="272" t="e">
        <f>IF(#REF!="Yes","H",IF($B96="","",IF(AND($C96&lt;=#REF!,$D96&gt;=#REF!),IF($G96="","x","y"),"")))</f>
        <v>#REF!</v>
      </c>
      <c r="Z96" s="270" t="e">
        <f>IF(#REF!="Yes","H",IF($B96="","",IF(AND($C96&lt;=#REF!,$D96&gt;=#REF!),IF($G96="","x","y"),"")))</f>
        <v>#REF!</v>
      </c>
      <c r="AA96" s="270" t="e">
        <f>IF(#REF!="Yes","H",IF($B96="","",IF(AND($C96&lt;=#REF!,$D96&gt;=#REF!),IF($G96="","x","y"),"")))</f>
        <v>#REF!</v>
      </c>
      <c r="AB96" s="270" t="e">
        <f>IF(#REF!="Yes","H",IF($B96="","",IF(AND($C96&lt;=#REF!,$D96&gt;=#REF!),IF($G96="","x","y"),"")))</f>
        <v>#REF!</v>
      </c>
      <c r="AC96" s="273" t="e">
        <f>IF(#REF!="Yes","H",IF($B96="","",IF(AND($C96&lt;=#REF!,$D96&gt;=#REF!),IF($G96="","x","y"),"")))</f>
        <v>#REF!</v>
      </c>
      <c r="AD96" s="274" t="e">
        <f>IF(#REF!="Yes","H",IF($B96="","",IF(AND($C96&lt;=#REF!,$D96&gt;=#REF!),IF($G96="","x","y"),"")))</f>
        <v>#REF!</v>
      </c>
      <c r="AE96" s="270" t="e">
        <f>IF(#REF!="Yes","H",IF($B96="","",IF(AND($C96&lt;=#REF!,$D96&gt;=#REF!),IF($G96="","x","y"),"")))</f>
        <v>#REF!</v>
      </c>
      <c r="AF96" s="270" t="e">
        <f>IF(#REF!="Yes","H",IF($B96="","",IF(AND($C96&lt;=#REF!,$D96&gt;=#REF!),IF($G96="","x","y"),"")))</f>
        <v>#REF!</v>
      </c>
      <c r="AG96" s="270" t="e">
        <f>IF(#REF!="Yes","H",IF($B96="","",IF(AND($C96&lt;=#REF!,$D96&gt;=#REF!),IF($G96="","x","y"),"")))</f>
        <v>#REF!</v>
      </c>
      <c r="AH96" s="271" t="e">
        <f>IF(#REF!="Yes","H",IF($B96="","",IF(AND($C96&lt;=#REF!,$D96&gt;=#REF!),IF($G96="","x","y"),"")))</f>
        <v>#REF!</v>
      </c>
      <c r="AI96" s="272" t="e">
        <f>IF(#REF!="Yes","H",IF($B96="","",IF(AND($C96&lt;=#REF!,$D96&gt;=#REF!),IF($G96="","x","y"),"")))</f>
        <v>#REF!</v>
      </c>
      <c r="AJ96" s="270" t="e">
        <f>IF(#REF!="Yes","H",IF($B96="","",IF(AND($C96&lt;=#REF!,$D96&gt;=#REF!),IF($G96="","x","y"),"")))</f>
        <v>#REF!</v>
      </c>
      <c r="AK96" s="270" t="e">
        <f>IF(#REF!="Yes","H",IF($B96="","",IF(AND($C96&lt;=#REF!,$D96&gt;=#REF!),IF($G96="","x","y"),"")))</f>
        <v>#REF!</v>
      </c>
      <c r="AL96" s="270" t="e">
        <f>IF(#REF!="Yes","H",IF($B96="","",IF(AND($C96&lt;=#REF!,$D96&gt;=#REF!),IF($G96="","x","y"),"")))</f>
        <v>#REF!</v>
      </c>
      <c r="AM96" s="273" t="e">
        <f>IF(#REF!="Yes","H",IF($B96="","",IF(AND($C96&lt;=#REF!,$D96&gt;=#REF!),IF($G96="","x","y"),"")))</f>
        <v>#REF!</v>
      </c>
      <c r="AN96" s="274" t="e">
        <f>IF(#REF!="Yes","H",IF($B96="","",IF(AND($C96&lt;=#REF!,$D96&gt;=#REF!),IF($G96="","x","y"),"")))</f>
        <v>#REF!</v>
      </c>
      <c r="AO96" s="270" t="e">
        <f>IF(#REF!="Yes","H",IF($B96="","",IF(AND($C96&lt;=#REF!,$D96&gt;=#REF!),IF($G96="","x","y"),"")))</f>
        <v>#REF!</v>
      </c>
      <c r="AP96" s="270" t="e">
        <f>IF(#REF!="Yes","H",IF($B96="","",IF(AND($C96&lt;=#REF!,$D96&gt;=#REF!),IF($G96="","x","y"),"")))</f>
        <v>#REF!</v>
      </c>
      <c r="AQ96" s="270" t="e">
        <f>IF(#REF!="Yes","H",IF($B96="","",IF(AND($C96&lt;=#REF!,$D96&gt;=#REF!),IF($G96="","x","y"),"")))</f>
        <v>#REF!</v>
      </c>
      <c r="AR96" s="271" t="e">
        <f>IF(#REF!="Yes","H",IF($B96="","",IF(AND($C96&lt;=#REF!,$D96&gt;=#REF!),IF($G96="","x","y"),"")))</f>
        <v>#REF!</v>
      </c>
      <c r="AS96" s="272" t="e">
        <f>IF(#REF!="Yes","H",IF($B96="","",IF(AND($C96&lt;=#REF!,$D96&gt;=#REF!),IF($G96="","x","y"),"")))</f>
        <v>#REF!</v>
      </c>
      <c r="AT96" s="270" t="e">
        <f>IF(#REF!="Yes","H",IF($B96="","",IF(AND($C96&lt;=#REF!,$D96&gt;=#REF!),IF($G96="","x","y"),"")))</f>
        <v>#REF!</v>
      </c>
      <c r="AU96" s="270" t="e">
        <f>IF(#REF!="Yes","H",IF($B96="","",IF(AND($C96&lt;=#REF!,$D96&gt;=#REF!),IF($G96="","x","y"),"")))</f>
        <v>#REF!</v>
      </c>
      <c r="AV96" s="270" t="e">
        <f>IF(#REF!="Yes","H",IF($B96="","",IF(AND($C96&lt;=#REF!,$D96&gt;=#REF!),IF($G96="","x","y"),"")))</f>
        <v>#REF!</v>
      </c>
      <c r="AW96" s="273" t="e">
        <f>IF(#REF!="Yes","H",IF($B96="","",IF(AND($C96&lt;=#REF!,$D96&gt;=#REF!),IF($G96="","x","y"),"")))</f>
        <v>#REF!</v>
      </c>
      <c r="AX96" s="274" t="e">
        <f>IF(#REF!="Yes","H",IF($B96="","",IF(AND($C96&lt;=#REF!,$D96&gt;=#REF!),IF($G96="","x","y"),"")))</f>
        <v>#REF!</v>
      </c>
      <c r="AY96" s="270" t="e">
        <f>IF(#REF!="Yes","H",IF($B96="","",IF(AND($C96&lt;=#REF!,$D96&gt;=#REF!),IF($G96="","x","y"),"")))</f>
        <v>#REF!</v>
      </c>
      <c r="AZ96" s="270" t="e">
        <f>IF(#REF!="Yes","H",IF($B96="","",IF(AND($C96&lt;=#REF!,$D96&gt;=#REF!),IF($G96="","x","y"),"")))</f>
        <v>#REF!</v>
      </c>
      <c r="BA96" s="270" t="e">
        <f>IF(#REF!="Yes","H",IF($B96="","",IF(AND($C96&lt;=#REF!,$D96&gt;=#REF!),IF($G96="","x","y"),"")))</f>
        <v>#REF!</v>
      </c>
      <c r="BB96" s="271" t="e">
        <f>IF(#REF!="Yes","H",IF($B96="","",IF(AND($C96&lt;=#REF!,$D96&gt;=#REF!),IF($G96="","x","y"),"")))</f>
        <v>#REF!</v>
      </c>
      <c r="BC96" s="272" t="e">
        <f>IF(#REF!="Yes","H",IF($B96="","",IF(AND($C96&lt;=#REF!,$D96&gt;=#REF!),IF($G96="","x","y"),"")))</f>
        <v>#REF!</v>
      </c>
      <c r="BD96" s="270" t="e">
        <f>IF(#REF!="Yes","H",IF($B96="","",IF(AND($C96&lt;=#REF!,$D96&gt;=#REF!),IF($G96="","x","y"),"")))</f>
        <v>#REF!</v>
      </c>
      <c r="BE96" s="270" t="e">
        <f>IF(#REF!="Yes","H",IF($B96="","",IF(AND($C96&lt;=#REF!,$D96&gt;=#REF!),IF($G96="","x","y"),"")))</f>
        <v>#REF!</v>
      </c>
      <c r="BF96" s="270" t="e">
        <f>IF(#REF!="Yes","H",IF($B96="","",IF(AND($C96&lt;=#REF!,$D96&gt;=#REF!),IF($G96="","x","y"),"")))</f>
        <v>#REF!</v>
      </c>
      <c r="BG96" s="273" t="e">
        <f>IF(#REF!="Yes","H",IF($B96="","",IF(AND($C96&lt;=#REF!,$D96&gt;=#REF!),IF($G96="","x","y"),"")))</f>
        <v>#REF!</v>
      </c>
      <c r="BH96" s="274" t="e">
        <f>IF(#REF!="Yes","H",IF($B96="","",IF(AND($C96&lt;=#REF!,$D96&gt;=#REF!),IF($G96="","x","y"),"")))</f>
        <v>#REF!</v>
      </c>
      <c r="BI96" s="270" t="e">
        <f>IF(#REF!="Yes","H",IF($B96="","",IF(AND($C96&lt;=#REF!,$D96&gt;=#REF!),IF($G96="","x","y"),"")))</f>
        <v>#REF!</v>
      </c>
      <c r="BJ96" s="270" t="e">
        <f>IF(#REF!="Yes","H",IF($B96="","",IF(AND($C96&lt;=#REF!,$D96&gt;=#REF!),IF($G96="","x","y"),"")))</f>
        <v>#REF!</v>
      </c>
      <c r="BK96" s="270" t="e">
        <f>IF(#REF!="Yes","H",IF($B96="","",IF(AND($C96&lt;=#REF!,$D96&gt;=#REF!),IF($G96="","x","y"),"")))</f>
        <v>#REF!</v>
      </c>
      <c r="BL96" s="271" t="e">
        <f>IF(#REF!="Yes","H",IF($B96="","",IF(AND($C96&lt;=#REF!,$D96&gt;=#REF!),IF($G96="","x","y"),"")))</f>
        <v>#REF!</v>
      </c>
      <c r="BM96" s="272" t="e">
        <f>IF(#REF!="Yes","H",IF($B96="","",IF(AND($C96&lt;=#REF!,$D96&gt;=#REF!),IF($G96="","x","y"),"")))</f>
        <v>#REF!</v>
      </c>
      <c r="BN96" s="270" t="e">
        <f>IF(#REF!="Yes","H",IF($B96="","",IF(AND($C96&lt;=#REF!,$D96&gt;=#REF!),IF($G96="","x","y"),"")))</f>
        <v>#REF!</v>
      </c>
      <c r="BO96" s="270" t="e">
        <f>IF(#REF!="Yes","H",IF($B96="","",IF(AND($C96&lt;=#REF!,$D96&gt;=#REF!),IF($G96="","x","y"),"")))</f>
        <v>#REF!</v>
      </c>
      <c r="BP96" s="270" t="e">
        <f>IF(#REF!="Yes","H",IF($B96="","",IF(AND($C96&lt;=#REF!,$D96&gt;=#REF!),IF($G96="","x","y"),"")))</f>
        <v>#REF!</v>
      </c>
      <c r="BQ96" s="273" t="e">
        <f>IF(#REF!="Yes","H",IF($B96="","",IF(AND($C96&lt;=#REF!,$D96&gt;=#REF!),IF($G96="","x","y"),"")))</f>
        <v>#REF!</v>
      </c>
      <c r="BR96" s="274" t="e">
        <f>IF(#REF!="Yes","H",IF($B96="","",IF(AND($C96&lt;=#REF!,$D96&gt;=#REF!),IF($G96="","x","y"),"")))</f>
        <v>#REF!</v>
      </c>
      <c r="BS96" s="270" t="e">
        <f>IF(#REF!="Yes","H",IF($B96="","",IF(AND($C96&lt;=#REF!,$D96&gt;=#REF!),IF($G96="","x","y"),"")))</f>
        <v>#REF!</v>
      </c>
      <c r="BT96" s="270" t="e">
        <f>IF(#REF!="Yes","H",IF($B96="","",IF(AND($C96&lt;=#REF!,$D96&gt;=#REF!),IF($G96="","x","y"),"")))</f>
        <v>#REF!</v>
      </c>
      <c r="BU96" s="270" t="e">
        <f>IF(#REF!="Yes","H",IF($B96="","",IF(AND($C96&lt;=#REF!,$D96&gt;=#REF!),IF($G96="","x","y"),"")))</f>
        <v>#REF!</v>
      </c>
      <c r="BV96" s="271" t="e">
        <f>IF(#REF!="Yes","H",IF($B96="","",IF(AND($C96&lt;=#REF!,$D96&gt;=#REF!),IF($G96="","x","y"),"")))</f>
        <v>#REF!</v>
      </c>
      <c r="BW96" s="272" t="e">
        <f>IF(#REF!="Yes","H",IF($B96="","",IF(AND($C96&lt;=#REF!,$D96&gt;=#REF!),IF($G96="","x","y"),"")))</f>
        <v>#REF!</v>
      </c>
      <c r="BX96" s="270" t="e">
        <f>IF(#REF!="Yes","H",IF($B96="","",IF(AND($C96&lt;=#REF!,$D96&gt;=#REF!),IF($G96="","x","y"),"")))</f>
        <v>#REF!</v>
      </c>
      <c r="BY96" s="270" t="e">
        <f>IF(#REF!="Yes","H",IF($B96="","",IF(AND($C96&lt;=#REF!,$D96&gt;=#REF!),IF($G96="","x","y"),"")))</f>
        <v>#REF!</v>
      </c>
      <c r="BZ96" s="270" t="e">
        <f>IF(#REF!="Yes","H",IF($B96="","",IF(AND($C96&lt;=#REF!,$D96&gt;=#REF!),IF($G96="","x","y"),"")))</f>
        <v>#REF!</v>
      </c>
      <c r="CA96" s="273" t="e">
        <f>IF(#REF!="Yes","H",IF($B96="","",IF(AND($C96&lt;=#REF!,$D96&gt;=#REF!),IF($G96="","x","y"),"")))</f>
        <v>#REF!</v>
      </c>
    </row>
    <row r="97" spans="2:79" ht="15" customHeight="1">
      <c r="B97" s="279"/>
      <c r="C97" s="280"/>
      <c r="D97" s="280"/>
      <c r="E97" s="223"/>
      <c r="F97" s="224"/>
      <c r="G97" s="275"/>
      <c r="H97" s="209"/>
      <c r="I97" s="211"/>
      <c r="J97" s="269" t="e">
        <f>IF(#REF!="Yes","H",IF($B97="","",IF(AND($C97&lt;=#REF!,$D97&gt;=#REF!),IF($G97="","x","y"),"")))</f>
        <v>#REF!</v>
      </c>
      <c r="K97" s="270" t="e">
        <f>IF(#REF!="Yes","H",IF($B97="","",IF(AND($C97&lt;=#REF!,$D97&gt;=#REF!),IF($G97="","x","y"),"")))</f>
        <v>#REF!</v>
      </c>
      <c r="L97" s="270" t="e">
        <f>IF(#REF!="Yes","H",IF($B97="","",IF(AND($C97&lt;=#REF!,$D97&gt;=#REF!),IF($G97="","x","y"),"")))</f>
        <v>#REF!</v>
      </c>
      <c r="M97" s="270" t="e">
        <f>IF(#REF!="Yes","H",IF($B97="","",IF(AND($C97&lt;=#REF!,$D97&gt;=#REF!),IF($G97="","x","y"),"")))</f>
        <v>#REF!</v>
      </c>
      <c r="N97" s="271" t="e">
        <f>IF(#REF!="Yes","H",IF($B97="","",IF(AND($C97&lt;=#REF!,$D97&gt;=#REF!),IF($G97="","x","y"),"")))</f>
        <v>#REF!</v>
      </c>
      <c r="O97" s="272" t="e">
        <f>IF(#REF!="Yes","H",IF($B97="","",IF(AND($C97&lt;=#REF!,$D97&gt;=#REF!),IF($G97="","x","y"),"")))</f>
        <v>#REF!</v>
      </c>
      <c r="P97" s="270" t="e">
        <f>IF(#REF!="Yes","H",IF($B97="","",IF(AND($C97&lt;=#REF!,$D97&gt;=#REF!),IF($G97="","x","y"),"")))</f>
        <v>#REF!</v>
      </c>
      <c r="Q97" s="270" t="e">
        <f>IF(#REF!="Yes","H",IF($B97="","",IF(AND($C97&lt;=#REF!,$D97&gt;=#REF!),IF($G97="","x","y"),"")))</f>
        <v>#REF!</v>
      </c>
      <c r="R97" s="270" t="e">
        <f>IF(#REF!="Yes","H",IF($B97="","",IF(AND($C97&lt;=#REF!,$D97&gt;=#REF!),IF($G97="","x","y"),"")))</f>
        <v>#REF!</v>
      </c>
      <c r="S97" s="273" t="e">
        <f>IF(#REF!="Yes","H",IF($B97="","",IF(AND($C97&lt;=#REF!,$D97&gt;=#REF!),IF($G97="","x","y"),"")))</f>
        <v>#REF!</v>
      </c>
      <c r="T97" s="274" t="e">
        <f>IF(#REF!="Yes","H",IF($B97="","",IF(AND($C97&lt;=#REF!,$D97&gt;=#REF!),IF($G97="","x","y"),"")))</f>
        <v>#REF!</v>
      </c>
      <c r="U97" s="270" t="e">
        <f>IF(#REF!="Yes","H",IF($B97="","",IF(AND($C97&lt;=#REF!,$D97&gt;=#REF!),IF($G97="","x","y"),"")))</f>
        <v>#REF!</v>
      </c>
      <c r="V97" s="270" t="e">
        <f>IF(#REF!="Yes","H",IF($B97="","",IF(AND($C97&lt;=#REF!,$D97&gt;=#REF!),IF($G97="","x","y"),"")))</f>
        <v>#REF!</v>
      </c>
      <c r="W97" s="270" t="e">
        <f>IF(#REF!="Yes","H",IF($B97="","",IF(AND($C97&lt;=#REF!,$D97&gt;=#REF!),IF($G97="","x","y"),"")))</f>
        <v>#REF!</v>
      </c>
      <c r="X97" s="271" t="e">
        <f>IF(#REF!="Yes","H",IF($B97="","",IF(AND($C97&lt;=#REF!,$D97&gt;=#REF!),IF($G97="","x","y"),"")))</f>
        <v>#REF!</v>
      </c>
      <c r="Y97" s="272" t="e">
        <f>IF(#REF!="Yes","H",IF($B97="","",IF(AND($C97&lt;=#REF!,$D97&gt;=#REF!),IF($G97="","x","y"),"")))</f>
        <v>#REF!</v>
      </c>
      <c r="Z97" s="270" t="e">
        <f>IF(#REF!="Yes","H",IF($B97="","",IF(AND($C97&lt;=#REF!,$D97&gt;=#REF!),IF($G97="","x","y"),"")))</f>
        <v>#REF!</v>
      </c>
      <c r="AA97" s="270" t="e">
        <f>IF(#REF!="Yes","H",IF($B97="","",IF(AND($C97&lt;=#REF!,$D97&gt;=#REF!),IF($G97="","x","y"),"")))</f>
        <v>#REF!</v>
      </c>
      <c r="AB97" s="270" t="e">
        <f>IF(#REF!="Yes","H",IF($B97="","",IF(AND($C97&lt;=#REF!,$D97&gt;=#REF!),IF($G97="","x","y"),"")))</f>
        <v>#REF!</v>
      </c>
      <c r="AC97" s="273" t="e">
        <f>IF(#REF!="Yes","H",IF($B97="","",IF(AND($C97&lt;=#REF!,$D97&gt;=#REF!),IF($G97="","x","y"),"")))</f>
        <v>#REF!</v>
      </c>
      <c r="AD97" s="274" t="e">
        <f>IF(#REF!="Yes","H",IF($B97="","",IF(AND($C97&lt;=#REF!,$D97&gt;=#REF!),IF($G97="","x","y"),"")))</f>
        <v>#REF!</v>
      </c>
      <c r="AE97" s="270" t="e">
        <f>IF(#REF!="Yes","H",IF($B97="","",IF(AND($C97&lt;=#REF!,$D97&gt;=#REF!),IF($G97="","x","y"),"")))</f>
        <v>#REF!</v>
      </c>
      <c r="AF97" s="270" t="e">
        <f>IF(#REF!="Yes","H",IF($B97="","",IF(AND($C97&lt;=#REF!,$D97&gt;=#REF!),IF($G97="","x","y"),"")))</f>
        <v>#REF!</v>
      </c>
      <c r="AG97" s="270" t="e">
        <f>IF(#REF!="Yes","H",IF($B97="","",IF(AND($C97&lt;=#REF!,$D97&gt;=#REF!),IF($G97="","x","y"),"")))</f>
        <v>#REF!</v>
      </c>
      <c r="AH97" s="271" t="e">
        <f>IF(#REF!="Yes","H",IF($B97="","",IF(AND($C97&lt;=#REF!,$D97&gt;=#REF!),IF($G97="","x","y"),"")))</f>
        <v>#REF!</v>
      </c>
      <c r="AI97" s="272" t="e">
        <f>IF(#REF!="Yes","H",IF($B97="","",IF(AND($C97&lt;=#REF!,$D97&gt;=#REF!),IF($G97="","x","y"),"")))</f>
        <v>#REF!</v>
      </c>
      <c r="AJ97" s="270" t="e">
        <f>IF(#REF!="Yes","H",IF($B97="","",IF(AND($C97&lt;=#REF!,$D97&gt;=#REF!),IF($G97="","x","y"),"")))</f>
        <v>#REF!</v>
      </c>
      <c r="AK97" s="270" t="e">
        <f>IF(#REF!="Yes","H",IF($B97="","",IF(AND($C97&lt;=#REF!,$D97&gt;=#REF!),IF($G97="","x","y"),"")))</f>
        <v>#REF!</v>
      </c>
      <c r="AL97" s="270" t="e">
        <f>IF(#REF!="Yes","H",IF($B97="","",IF(AND($C97&lt;=#REF!,$D97&gt;=#REF!),IF($G97="","x","y"),"")))</f>
        <v>#REF!</v>
      </c>
      <c r="AM97" s="273" t="e">
        <f>IF(#REF!="Yes","H",IF($B97="","",IF(AND($C97&lt;=#REF!,$D97&gt;=#REF!),IF($G97="","x","y"),"")))</f>
        <v>#REF!</v>
      </c>
      <c r="AN97" s="274" t="e">
        <f>IF(#REF!="Yes","H",IF($B97="","",IF(AND($C97&lt;=#REF!,$D97&gt;=#REF!),IF($G97="","x","y"),"")))</f>
        <v>#REF!</v>
      </c>
      <c r="AO97" s="270" t="e">
        <f>IF(#REF!="Yes","H",IF($B97="","",IF(AND($C97&lt;=#REF!,$D97&gt;=#REF!),IF($G97="","x","y"),"")))</f>
        <v>#REF!</v>
      </c>
      <c r="AP97" s="270" t="e">
        <f>IF(#REF!="Yes","H",IF($B97="","",IF(AND($C97&lt;=#REF!,$D97&gt;=#REF!),IF($G97="","x","y"),"")))</f>
        <v>#REF!</v>
      </c>
      <c r="AQ97" s="270" t="e">
        <f>IF(#REF!="Yes","H",IF($B97="","",IF(AND($C97&lt;=#REF!,$D97&gt;=#REF!),IF($G97="","x","y"),"")))</f>
        <v>#REF!</v>
      </c>
      <c r="AR97" s="271" t="e">
        <f>IF(#REF!="Yes","H",IF($B97="","",IF(AND($C97&lt;=#REF!,$D97&gt;=#REF!),IF($G97="","x","y"),"")))</f>
        <v>#REF!</v>
      </c>
      <c r="AS97" s="272" t="e">
        <f>IF(#REF!="Yes","H",IF($B97="","",IF(AND($C97&lt;=#REF!,$D97&gt;=#REF!),IF($G97="","x","y"),"")))</f>
        <v>#REF!</v>
      </c>
      <c r="AT97" s="270" t="e">
        <f>IF(#REF!="Yes","H",IF($B97="","",IF(AND($C97&lt;=#REF!,$D97&gt;=#REF!),IF($G97="","x","y"),"")))</f>
        <v>#REF!</v>
      </c>
      <c r="AU97" s="270" t="e">
        <f>IF(#REF!="Yes","H",IF($B97="","",IF(AND($C97&lt;=#REF!,$D97&gt;=#REF!),IF($G97="","x","y"),"")))</f>
        <v>#REF!</v>
      </c>
      <c r="AV97" s="270" t="e">
        <f>IF(#REF!="Yes","H",IF($B97="","",IF(AND($C97&lt;=#REF!,$D97&gt;=#REF!),IF($G97="","x","y"),"")))</f>
        <v>#REF!</v>
      </c>
      <c r="AW97" s="273" t="e">
        <f>IF(#REF!="Yes","H",IF($B97="","",IF(AND($C97&lt;=#REF!,$D97&gt;=#REF!),IF($G97="","x","y"),"")))</f>
        <v>#REF!</v>
      </c>
      <c r="AX97" s="274" t="e">
        <f>IF(#REF!="Yes","H",IF($B97="","",IF(AND($C97&lt;=#REF!,$D97&gt;=#REF!),IF($G97="","x","y"),"")))</f>
        <v>#REF!</v>
      </c>
      <c r="AY97" s="270" t="e">
        <f>IF(#REF!="Yes","H",IF($B97="","",IF(AND($C97&lt;=#REF!,$D97&gt;=#REF!),IF($G97="","x","y"),"")))</f>
        <v>#REF!</v>
      </c>
      <c r="AZ97" s="270" t="e">
        <f>IF(#REF!="Yes","H",IF($B97="","",IF(AND($C97&lt;=#REF!,$D97&gt;=#REF!),IF($G97="","x","y"),"")))</f>
        <v>#REF!</v>
      </c>
      <c r="BA97" s="270" t="e">
        <f>IF(#REF!="Yes","H",IF($B97="","",IF(AND($C97&lt;=#REF!,$D97&gt;=#REF!),IF($G97="","x","y"),"")))</f>
        <v>#REF!</v>
      </c>
      <c r="BB97" s="271" t="e">
        <f>IF(#REF!="Yes","H",IF($B97="","",IF(AND($C97&lt;=#REF!,$D97&gt;=#REF!),IF($G97="","x","y"),"")))</f>
        <v>#REF!</v>
      </c>
      <c r="BC97" s="272" t="e">
        <f>IF(#REF!="Yes","H",IF($B97="","",IF(AND($C97&lt;=#REF!,$D97&gt;=#REF!),IF($G97="","x","y"),"")))</f>
        <v>#REF!</v>
      </c>
      <c r="BD97" s="270" t="e">
        <f>IF(#REF!="Yes","H",IF($B97="","",IF(AND($C97&lt;=#REF!,$D97&gt;=#REF!),IF($G97="","x","y"),"")))</f>
        <v>#REF!</v>
      </c>
      <c r="BE97" s="270" t="e">
        <f>IF(#REF!="Yes","H",IF($B97="","",IF(AND($C97&lt;=#REF!,$D97&gt;=#REF!),IF($G97="","x","y"),"")))</f>
        <v>#REF!</v>
      </c>
      <c r="BF97" s="270" t="e">
        <f>IF(#REF!="Yes","H",IF($B97="","",IF(AND($C97&lt;=#REF!,$D97&gt;=#REF!),IF($G97="","x","y"),"")))</f>
        <v>#REF!</v>
      </c>
      <c r="BG97" s="273" t="e">
        <f>IF(#REF!="Yes","H",IF($B97="","",IF(AND($C97&lt;=#REF!,$D97&gt;=#REF!),IF($G97="","x","y"),"")))</f>
        <v>#REF!</v>
      </c>
      <c r="BH97" s="274" t="e">
        <f>IF(#REF!="Yes","H",IF($B97="","",IF(AND($C97&lt;=#REF!,$D97&gt;=#REF!),IF($G97="","x","y"),"")))</f>
        <v>#REF!</v>
      </c>
      <c r="BI97" s="270" t="e">
        <f>IF(#REF!="Yes","H",IF($B97="","",IF(AND($C97&lt;=#REF!,$D97&gt;=#REF!),IF($G97="","x","y"),"")))</f>
        <v>#REF!</v>
      </c>
      <c r="BJ97" s="270" t="e">
        <f>IF(#REF!="Yes","H",IF($B97="","",IF(AND($C97&lt;=#REF!,$D97&gt;=#REF!),IF($G97="","x","y"),"")))</f>
        <v>#REF!</v>
      </c>
      <c r="BK97" s="270" t="e">
        <f>IF(#REF!="Yes","H",IF($B97="","",IF(AND($C97&lt;=#REF!,$D97&gt;=#REF!),IF($G97="","x","y"),"")))</f>
        <v>#REF!</v>
      </c>
      <c r="BL97" s="271" t="e">
        <f>IF(#REF!="Yes","H",IF($B97="","",IF(AND($C97&lt;=#REF!,$D97&gt;=#REF!),IF($G97="","x","y"),"")))</f>
        <v>#REF!</v>
      </c>
      <c r="BM97" s="272" t="e">
        <f>IF(#REF!="Yes","H",IF($B97="","",IF(AND($C97&lt;=#REF!,$D97&gt;=#REF!),IF($G97="","x","y"),"")))</f>
        <v>#REF!</v>
      </c>
      <c r="BN97" s="270" t="e">
        <f>IF(#REF!="Yes","H",IF($B97="","",IF(AND($C97&lt;=#REF!,$D97&gt;=#REF!),IF($G97="","x","y"),"")))</f>
        <v>#REF!</v>
      </c>
      <c r="BO97" s="270" t="e">
        <f>IF(#REF!="Yes","H",IF($B97="","",IF(AND($C97&lt;=#REF!,$D97&gt;=#REF!),IF($G97="","x","y"),"")))</f>
        <v>#REF!</v>
      </c>
      <c r="BP97" s="270" t="e">
        <f>IF(#REF!="Yes","H",IF($B97="","",IF(AND($C97&lt;=#REF!,$D97&gt;=#REF!),IF($G97="","x","y"),"")))</f>
        <v>#REF!</v>
      </c>
      <c r="BQ97" s="273" t="e">
        <f>IF(#REF!="Yes","H",IF($B97="","",IF(AND($C97&lt;=#REF!,$D97&gt;=#REF!),IF($G97="","x","y"),"")))</f>
        <v>#REF!</v>
      </c>
      <c r="BR97" s="274" t="e">
        <f>IF(#REF!="Yes","H",IF($B97="","",IF(AND($C97&lt;=#REF!,$D97&gt;=#REF!),IF($G97="","x","y"),"")))</f>
        <v>#REF!</v>
      </c>
      <c r="BS97" s="270" t="e">
        <f>IF(#REF!="Yes","H",IF($B97="","",IF(AND($C97&lt;=#REF!,$D97&gt;=#REF!),IF($G97="","x","y"),"")))</f>
        <v>#REF!</v>
      </c>
      <c r="BT97" s="270" t="e">
        <f>IF(#REF!="Yes","H",IF($B97="","",IF(AND($C97&lt;=#REF!,$D97&gt;=#REF!),IF($G97="","x","y"),"")))</f>
        <v>#REF!</v>
      </c>
      <c r="BU97" s="270" t="e">
        <f>IF(#REF!="Yes","H",IF($B97="","",IF(AND($C97&lt;=#REF!,$D97&gt;=#REF!),IF($G97="","x","y"),"")))</f>
        <v>#REF!</v>
      </c>
      <c r="BV97" s="271" t="e">
        <f>IF(#REF!="Yes","H",IF($B97="","",IF(AND($C97&lt;=#REF!,$D97&gt;=#REF!),IF($G97="","x","y"),"")))</f>
        <v>#REF!</v>
      </c>
      <c r="BW97" s="272" t="e">
        <f>IF(#REF!="Yes","H",IF($B97="","",IF(AND($C97&lt;=#REF!,$D97&gt;=#REF!),IF($G97="","x","y"),"")))</f>
        <v>#REF!</v>
      </c>
      <c r="BX97" s="270" t="e">
        <f>IF(#REF!="Yes","H",IF($B97="","",IF(AND($C97&lt;=#REF!,$D97&gt;=#REF!),IF($G97="","x","y"),"")))</f>
        <v>#REF!</v>
      </c>
      <c r="BY97" s="270" t="e">
        <f>IF(#REF!="Yes","H",IF($B97="","",IF(AND($C97&lt;=#REF!,$D97&gt;=#REF!),IF($G97="","x","y"),"")))</f>
        <v>#REF!</v>
      </c>
      <c r="BZ97" s="270" t="e">
        <f>IF(#REF!="Yes","H",IF($B97="","",IF(AND($C97&lt;=#REF!,$D97&gt;=#REF!),IF($G97="","x","y"),"")))</f>
        <v>#REF!</v>
      </c>
      <c r="CA97" s="273" t="e">
        <f>IF(#REF!="Yes","H",IF($B97="","",IF(AND($C97&lt;=#REF!,$D97&gt;=#REF!),IF($G97="","x","y"),"")))</f>
        <v>#REF!</v>
      </c>
    </row>
    <row r="98" spans="2:79" ht="15" customHeight="1">
      <c r="B98" s="279"/>
      <c r="C98" s="280"/>
      <c r="D98" s="280"/>
      <c r="E98" s="223"/>
      <c r="F98" s="224"/>
      <c r="G98" s="275"/>
      <c r="H98" s="209"/>
      <c r="I98" s="211"/>
      <c r="J98" s="269" t="e">
        <f>IF(#REF!="Yes","H",IF($B98="","",IF(AND($C98&lt;=#REF!,$D98&gt;=#REF!),IF($G98="","x","y"),"")))</f>
        <v>#REF!</v>
      </c>
      <c r="K98" s="270" t="e">
        <f>IF(#REF!="Yes","H",IF($B98="","",IF(AND($C98&lt;=#REF!,$D98&gt;=#REF!),IF($G98="","x","y"),"")))</f>
        <v>#REF!</v>
      </c>
      <c r="L98" s="270" t="e">
        <f>IF(#REF!="Yes","H",IF($B98="","",IF(AND($C98&lt;=#REF!,$D98&gt;=#REF!),IF($G98="","x","y"),"")))</f>
        <v>#REF!</v>
      </c>
      <c r="M98" s="270" t="e">
        <f>IF(#REF!="Yes","H",IF($B98="","",IF(AND($C98&lt;=#REF!,$D98&gt;=#REF!),IF($G98="","x","y"),"")))</f>
        <v>#REF!</v>
      </c>
      <c r="N98" s="271" t="e">
        <f>IF(#REF!="Yes","H",IF($B98="","",IF(AND($C98&lt;=#REF!,$D98&gt;=#REF!),IF($G98="","x","y"),"")))</f>
        <v>#REF!</v>
      </c>
      <c r="O98" s="272" t="e">
        <f>IF(#REF!="Yes","H",IF($B98="","",IF(AND($C98&lt;=#REF!,$D98&gt;=#REF!),IF($G98="","x","y"),"")))</f>
        <v>#REF!</v>
      </c>
      <c r="P98" s="270" t="e">
        <f>IF(#REF!="Yes","H",IF($B98="","",IF(AND($C98&lt;=#REF!,$D98&gt;=#REF!),IF($G98="","x","y"),"")))</f>
        <v>#REF!</v>
      </c>
      <c r="Q98" s="270" t="e">
        <f>IF(#REF!="Yes","H",IF($B98="","",IF(AND($C98&lt;=#REF!,$D98&gt;=#REF!),IF($G98="","x","y"),"")))</f>
        <v>#REF!</v>
      </c>
      <c r="R98" s="270" t="e">
        <f>IF(#REF!="Yes","H",IF($B98="","",IF(AND($C98&lt;=#REF!,$D98&gt;=#REF!),IF($G98="","x","y"),"")))</f>
        <v>#REF!</v>
      </c>
      <c r="S98" s="273" t="e">
        <f>IF(#REF!="Yes","H",IF($B98="","",IF(AND($C98&lt;=#REF!,$D98&gt;=#REF!),IF($G98="","x","y"),"")))</f>
        <v>#REF!</v>
      </c>
      <c r="T98" s="274" t="e">
        <f>IF(#REF!="Yes","H",IF($B98="","",IF(AND($C98&lt;=#REF!,$D98&gt;=#REF!),IF($G98="","x","y"),"")))</f>
        <v>#REF!</v>
      </c>
      <c r="U98" s="270" t="e">
        <f>IF(#REF!="Yes","H",IF($B98="","",IF(AND($C98&lt;=#REF!,$D98&gt;=#REF!),IF($G98="","x","y"),"")))</f>
        <v>#REF!</v>
      </c>
      <c r="V98" s="270" t="e">
        <f>IF(#REF!="Yes","H",IF($B98="","",IF(AND($C98&lt;=#REF!,$D98&gt;=#REF!),IF($G98="","x","y"),"")))</f>
        <v>#REF!</v>
      </c>
      <c r="W98" s="270" t="e">
        <f>IF(#REF!="Yes","H",IF($B98="","",IF(AND($C98&lt;=#REF!,$D98&gt;=#REF!),IF($G98="","x","y"),"")))</f>
        <v>#REF!</v>
      </c>
      <c r="X98" s="271" t="e">
        <f>IF(#REF!="Yes","H",IF($B98="","",IF(AND($C98&lt;=#REF!,$D98&gt;=#REF!),IF($G98="","x","y"),"")))</f>
        <v>#REF!</v>
      </c>
      <c r="Y98" s="272" t="e">
        <f>IF(#REF!="Yes","H",IF($B98="","",IF(AND($C98&lt;=#REF!,$D98&gt;=#REF!),IF($G98="","x","y"),"")))</f>
        <v>#REF!</v>
      </c>
      <c r="Z98" s="270" t="e">
        <f>IF(#REF!="Yes","H",IF($B98="","",IF(AND($C98&lt;=#REF!,$D98&gt;=#REF!),IF($G98="","x","y"),"")))</f>
        <v>#REF!</v>
      </c>
      <c r="AA98" s="270" t="e">
        <f>IF(#REF!="Yes","H",IF($B98="","",IF(AND($C98&lt;=#REF!,$D98&gt;=#REF!),IF($G98="","x","y"),"")))</f>
        <v>#REF!</v>
      </c>
      <c r="AB98" s="270" t="e">
        <f>IF(#REF!="Yes","H",IF($B98="","",IF(AND($C98&lt;=#REF!,$D98&gt;=#REF!),IF($G98="","x","y"),"")))</f>
        <v>#REF!</v>
      </c>
      <c r="AC98" s="273" t="e">
        <f>IF(#REF!="Yes","H",IF($B98="","",IF(AND($C98&lt;=#REF!,$D98&gt;=#REF!),IF($G98="","x","y"),"")))</f>
        <v>#REF!</v>
      </c>
      <c r="AD98" s="274" t="e">
        <f>IF(#REF!="Yes","H",IF($B98="","",IF(AND($C98&lt;=#REF!,$D98&gt;=#REF!),IF($G98="","x","y"),"")))</f>
        <v>#REF!</v>
      </c>
      <c r="AE98" s="270" t="e">
        <f>IF(#REF!="Yes","H",IF($B98="","",IF(AND($C98&lt;=#REF!,$D98&gt;=#REF!),IF($G98="","x","y"),"")))</f>
        <v>#REF!</v>
      </c>
      <c r="AF98" s="270" t="e">
        <f>IF(#REF!="Yes","H",IF($B98="","",IF(AND($C98&lt;=#REF!,$D98&gt;=#REF!),IF($G98="","x","y"),"")))</f>
        <v>#REF!</v>
      </c>
      <c r="AG98" s="270" t="e">
        <f>IF(#REF!="Yes","H",IF($B98="","",IF(AND($C98&lt;=#REF!,$D98&gt;=#REF!),IF($G98="","x","y"),"")))</f>
        <v>#REF!</v>
      </c>
      <c r="AH98" s="271" t="e">
        <f>IF(#REF!="Yes","H",IF($B98="","",IF(AND($C98&lt;=#REF!,$D98&gt;=#REF!),IF($G98="","x","y"),"")))</f>
        <v>#REF!</v>
      </c>
      <c r="AI98" s="272" t="e">
        <f>IF(#REF!="Yes","H",IF($B98="","",IF(AND($C98&lt;=#REF!,$D98&gt;=#REF!),IF($G98="","x","y"),"")))</f>
        <v>#REF!</v>
      </c>
      <c r="AJ98" s="270" t="e">
        <f>IF(#REF!="Yes","H",IF($B98="","",IF(AND($C98&lt;=#REF!,$D98&gt;=#REF!),IF($G98="","x","y"),"")))</f>
        <v>#REF!</v>
      </c>
      <c r="AK98" s="270" t="e">
        <f>IF(#REF!="Yes","H",IF($B98="","",IF(AND($C98&lt;=#REF!,$D98&gt;=#REF!),IF($G98="","x","y"),"")))</f>
        <v>#REF!</v>
      </c>
      <c r="AL98" s="270" t="e">
        <f>IF(#REF!="Yes","H",IF($B98="","",IF(AND($C98&lt;=#REF!,$D98&gt;=#REF!),IF($G98="","x","y"),"")))</f>
        <v>#REF!</v>
      </c>
      <c r="AM98" s="273" t="e">
        <f>IF(#REF!="Yes","H",IF($B98="","",IF(AND($C98&lt;=#REF!,$D98&gt;=#REF!),IF($G98="","x","y"),"")))</f>
        <v>#REF!</v>
      </c>
      <c r="AN98" s="274" t="e">
        <f>IF(#REF!="Yes","H",IF($B98="","",IF(AND($C98&lt;=#REF!,$D98&gt;=#REF!),IF($G98="","x","y"),"")))</f>
        <v>#REF!</v>
      </c>
      <c r="AO98" s="270" t="e">
        <f>IF(#REF!="Yes","H",IF($B98="","",IF(AND($C98&lt;=#REF!,$D98&gt;=#REF!),IF($G98="","x","y"),"")))</f>
        <v>#REF!</v>
      </c>
      <c r="AP98" s="270" t="e">
        <f>IF(#REF!="Yes","H",IF($B98="","",IF(AND($C98&lt;=#REF!,$D98&gt;=#REF!),IF($G98="","x","y"),"")))</f>
        <v>#REF!</v>
      </c>
      <c r="AQ98" s="270" t="e">
        <f>IF(#REF!="Yes","H",IF($B98="","",IF(AND($C98&lt;=#REF!,$D98&gt;=#REF!),IF($G98="","x","y"),"")))</f>
        <v>#REF!</v>
      </c>
      <c r="AR98" s="271" t="e">
        <f>IF(#REF!="Yes","H",IF($B98="","",IF(AND($C98&lt;=#REF!,$D98&gt;=#REF!),IF($G98="","x","y"),"")))</f>
        <v>#REF!</v>
      </c>
      <c r="AS98" s="272" t="e">
        <f>IF(#REF!="Yes","H",IF($B98="","",IF(AND($C98&lt;=#REF!,$D98&gt;=#REF!),IF($G98="","x","y"),"")))</f>
        <v>#REF!</v>
      </c>
      <c r="AT98" s="270" t="e">
        <f>IF(#REF!="Yes","H",IF($B98="","",IF(AND($C98&lt;=#REF!,$D98&gt;=#REF!),IF($G98="","x","y"),"")))</f>
        <v>#REF!</v>
      </c>
      <c r="AU98" s="270" t="e">
        <f>IF(#REF!="Yes","H",IF($B98="","",IF(AND($C98&lt;=#REF!,$D98&gt;=#REF!),IF($G98="","x","y"),"")))</f>
        <v>#REF!</v>
      </c>
      <c r="AV98" s="270" t="e">
        <f>IF(#REF!="Yes","H",IF($B98="","",IF(AND($C98&lt;=#REF!,$D98&gt;=#REF!),IF($G98="","x","y"),"")))</f>
        <v>#REF!</v>
      </c>
      <c r="AW98" s="273" t="e">
        <f>IF(#REF!="Yes","H",IF($B98="","",IF(AND($C98&lt;=#REF!,$D98&gt;=#REF!),IF($G98="","x","y"),"")))</f>
        <v>#REF!</v>
      </c>
      <c r="AX98" s="274" t="e">
        <f>IF(#REF!="Yes","H",IF($B98="","",IF(AND($C98&lt;=#REF!,$D98&gt;=#REF!),IF($G98="","x","y"),"")))</f>
        <v>#REF!</v>
      </c>
      <c r="AY98" s="270" t="e">
        <f>IF(#REF!="Yes","H",IF($B98="","",IF(AND($C98&lt;=#REF!,$D98&gt;=#REF!),IF($G98="","x","y"),"")))</f>
        <v>#REF!</v>
      </c>
      <c r="AZ98" s="270" t="e">
        <f>IF(#REF!="Yes","H",IF($B98="","",IF(AND($C98&lt;=#REF!,$D98&gt;=#REF!),IF($G98="","x","y"),"")))</f>
        <v>#REF!</v>
      </c>
      <c r="BA98" s="270" t="e">
        <f>IF(#REF!="Yes","H",IF($B98="","",IF(AND($C98&lt;=#REF!,$D98&gt;=#REF!),IF($G98="","x","y"),"")))</f>
        <v>#REF!</v>
      </c>
      <c r="BB98" s="271" t="e">
        <f>IF(#REF!="Yes","H",IF($B98="","",IF(AND($C98&lt;=#REF!,$D98&gt;=#REF!),IF($G98="","x","y"),"")))</f>
        <v>#REF!</v>
      </c>
      <c r="BC98" s="272" t="e">
        <f>IF(#REF!="Yes","H",IF($B98="","",IF(AND($C98&lt;=#REF!,$D98&gt;=#REF!),IF($G98="","x","y"),"")))</f>
        <v>#REF!</v>
      </c>
      <c r="BD98" s="270" t="e">
        <f>IF(#REF!="Yes","H",IF($B98="","",IF(AND($C98&lt;=#REF!,$D98&gt;=#REF!),IF($G98="","x","y"),"")))</f>
        <v>#REF!</v>
      </c>
      <c r="BE98" s="270" t="e">
        <f>IF(#REF!="Yes","H",IF($B98="","",IF(AND($C98&lt;=#REF!,$D98&gt;=#REF!),IF($G98="","x","y"),"")))</f>
        <v>#REF!</v>
      </c>
      <c r="BF98" s="270" t="e">
        <f>IF(#REF!="Yes","H",IF($B98="","",IF(AND($C98&lt;=#REF!,$D98&gt;=#REF!),IF($G98="","x","y"),"")))</f>
        <v>#REF!</v>
      </c>
      <c r="BG98" s="273" t="e">
        <f>IF(#REF!="Yes","H",IF($B98="","",IF(AND($C98&lt;=#REF!,$D98&gt;=#REF!),IF($G98="","x","y"),"")))</f>
        <v>#REF!</v>
      </c>
      <c r="BH98" s="274" t="e">
        <f>IF(#REF!="Yes","H",IF($B98="","",IF(AND($C98&lt;=#REF!,$D98&gt;=#REF!),IF($G98="","x","y"),"")))</f>
        <v>#REF!</v>
      </c>
      <c r="BI98" s="270" t="e">
        <f>IF(#REF!="Yes","H",IF($B98="","",IF(AND($C98&lt;=#REF!,$D98&gt;=#REF!),IF($G98="","x","y"),"")))</f>
        <v>#REF!</v>
      </c>
      <c r="BJ98" s="270" t="e">
        <f>IF(#REF!="Yes","H",IF($B98="","",IF(AND($C98&lt;=#REF!,$D98&gt;=#REF!),IF($G98="","x","y"),"")))</f>
        <v>#REF!</v>
      </c>
      <c r="BK98" s="270" t="e">
        <f>IF(#REF!="Yes","H",IF($B98="","",IF(AND($C98&lt;=#REF!,$D98&gt;=#REF!),IF($G98="","x","y"),"")))</f>
        <v>#REF!</v>
      </c>
      <c r="BL98" s="271" t="e">
        <f>IF(#REF!="Yes","H",IF($B98="","",IF(AND($C98&lt;=#REF!,$D98&gt;=#REF!),IF($G98="","x","y"),"")))</f>
        <v>#REF!</v>
      </c>
      <c r="BM98" s="272" t="e">
        <f>IF(#REF!="Yes","H",IF($B98="","",IF(AND($C98&lt;=#REF!,$D98&gt;=#REF!),IF($G98="","x","y"),"")))</f>
        <v>#REF!</v>
      </c>
      <c r="BN98" s="270" t="e">
        <f>IF(#REF!="Yes","H",IF($B98="","",IF(AND($C98&lt;=#REF!,$D98&gt;=#REF!),IF($G98="","x","y"),"")))</f>
        <v>#REF!</v>
      </c>
      <c r="BO98" s="270" t="e">
        <f>IF(#REF!="Yes","H",IF($B98="","",IF(AND($C98&lt;=#REF!,$D98&gt;=#REF!),IF($G98="","x","y"),"")))</f>
        <v>#REF!</v>
      </c>
      <c r="BP98" s="270" t="e">
        <f>IF(#REF!="Yes","H",IF($B98="","",IF(AND($C98&lt;=#REF!,$D98&gt;=#REF!),IF($G98="","x","y"),"")))</f>
        <v>#REF!</v>
      </c>
      <c r="BQ98" s="273" t="e">
        <f>IF(#REF!="Yes","H",IF($B98="","",IF(AND($C98&lt;=#REF!,$D98&gt;=#REF!),IF($G98="","x","y"),"")))</f>
        <v>#REF!</v>
      </c>
      <c r="BR98" s="274" t="e">
        <f>IF(#REF!="Yes","H",IF($B98="","",IF(AND($C98&lt;=#REF!,$D98&gt;=#REF!),IF($G98="","x","y"),"")))</f>
        <v>#REF!</v>
      </c>
      <c r="BS98" s="270" t="e">
        <f>IF(#REF!="Yes","H",IF($B98="","",IF(AND($C98&lt;=#REF!,$D98&gt;=#REF!),IF($G98="","x","y"),"")))</f>
        <v>#REF!</v>
      </c>
      <c r="BT98" s="270" t="e">
        <f>IF(#REF!="Yes","H",IF($B98="","",IF(AND($C98&lt;=#REF!,$D98&gt;=#REF!),IF($G98="","x","y"),"")))</f>
        <v>#REF!</v>
      </c>
      <c r="BU98" s="270" t="e">
        <f>IF(#REF!="Yes","H",IF($B98="","",IF(AND($C98&lt;=#REF!,$D98&gt;=#REF!),IF($G98="","x","y"),"")))</f>
        <v>#REF!</v>
      </c>
      <c r="BV98" s="271" t="e">
        <f>IF(#REF!="Yes","H",IF($B98="","",IF(AND($C98&lt;=#REF!,$D98&gt;=#REF!),IF($G98="","x","y"),"")))</f>
        <v>#REF!</v>
      </c>
      <c r="BW98" s="272" t="e">
        <f>IF(#REF!="Yes","H",IF($B98="","",IF(AND($C98&lt;=#REF!,$D98&gt;=#REF!),IF($G98="","x","y"),"")))</f>
        <v>#REF!</v>
      </c>
      <c r="BX98" s="270" t="e">
        <f>IF(#REF!="Yes","H",IF($B98="","",IF(AND($C98&lt;=#REF!,$D98&gt;=#REF!),IF($G98="","x","y"),"")))</f>
        <v>#REF!</v>
      </c>
      <c r="BY98" s="270" t="e">
        <f>IF(#REF!="Yes","H",IF($B98="","",IF(AND($C98&lt;=#REF!,$D98&gt;=#REF!),IF($G98="","x","y"),"")))</f>
        <v>#REF!</v>
      </c>
      <c r="BZ98" s="270" t="e">
        <f>IF(#REF!="Yes","H",IF($B98="","",IF(AND($C98&lt;=#REF!,$D98&gt;=#REF!),IF($G98="","x","y"),"")))</f>
        <v>#REF!</v>
      </c>
      <c r="CA98" s="273" t="e">
        <f>IF(#REF!="Yes","H",IF($B98="","",IF(AND($C98&lt;=#REF!,$D98&gt;=#REF!),IF($G98="","x","y"),"")))</f>
        <v>#REF!</v>
      </c>
    </row>
    <row r="99" spans="2:79" ht="15" customHeight="1">
      <c r="B99" s="279"/>
      <c r="C99" s="280"/>
      <c r="D99" s="280"/>
      <c r="E99" s="223"/>
      <c r="F99" s="225"/>
      <c r="G99" s="275"/>
      <c r="H99" s="209"/>
      <c r="I99" s="211"/>
      <c r="J99" s="269" t="e">
        <f>IF(#REF!="Yes","H",IF($B99="","",IF(AND($C99&lt;=#REF!,$D99&gt;=#REF!),IF($G99="","x","y"),"")))</f>
        <v>#REF!</v>
      </c>
      <c r="K99" s="270" t="e">
        <f>IF(#REF!="Yes","H",IF($B99="","",IF(AND($C99&lt;=#REF!,$D99&gt;=#REF!),IF($G99="","x","y"),"")))</f>
        <v>#REF!</v>
      </c>
      <c r="L99" s="270" t="e">
        <f>IF(#REF!="Yes","H",IF($B99="","",IF(AND($C99&lt;=#REF!,$D99&gt;=#REF!),IF($G99="","x","y"),"")))</f>
        <v>#REF!</v>
      </c>
      <c r="M99" s="270" t="e">
        <f>IF(#REF!="Yes","H",IF($B99="","",IF(AND($C99&lt;=#REF!,$D99&gt;=#REF!),IF($G99="","x","y"),"")))</f>
        <v>#REF!</v>
      </c>
      <c r="N99" s="271" t="e">
        <f>IF(#REF!="Yes","H",IF($B99="","",IF(AND($C99&lt;=#REF!,$D99&gt;=#REF!),IF($G99="","x","y"),"")))</f>
        <v>#REF!</v>
      </c>
      <c r="O99" s="272" t="e">
        <f>IF(#REF!="Yes","H",IF($B99="","",IF(AND($C99&lt;=#REF!,$D99&gt;=#REF!),IF($G99="","x","y"),"")))</f>
        <v>#REF!</v>
      </c>
      <c r="P99" s="270" t="e">
        <f>IF(#REF!="Yes","H",IF($B99="","",IF(AND($C99&lt;=#REF!,$D99&gt;=#REF!),IF($G99="","x","y"),"")))</f>
        <v>#REF!</v>
      </c>
      <c r="Q99" s="270" t="e">
        <f>IF(#REF!="Yes","H",IF($B99="","",IF(AND($C99&lt;=#REF!,$D99&gt;=#REF!),IF($G99="","x","y"),"")))</f>
        <v>#REF!</v>
      </c>
      <c r="R99" s="270" t="e">
        <f>IF(#REF!="Yes","H",IF($B99="","",IF(AND($C99&lt;=#REF!,$D99&gt;=#REF!),IF($G99="","x","y"),"")))</f>
        <v>#REF!</v>
      </c>
      <c r="S99" s="273" t="e">
        <f>IF(#REF!="Yes","H",IF($B99="","",IF(AND($C99&lt;=#REF!,$D99&gt;=#REF!),IF($G99="","x","y"),"")))</f>
        <v>#REF!</v>
      </c>
      <c r="T99" s="274" t="e">
        <f>IF(#REF!="Yes","H",IF($B99="","",IF(AND($C99&lt;=#REF!,$D99&gt;=#REF!),IF($G99="","x","y"),"")))</f>
        <v>#REF!</v>
      </c>
      <c r="U99" s="270" t="e">
        <f>IF(#REF!="Yes","H",IF($B99="","",IF(AND($C99&lt;=#REF!,$D99&gt;=#REF!),IF($G99="","x","y"),"")))</f>
        <v>#REF!</v>
      </c>
      <c r="V99" s="270" t="e">
        <f>IF(#REF!="Yes","H",IF($B99="","",IF(AND($C99&lt;=#REF!,$D99&gt;=#REF!),IF($G99="","x","y"),"")))</f>
        <v>#REF!</v>
      </c>
      <c r="W99" s="270" t="e">
        <f>IF(#REF!="Yes","H",IF($B99="","",IF(AND($C99&lt;=#REF!,$D99&gt;=#REF!),IF($G99="","x","y"),"")))</f>
        <v>#REF!</v>
      </c>
      <c r="X99" s="271" t="e">
        <f>IF(#REF!="Yes","H",IF($B99="","",IF(AND($C99&lt;=#REF!,$D99&gt;=#REF!),IF($G99="","x","y"),"")))</f>
        <v>#REF!</v>
      </c>
      <c r="Y99" s="272" t="e">
        <f>IF(#REF!="Yes","H",IF($B99="","",IF(AND($C99&lt;=#REF!,$D99&gt;=#REF!),IF($G99="","x","y"),"")))</f>
        <v>#REF!</v>
      </c>
      <c r="Z99" s="270" t="e">
        <f>IF(#REF!="Yes","H",IF($B99="","",IF(AND($C99&lt;=#REF!,$D99&gt;=#REF!),IF($G99="","x","y"),"")))</f>
        <v>#REF!</v>
      </c>
      <c r="AA99" s="270" t="e">
        <f>IF(#REF!="Yes","H",IF($B99="","",IF(AND($C99&lt;=#REF!,$D99&gt;=#REF!),IF($G99="","x","y"),"")))</f>
        <v>#REF!</v>
      </c>
      <c r="AB99" s="270" t="e">
        <f>IF(#REF!="Yes","H",IF($B99="","",IF(AND($C99&lt;=#REF!,$D99&gt;=#REF!),IF($G99="","x","y"),"")))</f>
        <v>#REF!</v>
      </c>
      <c r="AC99" s="273" t="e">
        <f>IF(#REF!="Yes","H",IF($B99="","",IF(AND($C99&lt;=#REF!,$D99&gt;=#REF!),IF($G99="","x","y"),"")))</f>
        <v>#REF!</v>
      </c>
      <c r="AD99" s="274" t="e">
        <f>IF(#REF!="Yes","H",IF($B99="","",IF(AND($C99&lt;=#REF!,$D99&gt;=#REF!),IF($G99="","x","y"),"")))</f>
        <v>#REF!</v>
      </c>
      <c r="AE99" s="270" t="e">
        <f>IF(#REF!="Yes","H",IF($B99="","",IF(AND($C99&lt;=#REF!,$D99&gt;=#REF!),IF($G99="","x","y"),"")))</f>
        <v>#REF!</v>
      </c>
      <c r="AF99" s="270" t="e">
        <f>IF(#REF!="Yes","H",IF($B99="","",IF(AND($C99&lt;=#REF!,$D99&gt;=#REF!),IF($G99="","x","y"),"")))</f>
        <v>#REF!</v>
      </c>
      <c r="AG99" s="270" t="e">
        <f>IF(#REF!="Yes","H",IF($B99="","",IF(AND($C99&lt;=#REF!,$D99&gt;=#REF!),IF($G99="","x","y"),"")))</f>
        <v>#REF!</v>
      </c>
      <c r="AH99" s="271" t="e">
        <f>IF(#REF!="Yes","H",IF($B99="","",IF(AND($C99&lt;=#REF!,$D99&gt;=#REF!),IF($G99="","x","y"),"")))</f>
        <v>#REF!</v>
      </c>
      <c r="AI99" s="272" t="e">
        <f>IF(#REF!="Yes","H",IF($B99="","",IF(AND($C99&lt;=#REF!,$D99&gt;=#REF!),IF($G99="","x","y"),"")))</f>
        <v>#REF!</v>
      </c>
      <c r="AJ99" s="270" t="e">
        <f>IF(#REF!="Yes","H",IF($B99="","",IF(AND($C99&lt;=#REF!,$D99&gt;=#REF!),IF($G99="","x","y"),"")))</f>
        <v>#REF!</v>
      </c>
      <c r="AK99" s="270" t="e">
        <f>IF(#REF!="Yes","H",IF($B99="","",IF(AND($C99&lt;=#REF!,$D99&gt;=#REF!),IF($G99="","x","y"),"")))</f>
        <v>#REF!</v>
      </c>
      <c r="AL99" s="270" t="e">
        <f>IF(#REF!="Yes","H",IF($B99="","",IF(AND($C99&lt;=#REF!,$D99&gt;=#REF!),IF($G99="","x","y"),"")))</f>
        <v>#REF!</v>
      </c>
      <c r="AM99" s="273" t="e">
        <f>IF(#REF!="Yes","H",IF($B99="","",IF(AND($C99&lt;=#REF!,$D99&gt;=#REF!),IF($G99="","x","y"),"")))</f>
        <v>#REF!</v>
      </c>
      <c r="AN99" s="274" t="e">
        <f>IF(#REF!="Yes","H",IF($B99="","",IF(AND($C99&lt;=#REF!,$D99&gt;=#REF!),IF($G99="","x","y"),"")))</f>
        <v>#REF!</v>
      </c>
      <c r="AO99" s="270" t="e">
        <f>IF(#REF!="Yes","H",IF($B99="","",IF(AND($C99&lt;=#REF!,$D99&gt;=#REF!),IF($G99="","x","y"),"")))</f>
        <v>#REF!</v>
      </c>
      <c r="AP99" s="270" t="e">
        <f>IF(#REF!="Yes","H",IF($B99="","",IF(AND($C99&lt;=#REF!,$D99&gt;=#REF!),IF($G99="","x","y"),"")))</f>
        <v>#REF!</v>
      </c>
      <c r="AQ99" s="270" t="e">
        <f>IF(#REF!="Yes","H",IF($B99="","",IF(AND($C99&lt;=#REF!,$D99&gt;=#REF!),IF($G99="","x","y"),"")))</f>
        <v>#REF!</v>
      </c>
      <c r="AR99" s="271" t="e">
        <f>IF(#REF!="Yes","H",IF($B99="","",IF(AND($C99&lt;=#REF!,$D99&gt;=#REF!),IF($G99="","x","y"),"")))</f>
        <v>#REF!</v>
      </c>
      <c r="AS99" s="272" t="e">
        <f>IF(#REF!="Yes","H",IF($B99="","",IF(AND($C99&lt;=#REF!,$D99&gt;=#REF!),IF($G99="","x","y"),"")))</f>
        <v>#REF!</v>
      </c>
      <c r="AT99" s="270" t="e">
        <f>IF(#REF!="Yes","H",IF($B99="","",IF(AND($C99&lt;=#REF!,$D99&gt;=#REF!),IF($G99="","x","y"),"")))</f>
        <v>#REF!</v>
      </c>
      <c r="AU99" s="270" t="e">
        <f>IF(#REF!="Yes","H",IF($B99="","",IF(AND($C99&lt;=#REF!,$D99&gt;=#REF!),IF($G99="","x","y"),"")))</f>
        <v>#REF!</v>
      </c>
      <c r="AV99" s="270" t="e">
        <f>IF(#REF!="Yes","H",IF($B99="","",IF(AND($C99&lt;=#REF!,$D99&gt;=#REF!),IF($G99="","x","y"),"")))</f>
        <v>#REF!</v>
      </c>
      <c r="AW99" s="273" t="e">
        <f>IF(#REF!="Yes","H",IF($B99="","",IF(AND($C99&lt;=#REF!,$D99&gt;=#REF!),IF($G99="","x","y"),"")))</f>
        <v>#REF!</v>
      </c>
      <c r="AX99" s="274" t="e">
        <f>IF(#REF!="Yes","H",IF($B99="","",IF(AND($C99&lt;=#REF!,$D99&gt;=#REF!),IF($G99="","x","y"),"")))</f>
        <v>#REF!</v>
      </c>
      <c r="AY99" s="270" t="e">
        <f>IF(#REF!="Yes","H",IF($B99="","",IF(AND($C99&lt;=#REF!,$D99&gt;=#REF!),IF($G99="","x","y"),"")))</f>
        <v>#REF!</v>
      </c>
      <c r="AZ99" s="270" t="e">
        <f>IF(#REF!="Yes","H",IF($B99="","",IF(AND($C99&lt;=#REF!,$D99&gt;=#REF!),IF($G99="","x","y"),"")))</f>
        <v>#REF!</v>
      </c>
      <c r="BA99" s="270" t="e">
        <f>IF(#REF!="Yes","H",IF($B99="","",IF(AND($C99&lt;=#REF!,$D99&gt;=#REF!),IF($G99="","x","y"),"")))</f>
        <v>#REF!</v>
      </c>
      <c r="BB99" s="271" t="e">
        <f>IF(#REF!="Yes","H",IF($B99="","",IF(AND($C99&lt;=#REF!,$D99&gt;=#REF!),IF($G99="","x","y"),"")))</f>
        <v>#REF!</v>
      </c>
      <c r="BC99" s="272" t="e">
        <f>IF(#REF!="Yes","H",IF($B99="","",IF(AND($C99&lt;=#REF!,$D99&gt;=#REF!),IF($G99="","x","y"),"")))</f>
        <v>#REF!</v>
      </c>
      <c r="BD99" s="270" t="e">
        <f>IF(#REF!="Yes","H",IF($B99="","",IF(AND($C99&lt;=#REF!,$D99&gt;=#REF!),IF($G99="","x","y"),"")))</f>
        <v>#REF!</v>
      </c>
      <c r="BE99" s="270" t="e">
        <f>IF(#REF!="Yes","H",IF($B99="","",IF(AND($C99&lt;=#REF!,$D99&gt;=#REF!),IF($G99="","x","y"),"")))</f>
        <v>#REF!</v>
      </c>
      <c r="BF99" s="270" t="e">
        <f>IF(#REF!="Yes","H",IF($B99="","",IF(AND($C99&lt;=#REF!,$D99&gt;=#REF!),IF($G99="","x","y"),"")))</f>
        <v>#REF!</v>
      </c>
      <c r="BG99" s="273" t="e">
        <f>IF(#REF!="Yes","H",IF($B99="","",IF(AND($C99&lt;=#REF!,$D99&gt;=#REF!),IF($G99="","x","y"),"")))</f>
        <v>#REF!</v>
      </c>
      <c r="BH99" s="274" t="e">
        <f>IF(#REF!="Yes","H",IF($B99="","",IF(AND($C99&lt;=#REF!,$D99&gt;=#REF!),IF($G99="","x","y"),"")))</f>
        <v>#REF!</v>
      </c>
      <c r="BI99" s="270" t="e">
        <f>IF(#REF!="Yes","H",IF($B99="","",IF(AND($C99&lt;=#REF!,$D99&gt;=#REF!),IF($G99="","x","y"),"")))</f>
        <v>#REF!</v>
      </c>
      <c r="BJ99" s="270" t="e">
        <f>IF(#REF!="Yes","H",IF($B99="","",IF(AND($C99&lt;=#REF!,$D99&gt;=#REF!),IF($G99="","x","y"),"")))</f>
        <v>#REF!</v>
      </c>
      <c r="BK99" s="270" t="e">
        <f>IF(#REF!="Yes","H",IF($B99="","",IF(AND($C99&lt;=#REF!,$D99&gt;=#REF!),IF($G99="","x","y"),"")))</f>
        <v>#REF!</v>
      </c>
      <c r="BL99" s="271" t="e">
        <f>IF(#REF!="Yes","H",IF($B99="","",IF(AND($C99&lt;=#REF!,$D99&gt;=#REF!),IF($G99="","x","y"),"")))</f>
        <v>#REF!</v>
      </c>
      <c r="BM99" s="272" t="e">
        <f>IF(#REF!="Yes","H",IF($B99="","",IF(AND($C99&lt;=#REF!,$D99&gt;=#REF!),IF($G99="","x","y"),"")))</f>
        <v>#REF!</v>
      </c>
      <c r="BN99" s="270" t="e">
        <f>IF(#REF!="Yes","H",IF($B99="","",IF(AND($C99&lt;=#REF!,$D99&gt;=#REF!),IF($G99="","x","y"),"")))</f>
        <v>#REF!</v>
      </c>
      <c r="BO99" s="270" t="e">
        <f>IF(#REF!="Yes","H",IF($B99="","",IF(AND($C99&lt;=#REF!,$D99&gt;=#REF!),IF($G99="","x","y"),"")))</f>
        <v>#REF!</v>
      </c>
      <c r="BP99" s="270" t="e">
        <f>IF(#REF!="Yes","H",IF($B99="","",IF(AND($C99&lt;=#REF!,$D99&gt;=#REF!),IF($G99="","x","y"),"")))</f>
        <v>#REF!</v>
      </c>
      <c r="BQ99" s="273" t="e">
        <f>IF(#REF!="Yes","H",IF($B99="","",IF(AND($C99&lt;=#REF!,$D99&gt;=#REF!),IF($G99="","x","y"),"")))</f>
        <v>#REF!</v>
      </c>
      <c r="BR99" s="274" t="e">
        <f>IF(#REF!="Yes","H",IF($B99="","",IF(AND($C99&lt;=#REF!,$D99&gt;=#REF!),IF($G99="","x","y"),"")))</f>
        <v>#REF!</v>
      </c>
      <c r="BS99" s="270" t="e">
        <f>IF(#REF!="Yes","H",IF($B99="","",IF(AND($C99&lt;=#REF!,$D99&gt;=#REF!),IF($G99="","x","y"),"")))</f>
        <v>#REF!</v>
      </c>
      <c r="BT99" s="270" t="e">
        <f>IF(#REF!="Yes","H",IF($B99="","",IF(AND($C99&lt;=#REF!,$D99&gt;=#REF!),IF($G99="","x","y"),"")))</f>
        <v>#REF!</v>
      </c>
      <c r="BU99" s="270" t="e">
        <f>IF(#REF!="Yes","H",IF($B99="","",IF(AND($C99&lt;=#REF!,$D99&gt;=#REF!),IF($G99="","x","y"),"")))</f>
        <v>#REF!</v>
      </c>
      <c r="BV99" s="271" t="e">
        <f>IF(#REF!="Yes","H",IF($B99="","",IF(AND($C99&lt;=#REF!,$D99&gt;=#REF!),IF($G99="","x","y"),"")))</f>
        <v>#REF!</v>
      </c>
      <c r="BW99" s="272" t="e">
        <f>IF(#REF!="Yes","H",IF($B99="","",IF(AND($C99&lt;=#REF!,$D99&gt;=#REF!),IF($G99="","x","y"),"")))</f>
        <v>#REF!</v>
      </c>
      <c r="BX99" s="270" t="e">
        <f>IF(#REF!="Yes","H",IF($B99="","",IF(AND($C99&lt;=#REF!,$D99&gt;=#REF!),IF($G99="","x","y"),"")))</f>
        <v>#REF!</v>
      </c>
      <c r="BY99" s="270" t="e">
        <f>IF(#REF!="Yes","H",IF($B99="","",IF(AND($C99&lt;=#REF!,$D99&gt;=#REF!),IF($G99="","x","y"),"")))</f>
        <v>#REF!</v>
      </c>
      <c r="BZ99" s="270" t="e">
        <f>IF(#REF!="Yes","H",IF($B99="","",IF(AND($C99&lt;=#REF!,$D99&gt;=#REF!),IF($G99="","x","y"),"")))</f>
        <v>#REF!</v>
      </c>
      <c r="CA99" s="273" t="e">
        <f>IF(#REF!="Yes","H",IF($B99="","",IF(AND($C99&lt;=#REF!,$D99&gt;=#REF!),IF($G99="","x","y"),"")))</f>
        <v>#REF!</v>
      </c>
    </row>
    <row r="100" spans="2:79" ht="15" customHeight="1">
      <c r="B100" s="281"/>
      <c r="C100" s="280"/>
      <c r="D100" s="280"/>
      <c r="E100" s="223"/>
      <c r="F100" s="224"/>
      <c r="G100" s="275"/>
      <c r="H100" s="209"/>
      <c r="I100" s="211"/>
      <c r="J100" s="269" t="e">
        <f>IF(#REF!="Yes","H",IF($B100="","",IF(AND($C100&lt;=#REF!,$D100&gt;=#REF!),IF($G100="","x","y"),"")))</f>
        <v>#REF!</v>
      </c>
      <c r="K100" s="270" t="e">
        <f>IF(#REF!="Yes","H",IF($B100="","",IF(AND($C100&lt;=#REF!,$D100&gt;=#REF!),IF($G100="","x","y"),"")))</f>
        <v>#REF!</v>
      </c>
      <c r="L100" s="270" t="e">
        <f>IF(#REF!="Yes","H",IF($B100="","",IF(AND($C100&lt;=#REF!,$D100&gt;=#REF!),IF($G100="","x","y"),"")))</f>
        <v>#REF!</v>
      </c>
      <c r="M100" s="270" t="e">
        <f>IF(#REF!="Yes","H",IF($B100="","",IF(AND($C100&lt;=#REF!,$D100&gt;=#REF!),IF($G100="","x","y"),"")))</f>
        <v>#REF!</v>
      </c>
      <c r="N100" s="271" t="e">
        <f>IF(#REF!="Yes","H",IF($B100="","",IF(AND($C100&lt;=#REF!,$D100&gt;=#REF!),IF($G100="","x","y"),"")))</f>
        <v>#REF!</v>
      </c>
      <c r="O100" s="272" t="e">
        <f>IF(#REF!="Yes","H",IF($B100="","",IF(AND($C100&lt;=#REF!,$D100&gt;=#REF!),IF($G100="","x","y"),"")))</f>
        <v>#REF!</v>
      </c>
      <c r="P100" s="270" t="e">
        <f>IF(#REF!="Yes","H",IF($B100="","",IF(AND($C100&lt;=#REF!,$D100&gt;=#REF!),IF($G100="","x","y"),"")))</f>
        <v>#REF!</v>
      </c>
      <c r="Q100" s="270" t="e">
        <f>IF(#REF!="Yes","H",IF($B100="","",IF(AND($C100&lt;=#REF!,$D100&gt;=#REF!),IF($G100="","x","y"),"")))</f>
        <v>#REF!</v>
      </c>
      <c r="R100" s="270" t="e">
        <f>IF(#REF!="Yes","H",IF($B100="","",IF(AND($C100&lt;=#REF!,$D100&gt;=#REF!),IF($G100="","x","y"),"")))</f>
        <v>#REF!</v>
      </c>
      <c r="S100" s="273" t="e">
        <f>IF(#REF!="Yes","H",IF($B100="","",IF(AND($C100&lt;=#REF!,$D100&gt;=#REF!),IF($G100="","x","y"),"")))</f>
        <v>#REF!</v>
      </c>
      <c r="T100" s="274" t="e">
        <f>IF(#REF!="Yes","H",IF($B100="","",IF(AND($C100&lt;=#REF!,$D100&gt;=#REF!),IF($G100="","x","y"),"")))</f>
        <v>#REF!</v>
      </c>
      <c r="U100" s="270" t="e">
        <f>IF(#REF!="Yes","H",IF($B100="","",IF(AND($C100&lt;=#REF!,$D100&gt;=#REF!),IF($G100="","x","y"),"")))</f>
        <v>#REF!</v>
      </c>
      <c r="V100" s="270" t="e">
        <f>IF(#REF!="Yes","H",IF($B100="","",IF(AND($C100&lt;=#REF!,$D100&gt;=#REF!),IF($G100="","x","y"),"")))</f>
        <v>#REF!</v>
      </c>
      <c r="W100" s="270" t="e">
        <f>IF(#REF!="Yes","H",IF($B100="","",IF(AND($C100&lt;=#REF!,$D100&gt;=#REF!),IF($G100="","x","y"),"")))</f>
        <v>#REF!</v>
      </c>
      <c r="X100" s="271" t="e">
        <f>IF(#REF!="Yes","H",IF($B100="","",IF(AND($C100&lt;=#REF!,$D100&gt;=#REF!),IF($G100="","x","y"),"")))</f>
        <v>#REF!</v>
      </c>
      <c r="Y100" s="272" t="e">
        <f>IF(#REF!="Yes","H",IF($B100="","",IF(AND($C100&lt;=#REF!,$D100&gt;=#REF!),IF($G100="","x","y"),"")))</f>
        <v>#REF!</v>
      </c>
      <c r="Z100" s="270" t="e">
        <f>IF(#REF!="Yes","H",IF($B100="","",IF(AND($C100&lt;=#REF!,$D100&gt;=#REF!),IF($G100="","x","y"),"")))</f>
        <v>#REF!</v>
      </c>
      <c r="AA100" s="270" t="e">
        <f>IF(#REF!="Yes","H",IF($B100="","",IF(AND($C100&lt;=#REF!,$D100&gt;=#REF!),IF($G100="","x","y"),"")))</f>
        <v>#REF!</v>
      </c>
      <c r="AB100" s="270" t="e">
        <f>IF(#REF!="Yes","H",IF($B100="","",IF(AND($C100&lt;=#REF!,$D100&gt;=#REF!),IF($G100="","x","y"),"")))</f>
        <v>#REF!</v>
      </c>
      <c r="AC100" s="273" t="e">
        <f>IF(#REF!="Yes","H",IF($B100="","",IF(AND($C100&lt;=#REF!,$D100&gt;=#REF!),IF($G100="","x","y"),"")))</f>
        <v>#REF!</v>
      </c>
      <c r="AD100" s="274" t="e">
        <f>IF(#REF!="Yes","H",IF($B100="","",IF(AND($C100&lt;=#REF!,$D100&gt;=#REF!),IF($G100="","x","y"),"")))</f>
        <v>#REF!</v>
      </c>
      <c r="AE100" s="270" t="e">
        <f>IF(#REF!="Yes","H",IF($B100="","",IF(AND($C100&lt;=#REF!,$D100&gt;=#REF!),IF($G100="","x","y"),"")))</f>
        <v>#REF!</v>
      </c>
      <c r="AF100" s="270" t="e">
        <f>IF(#REF!="Yes","H",IF($B100="","",IF(AND($C100&lt;=#REF!,$D100&gt;=#REF!),IF($G100="","x","y"),"")))</f>
        <v>#REF!</v>
      </c>
      <c r="AG100" s="270" t="e">
        <f>IF(#REF!="Yes","H",IF($B100="","",IF(AND($C100&lt;=#REF!,$D100&gt;=#REF!),IF($G100="","x","y"),"")))</f>
        <v>#REF!</v>
      </c>
      <c r="AH100" s="271" t="e">
        <f>IF(#REF!="Yes","H",IF($B100="","",IF(AND($C100&lt;=#REF!,$D100&gt;=#REF!),IF($G100="","x","y"),"")))</f>
        <v>#REF!</v>
      </c>
      <c r="AI100" s="272" t="e">
        <f>IF(#REF!="Yes","H",IF($B100="","",IF(AND($C100&lt;=#REF!,$D100&gt;=#REF!),IF($G100="","x","y"),"")))</f>
        <v>#REF!</v>
      </c>
      <c r="AJ100" s="270" t="e">
        <f>IF(#REF!="Yes","H",IF($B100="","",IF(AND($C100&lt;=#REF!,$D100&gt;=#REF!),IF($G100="","x","y"),"")))</f>
        <v>#REF!</v>
      </c>
      <c r="AK100" s="270" t="e">
        <f>IF(#REF!="Yes","H",IF($B100="","",IF(AND($C100&lt;=#REF!,$D100&gt;=#REF!),IF($G100="","x","y"),"")))</f>
        <v>#REF!</v>
      </c>
      <c r="AL100" s="270" t="e">
        <f>IF(#REF!="Yes","H",IF($B100="","",IF(AND($C100&lt;=#REF!,$D100&gt;=#REF!),IF($G100="","x","y"),"")))</f>
        <v>#REF!</v>
      </c>
      <c r="AM100" s="273" t="e">
        <f>IF(#REF!="Yes","H",IF($B100="","",IF(AND($C100&lt;=#REF!,$D100&gt;=#REF!),IF($G100="","x","y"),"")))</f>
        <v>#REF!</v>
      </c>
      <c r="AN100" s="274" t="e">
        <f>IF(#REF!="Yes","H",IF($B100="","",IF(AND($C100&lt;=#REF!,$D100&gt;=#REF!),IF($G100="","x","y"),"")))</f>
        <v>#REF!</v>
      </c>
      <c r="AO100" s="270" t="e">
        <f>IF(#REF!="Yes","H",IF($B100="","",IF(AND($C100&lt;=#REF!,$D100&gt;=#REF!),IF($G100="","x","y"),"")))</f>
        <v>#REF!</v>
      </c>
      <c r="AP100" s="270" t="e">
        <f>IF(#REF!="Yes","H",IF($B100="","",IF(AND($C100&lt;=#REF!,$D100&gt;=#REF!),IF($G100="","x","y"),"")))</f>
        <v>#REF!</v>
      </c>
      <c r="AQ100" s="270" t="e">
        <f>IF(#REF!="Yes","H",IF($B100="","",IF(AND($C100&lt;=#REF!,$D100&gt;=#REF!),IF($G100="","x","y"),"")))</f>
        <v>#REF!</v>
      </c>
      <c r="AR100" s="271" t="e">
        <f>IF(#REF!="Yes","H",IF($B100="","",IF(AND($C100&lt;=#REF!,$D100&gt;=#REF!),IF($G100="","x","y"),"")))</f>
        <v>#REF!</v>
      </c>
      <c r="AS100" s="272" t="e">
        <f>IF(#REF!="Yes","H",IF($B100="","",IF(AND($C100&lt;=#REF!,$D100&gt;=#REF!),IF($G100="","x","y"),"")))</f>
        <v>#REF!</v>
      </c>
      <c r="AT100" s="270" t="e">
        <f>IF(#REF!="Yes","H",IF($B100="","",IF(AND($C100&lt;=#REF!,$D100&gt;=#REF!),IF($G100="","x","y"),"")))</f>
        <v>#REF!</v>
      </c>
      <c r="AU100" s="270" t="e">
        <f>IF(#REF!="Yes","H",IF($B100="","",IF(AND($C100&lt;=#REF!,$D100&gt;=#REF!),IF($G100="","x","y"),"")))</f>
        <v>#REF!</v>
      </c>
      <c r="AV100" s="270" t="e">
        <f>IF(#REF!="Yes","H",IF($B100="","",IF(AND($C100&lt;=#REF!,$D100&gt;=#REF!),IF($G100="","x","y"),"")))</f>
        <v>#REF!</v>
      </c>
      <c r="AW100" s="273" t="e">
        <f>IF(#REF!="Yes","H",IF($B100="","",IF(AND($C100&lt;=#REF!,$D100&gt;=#REF!),IF($G100="","x","y"),"")))</f>
        <v>#REF!</v>
      </c>
      <c r="AX100" s="274" t="e">
        <f>IF(#REF!="Yes","H",IF($B100="","",IF(AND($C100&lt;=#REF!,$D100&gt;=#REF!),IF($G100="","x","y"),"")))</f>
        <v>#REF!</v>
      </c>
      <c r="AY100" s="270" t="e">
        <f>IF(#REF!="Yes","H",IF($B100="","",IF(AND($C100&lt;=#REF!,$D100&gt;=#REF!),IF($G100="","x","y"),"")))</f>
        <v>#REF!</v>
      </c>
      <c r="AZ100" s="270" t="e">
        <f>IF(#REF!="Yes","H",IF($B100="","",IF(AND($C100&lt;=#REF!,$D100&gt;=#REF!),IF($G100="","x","y"),"")))</f>
        <v>#REF!</v>
      </c>
      <c r="BA100" s="270" t="e">
        <f>IF(#REF!="Yes","H",IF($B100="","",IF(AND($C100&lt;=#REF!,$D100&gt;=#REF!),IF($G100="","x","y"),"")))</f>
        <v>#REF!</v>
      </c>
      <c r="BB100" s="271" t="e">
        <f>IF(#REF!="Yes","H",IF($B100="","",IF(AND($C100&lt;=#REF!,$D100&gt;=#REF!),IF($G100="","x","y"),"")))</f>
        <v>#REF!</v>
      </c>
      <c r="BC100" s="272" t="e">
        <f>IF(#REF!="Yes","H",IF($B100="","",IF(AND($C100&lt;=#REF!,$D100&gt;=#REF!),IF($G100="","x","y"),"")))</f>
        <v>#REF!</v>
      </c>
      <c r="BD100" s="270" t="e">
        <f>IF(#REF!="Yes","H",IF($B100="","",IF(AND($C100&lt;=#REF!,$D100&gt;=#REF!),IF($G100="","x","y"),"")))</f>
        <v>#REF!</v>
      </c>
      <c r="BE100" s="270" t="e">
        <f>IF(#REF!="Yes","H",IF($B100="","",IF(AND($C100&lt;=#REF!,$D100&gt;=#REF!),IF($G100="","x","y"),"")))</f>
        <v>#REF!</v>
      </c>
      <c r="BF100" s="270" t="e">
        <f>IF(#REF!="Yes","H",IF($B100="","",IF(AND($C100&lt;=#REF!,$D100&gt;=#REF!),IF($G100="","x","y"),"")))</f>
        <v>#REF!</v>
      </c>
      <c r="BG100" s="273" t="e">
        <f>IF(#REF!="Yes","H",IF($B100="","",IF(AND($C100&lt;=#REF!,$D100&gt;=#REF!),IF($G100="","x","y"),"")))</f>
        <v>#REF!</v>
      </c>
      <c r="BH100" s="274" t="e">
        <f>IF(#REF!="Yes","H",IF($B100="","",IF(AND($C100&lt;=#REF!,$D100&gt;=#REF!),IF($G100="","x","y"),"")))</f>
        <v>#REF!</v>
      </c>
      <c r="BI100" s="270" t="e">
        <f>IF(#REF!="Yes","H",IF($B100="","",IF(AND($C100&lt;=#REF!,$D100&gt;=#REF!),IF($G100="","x","y"),"")))</f>
        <v>#REF!</v>
      </c>
      <c r="BJ100" s="270" t="e">
        <f>IF(#REF!="Yes","H",IF($B100="","",IF(AND($C100&lt;=#REF!,$D100&gt;=#REF!),IF($G100="","x","y"),"")))</f>
        <v>#REF!</v>
      </c>
      <c r="BK100" s="270" t="e">
        <f>IF(#REF!="Yes","H",IF($B100="","",IF(AND($C100&lt;=#REF!,$D100&gt;=#REF!),IF($G100="","x","y"),"")))</f>
        <v>#REF!</v>
      </c>
      <c r="BL100" s="271" t="e">
        <f>IF(#REF!="Yes","H",IF($B100="","",IF(AND($C100&lt;=#REF!,$D100&gt;=#REF!),IF($G100="","x","y"),"")))</f>
        <v>#REF!</v>
      </c>
      <c r="BM100" s="272" t="e">
        <f>IF(#REF!="Yes","H",IF($B100="","",IF(AND($C100&lt;=#REF!,$D100&gt;=#REF!),IF($G100="","x","y"),"")))</f>
        <v>#REF!</v>
      </c>
      <c r="BN100" s="270" t="e">
        <f>IF(#REF!="Yes","H",IF($B100="","",IF(AND($C100&lt;=#REF!,$D100&gt;=#REF!),IF($G100="","x","y"),"")))</f>
        <v>#REF!</v>
      </c>
      <c r="BO100" s="270" t="e">
        <f>IF(#REF!="Yes","H",IF($B100="","",IF(AND($C100&lt;=#REF!,$D100&gt;=#REF!),IF($G100="","x","y"),"")))</f>
        <v>#REF!</v>
      </c>
      <c r="BP100" s="270" t="e">
        <f>IF(#REF!="Yes","H",IF($B100="","",IF(AND($C100&lt;=#REF!,$D100&gt;=#REF!),IF($G100="","x","y"),"")))</f>
        <v>#REF!</v>
      </c>
      <c r="BQ100" s="273" t="e">
        <f>IF(#REF!="Yes","H",IF($B100="","",IF(AND($C100&lt;=#REF!,$D100&gt;=#REF!),IF($G100="","x","y"),"")))</f>
        <v>#REF!</v>
      </c>
      <c r="BR100" s="274" t="e">
        <f>IF(#REF!="Yes","H",IF($B100="","",IF(AND($C100&lt;=#REF!,$D100&gt;=#REF!),IF($G100="","x","y"),"")))</f>
        <v>#REF!</v>
      </c>
      <c r="BS100" s="270" t="e">
        <f>IF(#REF!="Yes","H",IF($B100="","",IF(AND($C100&lt;=#REF!,$D100&gt;=#REF!),IF($G100="","x","y"),"")))</f>
        <v>#REF!</v>
      </c>
      <c r="BT100" s="270" t="e">
        <f>IF(#REF!="Yes","H",IF($B100="","",IF(AND($C100&lt;=#REF!,$D100&gt;=#REF!),IF($G100="","x","y"),"")))</f>
        <v>#REF!</v>
      </c>
      <c r="BU100" s="270" t="e">
        <f>IF(#REF!="Yes","H",IF($B100="","",IF(AND($C100&lt;=#REF!,$D100&gt;=#REF!),IF($G100="","x","y"),"")))</f>
        <v>#REF!</v>
      </c>
      <c r="BV100" s="271" t="e">
        <f>IF(#REF!="Yes","H",IF($B100="","",IF(AND($C100&lt;=#REF!,$D100&gt;=#REF!),IF($G100="","x","y"),"")))</f>
        <v>#REF!</v>
      </c>
      <c r="BW100" s="272" t="e">
        <f>IF(#REF!="Yes","H",IF($B100="","",IF(AND($C100&lt;=#REF!,$D100&gt;=#REF!),IF($G100="","x","y"),"")))</f>
        <v>#REF!</v>
      </c>
      <c r="BX100" s="270" t="e">
        <f>IF(#REF!="Yes","H",IF($B100="","",IF(AND($C100&lt;=#REF!,$D100&gt;=#REF!),IF($G100="","x","y"),"")))</f>
        <v>#REF!</v>
      </c>
      <c r="BY100" s="270" t="e">
        <f>IF(#REF!="Yes","H",IF($B100="","",IF(AND($C100&lt;=#REF!,$D100&gt;=#REF!),IF($G100="","x","y"),"")))</f>
        <v>#REF!</v>
      </c>
      <c r="BZ100" s="270" t="e">
        <f>IF(#REF!="Yes","H",IF($B100="","",IF(AND($C100&lt;=#REF!,$D100&gt;=#REF!),IF($G100="","x","y"),"")))</f>
        <v>#REF!</v>
      </c>
      <c r="CA100" s="273" t="e">
        <f>IF(#REF!="Yes","H",IF($B100="","",IF(AND($C100&lt;=#REF!,$D100&gt;=#REF!),IF($G100="","x","y"),"")))</f>
        <v>#REF!</v>
      </c>
    </row>
    <row r="101" spans="2:79" ht="15" customHeight="1">
      <c r="B101" s="140"/>
      <c r="C101" s="223"/>
      <c r="D101" s="223"/>
      <c r="E101" s="223"/>
      <c r="F101" s="224"/>
      <c r="G101" s="275"/>
      <c r="H101" s="209"/>
      <c r="I101" s="211"/>
      <c r="J101" s="269" t="e">
        <f>IF(#REF!="Yes","H",IF($B101="","",IF(AND($C101&lt;=#REF!,$D101&gt;=#REF!),IF($G101="","x","y"),"")))</f>
        <v>#REF!</v>
      </c>
      <c r="K101" s="270" t="e">
        <f>IF(#REF!="Yes","H",IF($B101="","",IF(AND($C101&lt;=#REF!,$D101&gt;=#REF!),IF($G101="","x","y"),"")))</f>
        <v>#REF!</v>
      </c>
      <c r="L101" s="270" t="e">
        <f>IF(#REF!="Yes","H",IF($B101="","",IF(AND($C101&lt;=#REF!,$D101&gt;=#REF!),IF($G101="","x","y"),"")))</f>
        <v>#REF!</v>
      </c>
      <c r="M101" s="270" t="e">
        <f>IF(#REF!="Yes","H",IF($B101="","",IF(AND($C101&lt;=#REF!,$D101&gt;=#REF!),IF($G101="","x","y"),"")))</f>
        <v>#REF!</v>
      </c>
      <c r="N101" s="271" t="e">
        <f>IF(#REF!="Yes","H",IF($B101="","",IF(AND($C101&lt;=#REF!,$D101&gt;=#REF!),IF($G101="","x","y"),"")))</f>
        <v>#REF!</v>
      </c>
      <c r="O101" s="272" t="e">
        <f>IF(#REF!="Yes","H",IF($B101="","",IF(AND($C101&lt;=#REF!,$D101&gt;=#REF!),IF($G101="","x","y"),"")))</f>
        <v>#REF!</v>
      </c>
      <c r="P101" s="270" t="e">
        <f>IF(#REF!="Yes","H",IF($B101="","",IF(AND($C101&lt;=#REF!,$D101&gt;=#REF!),IF($G101="","x","y"),"")))</f>
        <v>#REF!</v>
      </c>
      <c r="Q101" s="270" t="e">
        <f>IF(#REF!="Yes","H",IF($B101="","",IF(AND($C101&lt;=#REF!,$D101&gt;=#REF!),IF($G101="","x","y"),"")))</f>
        <v>#REF!</v>
      </c>
      <c r="R101" s="270" t="e">
        <f>IF(#REF!="Yes","H",IF($B101="","",IF(AND($C101&lt;=#REF!,$D101&gt;=#REF!),IF($G101="","x","y"),"")))</f>
        <v>#REF!</v>
      </c>
      <c r="S101" s="273" t="e">
        <f>IF(#REF!="Yes","H",IF($B101="","",IF(AND($C101&lt;=#REF!,$D101&gt;=#REF!),IF($G101="","x","y"),"")))</f>
        <v>#REF!</v>
      </c>
      <c r="T101" s="274" t="e">
        <f>IF(#REF!="Yes","H",IF($B101="","",IF(AND($C101&lt;=#REF!,$D101&gt;=#REF!),IF($G101="","x","y"),"")))</f>
        <v>#REF!</v>
      </c>
      <c r="U101" s="270" t="e">
        <f>IF(#REF!="Yes","H",IF($B101="","",IF(AND($C101&lt;=#REF!,$D101&gt;=#REF!),IF($G101="","x","y"),"")))</f>
        <v>#REF!</v>
      </c>
      <c r="V101" s="270" t="e">
        <f>IF(#REF!="Yes","H",IF($B101="","",IF(AND($C101&lt;=#REF!,$D101&gt;=#REF!),IF($G101="","x","y"),"")))</f>
        <v>#REF!</v>
      </c>
      <c r="W101" s="270" t="e">
        <f>IF(#REF!="Yes","H",IF($B101="","",IF(AND($C101&lt;=#REF!,$D101&gt;=#REF!),IF($G101="","x","y"),"")))</f>
        <v>#REF!</v>
      </c>
      <c r="X101" s="271" t="e">
        <f>IF(#REF!="Yes","H",IF($B101="","",IF(AND($C101&lt;=#REF!,$D101&gt;=#REF!),IF($G101="","x","y"),"")))</f>
        <v>#REF!</v>
      </c>
      <c r="Y101" s="272" t="e">
        <f>IF(#REF!="Yes","H",IF($B101="","",IF(AND($C101&lt;=#REF!,$D101&gt;=#REF!),IF($G101="","x","y"),"")))</f>
        <v>#REF!</v>
      </c>
      <c r="Z101" s="270" t="e">
        <f>IF(#REF!="Yes","H",IF($B101="","",IF(AND($C101&lt;=#REF!,$D101&gt;=#REF!),IF($G101="","x","y"),"")))</f>
        <v>#REF!</v>
      </c>
      <c r="AA101" s="270" t="e">
        <f>IF(#REF!="Yes","H",IF($B101="","",IF(AND($C101&lt;=#REF!,$D101&gt;=#REF!),IF($G101="","x","y"),"")))</f>
        <v>#REF!</v>
      </c>
      <c r="AB101" s="270" t="e">
        <f>IF(#REF!="Yes","H",IF($B101="","",IF(AND($C101&lt;=#REF!,$D101&gt;=#REF!),IF($G101="","x","y"),"")))</f>
        <v>#REF!</v>
      </c>
      <c r="AC101" s="273" t="e">
        <f>IF(#REF!="Yes","H",IF($B101="","",IF(AND($C101&lt;=#REF!,$D101&gt;=#REF!),IF($G101="","x","y"),"")))</f>
        <v>#REF!</v>
      </c>
      <c r="AD101" s="274" t="e">
        <f>IF(#REF!="Yes","H",IF($B101="","",IF(AND($C101&lt;=#REF!,$D101&gt;=#REF!),IF($G101="","x","y"),"")))</f>
        <v>#REF!</v>
      </c>
      <c r="AE101" s="270" t="e">
        <f>IF(#REF!="Yes","H",IF($B101="","",IF(AND($C101&lt;=#REF!,$D101&gt;=#REF!),IF($G101="","x","y"),"")))</f>
        <v>#REF!</v>
      </c>
      <c r="AF101" s="270" t="e">
        <f>IF(#REF!="Yes","H",IF($B101="","",IF(AND($C101&lt;=#REF!,$D101&gt;=#REF!),IF($G101="","x","y"),"")))</f>
        <v>#REF!</v>
      </c>
      <c r="AG101" s="270" t="e">
        <f>IF(#REF!="Yes","H",IF($B101="","",IF(AND($C101&lt;=#REF!,$D101&gt;=#REF!),IF($G101="","x","y"),"")))</f>
        <v>#REF!</v>
      </c>
      <c r="AH101" s="271" t="e">
        <f>IF(#REF!="Yes","H",IF($B101="","",IF(AND($C101&lt;=#REF!,$D101&gt;=#REF!),IF($G101="","x","y"),"")))</f>
        <v>#REF!</v>
      </c>
      <c r="AI101" s="272" t="e">
        <f>IF(#REF!="Yes","H",IF($B101="","",IF(AND($C101&lt;=#REF!,$D101&gt;=#REF!),IF($G101="","x","y"),"")))</f>
        <v>#REF!</v>
      </c>
      <c r="AJ101" s="270" t="e">
        <f>IF(#REF!="Yes","H",IF($B101="","",IF(AND($C101&lt;=#REF!,$D101&gt;=#REF!),IF($G101="","x","y"),"")))</f>
        <v>#REF!</v>
      </c>
      <c r="AK101" s="270" t="e">
        <f>IF(#REF!="Yes","H",IF($B101="","",IF(AND($C101&lt;=#REF!,$D101&gt;=#REF!),IF($G101="","x","y"),"")))</f>
        <v>#REF!</v>
      </c>
      <c r="AL101" s="270" t="e">
        <f>IF(#REF!="Yes","H",IF($B101="","",IF(AND($C101&lt;=#REF!,$D101&gt;=#REF!),IF($G101="","x","y"),"")))</f>
        <v>#REF!</v>
      </c>
      <c r="AM101" s="273" t="e">
        <f>IF(#REF!="Yes","H",IF($B101="","",IF(AND($C101&lt;=#REF!,$D101&gt;=#REF!),IF($G101="","x","y"),"")))</f>
        <v>#REF!</v>
      </c>
      <c r="AN101" s="274" t="e">
        <f>IF(#REF!="Yes","H",IF($B101="","",IF(AND($C101&lt;=#REF!,$D101&gt;=#REF!),IF($G101="","x","y"),"")))</f>
        <v>#REF!</v>
      </c>
      <c r="AO101" s="270" t="e">
        <f>IF(#REF!="Yes","H",IF($B101="","",IF(AND($C101&lt;=#REF!,$D101&gt;=#REF!),IF($G101="","x","y"),"")))</f>
        <v>#REF!</v>
      </c>
      <c r="AP101" s="270" t="e">
        <f>IF(#REF!="Yes","H",IF($B101="","",IF(AND($C101&lt;=#REF!,$D101&gt;=#REF!),IF($G101="","x","y"),"")))</f>
        <v>#REF!</v>
      </c>
      <c r="AQ101" s="270" t="e">
        <f>IF(#REF!="Yes","H",IF($B101="","",IF(AND($C101&lt;=#REF!,$D101&gt;=#REF!),IF($G101="","x","y"),"")))</f>
        <v>#REF!</v>
      </c>
      <c r="AR101" s="271" t="e">
        <f>IF(#REF!="Yes","H",IF($B101="","",IF(AND($C101&lt;=#REF!,$D101&gt;=#REF!),IF($G101="","x","y"),"")))</f>
        <v>#REF!</v>
      </c>
      <c r="AS101" s="272" t="e">
        <f>IF(#REF!="Yes","H",IF($B101="","",IF(AND($C101&lt;=#REF!,$D101&gt;=#REF!),IF($G101="","x","y"),"")))</f>
        <v>#REF!</v>
      </c>
      <c r="AT101" s="270" t="e">
        <f>IF(#REF!="Yes","H",IF($B101="","",IF(AND($C101&lt;=#REF!,$D101&gt;=#REF!),IF($G101="","x","y"),"")))</f>
        <v>#REF!</v>
      </c>
      <c r="AU101" s="270" t="e">
        <f>IF(#REF!="Yes","H",IF($B101="","",IF(AND($C101&lt;=#REF!,$D101&gt;=#REF!),IF($G101="","x","y"),"")))</f>
        <v>#REF!</v>
      </c>
      <c r="AV101" s="270" t="e">
        <f>IF(#REF!="Yes","H",IF($B101="","",IF(AND($C101&lt;=#REF!,$D101&gt;=#REF!),IF($G101="","x","y"),"")))</f>
        <v>#REF!</v>
      </c>
      <c r="AW101" s="273" t="e">
        <f>IF(#REF!="Yes","H",IF($B101="","",IF(AND($C101&lt;=#REF!,$D101&gt;=#REF!),IF($G101="","x","y"),"")))</f>
        <v>#REF!</v>
      </c>
      <c r="AX101" s="274" t="e">
        <f>IF(#REF!="Yes","H",IF($B101="","",IF(AND($C101&lt;=#REF!,$D101&gt;=#REF!),IF($G101="","x","y"),"")))</f>
        <v>#REF!</v>
      </c>
      <c r="AY101" s="270" t="e">
        <f>IF(#REF!="Yes","H",IF($B101="","",IF(AND($C101&lt;=#REF!,$D101&gt;=#REF!),IF($G101="","x","y"),"")))</f>
        <v>#REF!</v>
      </c>
      <c r="AZ101" s="270" t="e">
        <f>IF(#REF!="Yes","H",IF($B101="","",IF(AND($C101&lt;=#REF!,$D101&gt;=#REF!),IF($G101="","x","y"),"")))</f>
        <v>#REF!</v>
      </c>
      <c r="BA101" s="270" t="e">
        <f>IF(#REF!="Yes","H",IF($B101="","",IF(AND($C101&lt;=#REF!,$D101&gt;=#REF!),IF($G101="","x","y"),"")))</f>
        <v>#REF!</v>
      </c>
      <c r="BB101" s="271" t="e">
        <f>IF(#REF!="Yes","H",IF($B101="","",IF(AND($C101&lt;=#REF!,$D101&gt;=#REF!),IF($G101="","x","y"),"")))</f>
        <v>#REF!</v>
      </c>
      <c r="BC101" s="272" t="e">
        <f>IF(#REF!="Yes","H",IF($B101="","",IF(AND($C101&lt;=#REF!,$D101&gt;=#REF!),IF($G101="","x","y"),"")))</f>
        <v>#REF!</v>
      </c>
      <c r="BD101" s="270" t="e">
        <f>IF(#REF!="Yes","H",IF($B101="","",IF(AND($C101&lt;=#REF!,$D101&gt;=#REF!),IF($G101="","x","y"),"")))</f>
        <v>#REF!</v>
      </c>
      <c r="BE101" s="270" t="e">
        <f>IF(#REF!="Yes","H",IF($B101="","",IF(AND($C101&lt;=#REF!,$D101&gt;=#REF!),IF($G101="","x","y"),"")))</f>
        <v>#REF!</v>
      </c>
      <c r="BF101" s="270" t="e">
        <f>IF(#REF!="Yes","H",IF($B101="","",IF(AND($C101&lt;=#REF!,$D101&gt;=#REF!),IF($G101="","x","y"),"")))</f>
        <v>#REF!</v>
      </c>
      <c r="BG101" s="273" t="e">
        <f>IF(#REF!="Yes","H",IF($B101="","",IF(AND($C101&lt;=#REF!,$D101&gt;=#REF!),IF($G101="","x","y"),"")))</f>
        <v>#REF!</v>
      </c>
      <c r="BH101" s="274" t="e">
        <f>IF(#REF!="Yes","H",IF($B101="","",IF(AND($C101&lt;=#REF!,$D101&gt;=#REF!),IF($G101="","x","y"),"")))</f>
        <v>#REF!</v>
      </c>
      <c r="BI101" s="270" t="e">
        <f>IF(#REF!="Yes","H",IF($B101="","",IF(AND($C101&lt;=#REF!,$D101&gt;=#REF!),IF($G101="","x","y"),"")))</f>
        <v>#REF!</v>
      </c>
      <c r="BJ101" s="270" t="e">
        <f>IF(#REF!="Yes","H",IF($B101="","",IF(AND($C101&lt;=#REF!,$D101&gt;=#REF!),IF($G101="","x","y"),"")))</f>
        <v>#REF!</v>
      </c>
      <c r="BK101" s="270" t="e">
        <f>IF(#REF!="Yes","H",IF($B101="","",IF(AND($C101&lt;=#REF!,$D101&gt;=#REF!),IF($G101="","x","y"),"")))</f>
        <v>#REF!</v>
      </c>
      <c r="BL101" s="271" t="e">
        <f>IF(#REF!="Yes","H",IF($B101="","",IF(AND($C101&lt;=#REF!,$D101&gt;=#REF!),IF($G101="","x","y"),"")))</f>
        <v>#REF!</v>
      </c>
      <c r="BM101" s="272" t="e">
        <f>IF(#REF!="Yes","H",IF($B101="","",IF(AND($C101&lt;=#REF!,$D101&gt;=#REF!),IF($G101="","x","y"),"")))</f>
        <v>#REF!</v>
      </c>
      <c r="BN101" s="270" t="e">
        <f>IF(#REF!="Yes","H",IF($B101="","",IF(AND($C101&lt;=#REF!,$D101&gt;=#REF!),IF($G101="","x","y"),"")))</f>
        <v>#REF!</v>
      </c>
      <c r="BO101" s="270" t="e">
        <f>IF(#REF!="Yes","H",IF($B101="","",IF(AND($C101&lt;=#REF!,$D101&gt;=#REF!),IF($G101="","x","y"),"")))</f>
        <v>#REF!</v>
      </c>
      <c r="BP101" s="270" t="e">
        <f>IF(#REF!="Yes","H",IF($B101="","",IF(AND($C101&lt;=#REF!,$D101&gt;=#REF!),IF($G101="","x","y"),"")))</f>
        <v>#REF!</v>
      </c>
      <c r="BQ101" s="273" t="e">
        <f>IF(#REF!="Yes","H",IF($B101="","",IF(AND($C101&lt;=#REF!,$D101&gt;=#REF!),IF($G101="","x","y"),"")))</f>
        <v>#REF!</v>
      </c>
      <c r="BR101" s="274" t="e">
        <f>IF(#REF!="Yes","H",IF($B101="","",IF(AND($C101&lt;=#REF!,$D101&gt;=#REF!),IF($G101="","x","y"),"")))</f>
        <v>#REF!</v>
      </c>
      <c r="BS101" s="270" t="e">
        <f>IF(#REF!="Yes","H",IF($B101="","",IF(AND($C101&lt;=#REF!,$D101&gt;=#REF!),IF($G101="","x","y"),"")))</f>
        <v>#REF!</v>
      </c>
      <c r="BT101" s="270" t="e">
        <f>IF(#REF!="Yes","H",IF($B101="","",IF(AND($C101&lt;=#REF!,$D101&gt;=#REF!),IF($G101="","x","y"),"")))</f>
        <v>#REF!</v>
      </c>
      <c r="BU101" s="270" t="e">
        <f>IF(#REF!="Yes","H",IF($B101="","",IF(AND($C101&lt;=#REF!,$D101&gt;=#REF!),IF($G101="","x","y"),"")))</f>
        <v>#REF!</v>
      </c>
      <c r="BV101" s="271" t="e">
        <f>IF(#REF!="Yes","H",IF($B101="","",IF(AND($C101&lt;=#REF!,$D101&gt;=#REF!),IF($G101="","x","y"),"")))</f>
        <v>#REF!</v>
      </c>
      <c r="BW101" s="272" t="e">
        <f>IF(#REF!="Yes","H",IF($B101="","",IF(AND($C101&lt;=#REF!,$D101&gt;=#REF!),IF($G101="","x","y"),"")))</f>
        <v>#REF!</v>
      </c>
      <c r="BX101" s="270" t="e">
        <f>IF(#REF!="Yes","H",IF($B101="","",IF(AND($C101&lt;=#REF!,$D101&gt;=#REF!),IF($G101="","x","y"),"")))</f>
        <v>#REF!</v>
      </c>
      <c r="BY101" s="270" t="e">
        <f>IF(#REF!="Yes","H",IF($B101="","",IF(AND($C101&lt;=#REF!,$D101&gt;=#REF!),IF($G101="","x","y"),"")))</f>
        <v>#REF!</v>
      </c>
      <c r="BZ101" s="270" t="e">
        <f>IF(#REF!="Yes","H",IF($B101="","",IF(AND($C101&lt;=#REF!,$D101&gt;=#REF!),IF($G101="","x","y"),"")))</f>
        <v>#REF!</v>
      </c>
      <c r="CA101" s="273" t="e">
        <f>IF(#REF!="Yes","H",IF($B101="","",IF(AND($C101&lt;=#REF!,$D101&gt;=#REF!),IF($G101="","x","y"),"")))</f>
        <v>#REF!</v>
      </c>
    </row>
    <row r="102" spans="2:79" ht="15" customHeight="1">
      <c r="B102" s="141"/>
      <c r="C102" s="223"/>
      <c r="D102" s="223"/>
      <c r="E102" s="223"/>
      <c r="F102" s="224"/>
      <c r="G102" s="275"/>
      <c r="H102" s="209"/>
      <c r="I102" s="211"/>
      <c r="J102" s="269" t="e">
        <f>IF(#REF!="Yes","H",IF($B102="","",IF(AND($C102&lt;=#REF!,$D102&gt;=#REF!),IF($G102="","x","y"),"")))</f>
        <v>#REF!</v>
      </c>
      <c r="K102" s="270" t="e">
        <f>IF(#REF!="Yes","H",IF($B102="","",IF(AND($C102&lt;=#REF!,$D102&gt;=#REF!),IF($G102="","x","y"),"")))</f>
        <v>#REF!</v>
      </c>
      <c r="L102" s="270" t="e">
        <f>IF(#REF!="Yes","H",IF($B102="","",IF(AND($C102&lt;=#REF!,$D102&gt;=#REF!),IF($G102="","x","y"),"")))</f>
        <v>#REF!</v>
      </c>
      <c r="M102" s="270" t="e">
        <f>IF(#REF!="Yes","H",IF($B102="","",IF(AND($C102&lt;=#REF!,$D102&gt;=#REF!),IF($G102="","x","y"),"")))</f>
        <v>#REF!</v>
      </c>
      <c r="N102" s="271" t="e">
        <f>IF(#REF!="Yes","H",IF($B102="","",IF(AND($C102&lt;=#REF!,$D102&gt;=#REF!),IF($G102="","x","y"),"")))</f>
        <v>#REF!</v>
      </c>
      <c r="O102" s="272" t="e">
        <f>IF(#REF!="Yes","H",IF($B102="","",IF(AND($C102&lt;=#REF!,$D102&gt;=#REF!),IF($G102="","x","y"),"")))</f>
        <v>#REF!</v>
      </c>
      <c r="P102" s="270" t="e">
        <f>IF(#REF!="Yes","H",IF($B102="","",IF(AND($C102&lt;=#REF!,$D102&gt;=#REF!),IF($G102="","x","y"),"")))</f>
        <v>#REF!</v>
      </c>
      <c r="Q102" s="270" t="e">
        <f>IF(#REF!="Yes","H",IF($B102="","",IF(AND($C102&lt;=#REF!,$D102&gt;=#REF!),IF($G102="","x","y"),"")))</f>
        <v>#REF!</v>
      </c>
      <c r="R102" s="270" t="e">
        <f>IF(#REF!="Yes","H",IF($B102="","",IF(AND($C102&lt;=#REF!,$D102&gt;=#REF!),IF($G102="","x","y"),"")))</f>
        <v>#REF!</v>
      </c>
      <c r="S102" s="273" t="e">
        <f>IF(#REF!="Yes","H",IF($B102="","",IF(AND($C102&lt;=#REF!,$D102&gt;=#REF!),IF($G102="","x","y"),"")))</f>
        <v>#REF!</v>
      </c>
      <c r="T102" s="274" t="e">
        <f>IF(#REF!="Yes","H",IF($B102="","",IF(AND($C102&lt;=#REF!,$D102&gt;=#REF!),IF($G102="","x","y"),"")))</f>
        <v>#REF!</v>
      </c>
      <c r="U102" s="270" t="e">
        <f>IF(#REF!="Yes","H",IF($B102="","",IF(AND($C102&lt;=#REF!,$D102&gt;=#REF!),IF($G102="","x","y"),"")))</f>
        <v>#REF!</v>
      </c>
      <c r="V102" s="270" t="e">
        <f>IF(#REF!="Yes","H",IF($B102="","",IF(AND($C102&lt;=#REF!,$D102&gt;=#REF!),IF($G102="","x","y"),"")))</f>
        <v>#REF!</v>
      </c>
      <c r="W102" s="270" t="e">
        <f>IF(#REF!="Yes","H",IF($B102="","",IF(AND($C102&lt;=#REF!,$D102&gt;=#REF!),IF($G102="","x","y"),"")))</f>
        <v>#REF!</v>
      </c>
      <c r="X102" s="271" t="e">
        <f>IF(#REF!="Yes","H",IF($B102="","",IF(AND($C102&lt;=#REF!,$D102&gt;=#REF!),IF($G102="","x","y"),"")))</f>
        <v>#REF!</v>
      </c>
      <c r="Y102" s="272" t="e">
        <f>IF(#REF!="Yes","H",IF($B102="","",IF(AND($C102&lt;=#REF!,$D102&gt;=#REF!),IF($G102="","x","y"),"")))</f>
        <v>#REF!</v>
      </c>
      <c r="Z102" s="270" t="e">
        <f>IF(#REF!="Yes","H",IF($B102="","",IF(AND($C102&lt;=#REF!,$D102&gt;=#REF!),IF($G102="","x","y"),"")))</f>
        <v>#REF!</v>
      </c>
      <c r="AA102" s="270" t="e">
        <f>IF(#REF!="Yes","H",IF($B102="","",IF(AND($C102&lt;=#REF!,$D102&gt;=#REF!),IF($G102="","x","y"),"")))</f>
        <v>#REF!</v>
      </c>
      <c r="AB102" s="270" t="e">
        <f>IF(#REF!="Yes","H",IF($B102="","",IF(AND($C102&lt;=#REF!,$D102&gt;=#REF!),IF($G102="","x","y"),"")))</f>
        <v>#REF!</v>
      </c>
      <c r="AC102" s="273" t="e">
        <f>IF(#REF!="Yes","H",IF($B102="","",IF(AND($C102&lt;=#REF!,$D102&gt;=#REF!),IF($G102="","x","y"),"")))</f>
        <v>#REF!</v>
      </c>
      <c r="AD102" s="274" t="e">
        <f>IF(#REF!="Yes","H",IF($B102="","",IF(AND($C102&lt;=#REF!,$D102&gt;=#REF!),IF($G102="","x","y"),"")))</f>
        <v>#REF!</v>
      </c>
      <c r="AE102" s="270" t="e">
        <f>IF(#REF!="Yes","H",IF($B102="","",IF(AND($C102&lt;=#REF!,$D102&gt;=#REF!),IF($G102="","x","y"),"")))</f>
        <v>#REF!</v>
      </c>
      <c r="AF102" s="270" t="e">
        <f>IF(#REF!="Yes","H",IF($B102="","",IF(AND($C102&lt;=#REF!,$D102&gt;=#REF!),IF($G102="","x","y"),"")))</f>
        <v>#REF!</v>
      </c>
      <c r="AG102" s="270" t="e">
        <f>IF(#REF!="Yes","H",IF($B102="","",IF(AND($C102&lt;=#REF!,$D102&gt;=#REF!),IF($G102="","x","y"),"")))</f>
        <v>#REF!</v>
      </c>
      <c r="AH102" s="271" t="e">
        <f>IF(#REF!="Yes","H",IF($B102="","",IF(AND($C102&lt;=#REF!,$D102&gt;=#REF!),IF($G102="","x","y"),"")))</f>
        <v>#REF!</v>
      </c>
      <c r="AI102" s="272" t="e">
        <f>IF(#REF!="Yes","H",IF($B102="","",IF(AND($C102&lt;=#REF!,$D102&gt;=#REF!),IF($G102="","x","y"),"")))</f>
        <v>#REF!</v>
      </c>
      <c r="AJ102" s="270" t="e">
        <f>IF(#REF!="Yes","H",IF($B102="","",IF(AND($C102&lt;=#REF!,$D102&gt;=#REF!),IF($G102="","x","y"),"")))</f>
        <v>#REF!</v>
      </c>
      <c r="AK102" s="270" t="e">
        <f>IF(#REF!="Yes","H",IF($B102="","",IF(AND($C102&lt;=#REF!,$D102&gt;=#REF!),IF($G102="","x","y"),"")))</f>
        <v>#REF!</v>
      </c>
      <c r="AL102" s="270" t="e">
        <f>IF(#REF!="Yes","H",IF($B102="","",IF(AND($C102&lt;=#REF!,$D102&gt;=#REF!),IF($G102="","x","y"),"")))</f>
        <v>#REF!</v>
      </c>
      <c r="AM102" s="273" t="e">
        <f>IF(#REF!="Yes","H",IF($B102="","",IF(AND($C102&lt;=#REF!,$D102&gt;=#REF!),IF($G102="","x","y"),"")))</f>
        <v>#REF!</v>
      </c>
      <c r="AN102" s="274" t="e">
        <f>IF(#REF!="Yes","H",IF($B102="","",IF(AND($C102&lt;=#REF!,$D102&gt;=#REF!),IF($G102="","x","y"),"")))</f>
        <v>#REF!</v>
      </c>
      <c r="AO102" s="270" t="e">
        <f>IF(#REF!="Yes","H",IF($B102="","",IF(AND($C102&lt;=#REF!,$D102&gt;=#REF!),IF($G102="","x","y"),"")))</f>
        <v>#REF!</v>
      </c>
      <c r="AP102" s="270" t="e">
        <f>IF(#REF!="Yes","H",IF($B102="","",IF(AND($C102&lt;=#REF!,$D102&gt;=#REF!),IF($G102="","x","y"),"")))</f>
        <v>#REF!</v>
      </c>
      <c r="AQ102" s="270" t="e">
        <f>IF(#REF!="Yes","H",IF($B102="","",IF(AND($C102&lt;=#REF!,$D102&gt;=#REF!),IF($G102="","x","y"),"")))</f>
        <v>#REF!</v>
      </c>
      <c r="AR102" s="271" t="e">
        <f>IF(#REF!="Yes","H",IF($B102="","",IF(AND($C102&lt;=#REF!,$D102&gt;=#REF!),IF($G102="","x","y"),"")))</f>
        <v>#REF!</v>
      </c>
      <c r="AS102" s="272" t="e">
        <f>IF(#REF!="Yes","H",IF($B102="","",IF(AND($C102&lt;=#REF!,$D102&gt;=#REF!),IF($G102="","x","y"),"")))</f>
        <v>#REF!</v>
      </c>
      <c r="AT102" s="270" t="e">
        <f>IF(#REF!="Yes","H",IF($B102="","",IF(AND($C102&lt;=#REF!,$D102&gt;=#REF!),IF($G102="","x","y"),"")))</f>
        <v>#REF!</v>
      </c>
      <c r="AU102" s="270" t="e">
        <f>IF(#REF!="Yes","H",IF($B102="","",IF(AND($C102&lt;=#REF!,$D102&gt;=#REF!),IF($G102="","x","y"),"")))</f>
        <v>#REF!</v>
      </c>
      <c r="AV102" s="270" t="e">
        <f>IF(#REF!="Yes","H",IF($B102="","",IF(AND($C102&lt;=#REF!,$D102&gt;=#REF!),IF($G102="","x","y"),"")))</f>
        <v>#REF!</v>
      </c>
      <c r="AW102" s="273" t="e">
        <f>IF(#REF!="Yes","H",IF($B102="","",IF(AND($C102&lt;=#REF!,$D102&gt;=#REF!),IF($G102="","x","y"),"")))</f>
        <v>#REF!</v>
      </c>
      <c r="AX102" s="274" t="e">
        <f>IF(#REF!="Yes","H",IF($B102="","",IF(AND($C102&lt;=#REF!,$D102&gt;=#REF!),IF($G102="","x","y"),"")))</f>
        <v>#REF!</v>
      </c>
      <c r="AY102" s="270" t="e">
        <f>IF(#REF!="Yes","H",IF($B102="","",IF(AND($C102&lt;=#REF!,$D102&gt;=#REF!),IF($G102="","x","y"),"")))</f>
        <v>#REF!</v>
      </c>
      <c r="AZ102" s="270" t="e">
        <f>IF(#REF!="Yes","H",IF($B102="","",IF(AND($C102&lt;=#REF!,$D102&gt;=#REF!),IF($G102="","x","y"),"")))</f>
        <v>#REF!</v>
      </c>
      <c r="BA102" s="270" t="e">
        <f>IF(#REF!="Yes","H",IF($B102="","",IF(AND($C102&lt;=#REF!,$D102&gt;=#REF!),IF($G102="","x","y"),"")))</f>
        <v>#REF!</v>
      </c>
      <c r="BB102" s="271" t="e">
        <f>IF(#REF!="Yes","H",IF($B102="","",IF(AND($C102&lt;=#REF!,$D102&gt;=#REF!),IF($G102="","x","y"),"")))</f>
        <v>#REF!</v>
      </c>
      <c r="BC102" s="272" t="e">
        <f>IF(#REF!="Yes","H",IF($B102="","",IF(AND($C102&lt;=#REF!,$D102&gt;=#REF!),IF($G102="","x","y"),"")))</f>
        <v>#REF!</v>
      </c>
      <c r="BD102" s="270" t="e">
        <f>IF(#REF!="Yes","H",IF($B102="","",IF(AND($C102&lt;=#REF!,$D102&gt;=#REF!),IF($G102="","x","y"),"")))</f>
        <v>#REF!</v>
      </c>
      <c r="BE102" s="270" t="e">
        <f>IF(#REF!="Yes","H",IF($B102="","",IF(AND($C102&lt;=#REF!,$D102&gt;=#REF!),IF($G102="","x","y"),"")))</f>
        <v>#REF!</v>
      </c>
      <c r="BF102" s="270" t="e">
        <f>IF(#REF!="Yes","H",IF($B102="","",IF(AND($C102&lt;=#REF!,$D102&gt;=#REF!),IF($G102="","x","y"),"")))</f>
        <v>#REF!</v>
      </c>
      <c r="BG102" s="273" t="e">
        <f>IF(#REF!="Yes","H",IF($B102="","",IF(AND($C102&lt;=#REF!,$D102&gt;=#REF!),IF($G102="","x","y"),"")))</f>
        <v>#REF!</v>
      </c>
      <c r="BH102" s="274" t="e">
        <f>IF(#REF!="Yes","H",IF($B102="","",IF(AND($C102&lt;=#REF!,$D102&gt;=#REF!),IF($G102="","x","y"),"")))</f>
        <v>#REF!</v>
      </c>
      <c r="BI102" s="270" t="e">
        <f>IF(#REF!="Yes","H",IF($B102="","",IF(AND($C102&lt;=#REF!,$D102&gt;=#REF!),IF($G102="","x","y"),"")))</f>
        <v>#REF!</v>
      </c>
      <c r="BJ102" s="270" t="e">
        <f>IF(#REF!="Yes","H",IF($B102="","",IF(AND($C102&lt;=#REF!,$D102&gt;=#REF!),IF($G102="","x","y"),"")))</f>
        <v>#REF!</v>
      </c>
      <c r="BK102" s="270" t="e">
        <f>IF(#REF!="Yes","H",IF($B102="","",IF(AND($C102&lt;=#REF!,$D102&gt;=#REF!),IF($G102="","x","y"),"")))</f>
        <v>#REF!</v>
      </c>
      <c r="BL102" s="271" t="e">
        <f>IF(#REF!="Yes","H",IF($B102="","",IF(AND($C102&lt;=#REF!,$D102&gt;=#REF!),IF($G102="","x","y"),"")))</f>
        <v>#REF!</v>
      </c>
      <c r="BM102" s="272" t="e">
        <f>IF(#REF!="Yes","H",IF($B102="","",IF(AND($C102&lt;=#REF!,$D102&gt;=#REF!),IF($G102="","x","y"),"")))</f>
        <v>#REF!</v>
      </c>
      <c r="BN102" s="270" t="e">
        <f>IF(#REF!="Yes","H",IF($B102="","",IF(AND($C102&lt;=#REF!,$D102&gt;=#REF!),IF($G102="","x","y"),"")))</f>
        <v>#REF!</v>
      </c>
      <c r="BO102" s="270" t="e">
        <f>IF(#REF!="Yes","H",IF($B102="","",IF(AND($C102&lt;=#REF!,$D102&gt;=#REF!),IF($G102="","x","y"),"")))</f>
        <v>#REF!</v>
      </c>
      <c r="BP102" s="270" t="e">
        <f>IF(#REF!="Yes","H",IF($B102="","",IF(AND($C102&lt;=#REF!,$D102&gt;=#REF!),IF($G102="","x","y"),"")))</f>
        <v>#REF!</v>
      </c>
      <c r="BQ102" s="273" t="e">
        <f>IF(#REF!="Yes","H",IF($B102="","",IF(AND($C102&lt;=#REF!,$D102&gt;=#REF!),IF($G102="","x","y"),"")))</f>
        <v>#REF!</v>
      </c>
      <c r="BR102" s="274" t="e">
        <f>IF(#REF!="Yes","H",IF($B102="","",IF(AND($C102&lt;=#REF!,$D102&gt;=#REF!),IF($G102="","x","y"),"")))</f>
        <v>#REF!</v>
      </c>
      <c r="BS102" s="270" t="e">
        <f>IF(#REF!="Yes","H",IF($B102="","",IF(AND($C102&lt;=#REF!,$D102&gt;=#REF!),IF($G102="","x","y"),"")))</f>
        <v>#REF!</v>
      </c>
      <c r="BT102" s="270" t="e">
        <f>IF(#REF!="Yes","H",IF($B102="","",IF(AND($C102&lt;=#REF!,$D102&gt;=#REF!),IF($G102="","x","y"),"")))</f>
        <v>#REF!</v>
      </c>
      <c r="BU102" s="270" t="e">
        <f>IF(#REF!="Yes","H",IF($B102="","",IF(AND($C102&lt;=#REF!,$D102&gt;=#REF!),IF($G102="","x","y"),"")))</f>
        <v>#REF!</v>
      </c>
      <c r="BV102" s="271" t="e">
        <f>IF(#REF!="Yes","H",IF($B102="","",IF(AND($C102&lt;=#REF!,$D102&gt;=#REF!),IF($G102="","x","y"),"")))</f>
        <v>#REF!</v>
      </c>
      <c r="BW102" s="272" t="e">
        <f>IF(#REF!="Yes","H",IF($B102="","",IF(AND($C102&lt;=#REF!,$D102&gt;=#REF!),IF($G102="","x","y"),"")))</f>
        <v>#REF!</v>
      </c>
      <c r="BX102" s="270" t="e">
        <f>IF(#REF!="Yes","H",IF($B102="","",IF(AND($C102&lt;=#REF!,$D102&gt;=#REF!),IF($G102="","x","y"),"")))</f>
        <v>#REF!</v>
      </c>
      <c r="BY102" s="270" t="e">
        <f>IF(#REF!="Yes","H",IF($B102="","",IF(AND($C102&lt;=#REF!,$D102&gt;=#REF!),IF($G102="","x","y"),"")))</f>
        <v>#REF!</v>
      </c>
      <c r="BZ102" s="270" t="e">
        <f>IF(#REF!="Yes","H",IF($B102="","",IF(AND($C102&lt;=#REF!,$D102&gt;=#REF!),IF($G102="","x","y"),"")))</f>
        <v>#REF!</v>
      </c>
      <c r="CA102" s="273" t="e">
        <f>IF(#REF!="Yes","H",IF($B102="","",IF(AND($C102&lt;=#REF!,$D102&gt;=#REF!),IF($G102="","x","y"),"")))</f>
        <v>#REF!</v>
      </c>
    </row>
    <row r="103" spans="2:79" ht="15" customHeight="1">
      <c r="B103" s="141"/>
      <c r="C103" s="223"/>
      <c r="D103" s="223"/>
      <c r="E103" s="223"/>
      <c r="F103" s="224"/>
      <c r="G103" s="275"/>
      <c r="H103" s="209"/>
      <c r="I103" s="211"/>
      <c r="J103" s="269" t="e">
        <f>IF(#REF!="Yes","H",IF($B103="","",IF(AND($C103&lt;=#REF!,$D103&gt;=#REF!),IF($G103="","x","y"),"")))</f>
        <v>#REF!</v>
      </c>
      <c r="K103" s="270" t="e">
        <f>IF(#REF!="Yes","H",IF($B103="","",IF(AND($C103&lt;=#REF!,$D103&gt;=#REF!),IF($G103="","x","y"),"")))</f>
        <v>#REF!</v>
      </c>
      <c r="L103" s="270" t="e">
        <f>IF(#REF!="Yes","H",IF($B103="","",IF(AND($C103&lt;=#REF!,$D103&gt;=#REF!),IF($G103="","x","y"),"")))</f>
        <v>#REF!</v>
      </c>
      <c r="M103" s="270" t="e">
        <f>IF(#REF!="Yes","H",IF($B103="","",IF(AND($C103&lt;=#REF!,$D103&gt;=#REF!),IF($G103="","x","y"),"")))</f>
        <v>#REF!</v>
      </c>
      <c r="N103" s="271" t="e">
        <f>IF(#REF!="Yes","H",IF($B103="","",IF(AND($C103&lt;=#REF!,$D103&gt;=#REF!),IF($G103="","x","y"),"")))</f>
        <v>#REF!</v>
      </c>
      <c r="O103" s="272" t="e">
        <f>IF(#REF!="Yes","H",IF($B103="","",IF(AND($C103&lt;=#REF!,$D103&gt;=#REF!),IF($G103="","x","y"),"")))</f>
        <v>#REF!</v>
      </c>
      <c r="P103" s="270" t="e">
        <f>IF(#REF!="Yes","H",IF($B103="","",IF(AND($C103&lt;=#REF!,$D103&gt;=#REF!),IF($G103="","x","y"),"")))</f>
        <v>#REF!</v>
      </c>
      <c r="Q103" s="270" t="e">
        <f>IF(#REF!="Yes","H",IF($B103="","",IF(AND($C103&lt;=#REF!,$D103&gt;=#REF!),IF($G103="","x","y"),"")))</f>
        <v>#REF!</v>
      </c>
      <c r="R103" s="270" t="e">
        <f>IF(#REF!="Yes","H",IF($B103="","",IF(AND($C103&lt;=#REF!,$D103&gt;=#REF!),IF($G103="","x","y"),"")))</f>
        <v>#REF!</v>
      </c>
      <c r="S103" s="273" t="e">
        <f>IF(#REF!="Yes","H",IF($B103="","",IF(AND($C103&lt;=#REF!,$D103&gt;=#REF!),IF($G103="","x","y"),"")))</f>
        <v>#REF!</v>
      </c>
      <c r="T103" s="274" t="e">
        <f>IF(#REF!="Yes","H",IF($B103="","",IF(AND($C103&lt;=#REF!,$D103&gt;=#REF!),IF($G103="","x","y"),"")))</f>
        <v>#REF!</v>
      </c>
      <c r="U103" s="270" t="e">
        <f>IF(#REF!="Yes","H",IF($B103="","",IF(AND($C103&lt;=#REF!,$D103&gt;=#REF!),IF($G103="","x","y"),"")))</f>
        <v>#REF!</v>
      </c>
      <c r="V103" s="270" t="e">
        <f>IF(#REF!="Yes","H",IF($B103="","",IF(AND($C103&lt;=#REF!,$D103&gt;=#REF!),IF($G103="","x","y"),"")))</f>
        <v>#REF!</v>
      </c>
      <c r="W103" s="270" t="e">
        <f>IF(#REF!="Yes","H",IF($B103="","",IF(AND($C103&lt;=#REF!,$D103&gt;=#REF!),IF($G103="","x","y"),"")))</f>
        <v>#REF!</v>
      </c>
      <c r="X103" s="271" t="e">
        <f>IF(#REF!="Yes","H",IF($B103="","",IF(AND($C103&lt;=#REF!,$D103&gt;=#REF!),IF($G103="","x","y"),"")))</f>
        <v>#REF!</v>
      </c>
      <c r="Y103" s="272" t="e">
        <f>IF(#REF!="Yes","H",IF($B103="","",IF(AND($C103&lt;=#REF!,$D103&gt;=#REF!),IF($G103="","x","y"),"")))</f>
        <v>#REF!</v>
      </c>
      <c r="Z103" s="270" t="e">
        <f>IF(#REF!="Yes","H",IF($B103="","",IF(AND($C103&lt;=#REF!,$D103&gt;=#REF!),IF($G103="","x","y"),"")))</f>
        <v>#REF!</v>
      </c>
      <c r="AA103" s="270" t="e">
        <f>IF(#REF!="Yes","H",IF($B103="","",IF(AND($C103&lt;=#REF!,$D103&gt;=#REF!),IF($G103="","x","y"),"")))</f>
        <v>#REF!</v>
      </c>
      <c r="AB103" s="270" t="e">
        <f>IF(#REF!="Yes","H",IF($B103="","",IF(AND($C103&lt;=#REF!,$D103&gt;=#REF!),IF($G103="","x","y"),"")))</f>
        <v>#REF!</v>
      </c>
      <c r="AC103" s="273" t="e">
        <f>IF(#REF!="Yes","H",IF($B103="","",IF(AND($C103&lt;=#REF!,$D103&gt;=#REF!),IF($G103="","x","y"),"")))</f>
        <v>#REF!</v>
      </c>
      <c r="AD103" s="274" t="e">
        <f>IF(#REF!="Yes","H",IF($B103="","",IF(AND($C103&lt;=#REF!,$D103&gt;=#REF!),IF($G103="","x","y"),"")))</f>
        <v>#REF!</v>
      </c>
      <c r="AE103" s="270" t="e">
        <f>IF(#REF!="Yes","H",IF($B103="","",IF(AND($C103&lt;=#REF!,$D103&gt;=#REF!),IF($G103="","x","y"),"")))</f>
        <v>#REF!</v>
      </c>
      <c r="AF103" s="270" t="e">
        <f>IF(#REF!="Yes","H",IF($B103="","",IF(AND($C103&lt;=#REF!,$D103&gt;=#REF!),IF($G103="","x","y"),"")))</f>
        <v>#REF!</v>
      </c>
      <c r="AG103" s="270" t="e">
        <f>IF(#REF!="Yes","H",IF($B103="","",IF(AND($C103&lt;=#REF!,$D103&gt;=#REF!),IF($G103="","x","y"),"")))</f>
        <v>#REF!</v>
      </c>
      <c r="AH103" s="271" t="e">
        <f>IF(#REF!="Yes","H",IF($B103="","",IF(AND($C103&lt;=#REF!,$D103&gt;=#REF!),IF($G103="","x","y"),"")))</f>
        <v>#REF!</v>
      </c>
      <c r="AI103" s="272" t="e">
        <f>IF(#REF!="Yes","H",IF($B103="","",IF(AND($C103&lt;=#REF!,$D103&gt;=#REF!),IF($G103="","x","y"),"")))</f>
        <v>#REF!</v>
      </c>
      <c r="AJ103" s="270" t="e">
        <f>IF(#REF!="Yes","H",IF($B103="","",IF(AND($C103&lt;=#REF!,$D103&gt;=#REF!),IF($G103="","x","y"),"")))</f>
        <v>#REF!</v>
      </c>
      <c r="AK103" s="270" t="e">
        <f>IF(#REF!="Yes","H",IF($B103="","",IF(AND($C103&lt;=#REF!,$D103&gt;=#REF!),IF($G103="","x","y"),"")))</f>
        <v>#REF!</v>
      </c>
      <c r="AL103" s="270" t="e">
        <f>IF(#REF!="Yes","H",IF($B103="","",IF(AND($C103&lt;=#REF!,$D103&gt;=#REF!),IF($G103="","x","y"),"")))</f>
        <v>#REF!</v>
      </c>
      <c r="AM103" s="273" t="e">
        <f>IF(#REF!="Yes","H",IF($B103="","",IF(AND($C103&lt;=#REF!,$D103&gt;=#REF!),IF($G103="","x","y"),"")))</f>
        <v>#REF!</v>
      </c>
      <c r="AN103" s="274" t="e">
        <f>IF(#REF!="Yes","H",IF($B103="","",IF(AND($C103&lt;=#REF!,$D103&gt;=#REF!),IF($G103="","x","y"),"")))</f>
        <v>#REF!</v>
      </c>
      <c r="AO103" s="270" t="e">
        <f>IF(#REF!="Yes","H",IF($B103="","",IF(AND($C103&lt;=#REF!,$D103&gt;=#REF!),IF($G103="","x","y"),"")))</f>
        <v>#REF!</v>
      </c>
      <c r="AP103" s="270" t="e">
        <f>IF(#REF!="Yes","H",IF($B103="","",IF(AND($C103&lt;=#REF!,$D103&gt;=#REF!),IF($G103="","x","y"),"")))</f>
        <v>#REF!</v>
      </c>
      <c r="AQ103" s="270" t="e">
        <f>IF(#REF!="Yes","H",IF($B103="","",IF(AND($C103&lt;=#REF!,$D103&gt;=#REF!),IF($G103="","x","y"),"")))</f>
        <v>#REF!</v>
      </c>
      <c r="AR103" s="271" t="e">
        <f>IF(#REF!="Yes","H",IF($B103="","",IF(AND($C103&lt;=#REF!,$D103&gt;=#REF!),IF($G103="","x","y"),"")))</f>
        <v>#REF!</v>
      </c>
      <c r="AS103" s="272" t="e">
        <f>IF(#REF!="Yes","H",IF($B103="","",IF(AND($C103&lt;=#REF!,$D103&gt;=#REF!),IF($G103="","x","y"),"")))</f>
        <v>#REF!</v>
      </c>
      <c r="AT103" s="270" t="e">
        <f>IF(#REF!="Yes","H",IF($B103="","",IF(AND($C103&lt;=#REF!,$D103&gt;=#REF!),IF($G103="","x","y"),"")))</f>
        <v>#REF!</v>
      </c>
      <c r="AU103" s="270" t="e">
        <f>IF(#REF!="Yes","H",IF($B103="","",IF(AND($C103&lt;=#REF!,$D103&gt;=#REF!),IF($G103="","x","y"),"")))</f>
        <v>#REF!</v>
      </c>
      <c r="AV103" s="270" t="e">
        <f>IF(#REF!="Yes","H",IF($B103="","",IF(AND($C103&lt;=#REF!,$D103&gt;=#REF!),IF($G103="","x","y"),"")))</f>
        <v>#REF!</v>
      </c>
      <c r="AW103" s="273" t="e">
        <f>IF(#REF!="Yes","H",IF($B103="","",IF(AND($C103&lt;=#REF!,$D103&gt;=#REF!),IF($G103="","x","y"),"")))</f>
        <v>#REF!</v>
      </c>
      <c r="AX103" s="274" t="e">
        <f>IF(#REF!="Yes","H",IF($B103="","",IF(AND($C103&lt;=#REF!,$D103&gt;=#REF!),IF($G103="","x","y"),"")))</f>
        <v>#REF!</v>
      </c>
      <c r="AY103" s="270" t="e">
        <f>IF(#REF!="Yes","H",IF($B103="","",IF(AND($C103&lt;=#REF!,$D103&gt;=#REF!),IF($G103="","x","y"),"")))</f>
        <v>#REF!</v>
      </c>
      <c r="AZ103" s="270" t="e">
        <f>IF(#REF!="Yes","H",IF($B103="","",IF(AND($C103&lt;=#REF!,$D103&gt;=#REF!),IF($G103="","x","y"),"")))</f>
        <v>#REF!</v>
      </c>
      <c r="BA103" s="270" t="e">
        <f>IF(#REF!="Yes","H",IF($B103="","",IF(AND($C103&lt;=#REF!,$D103&gt;=#REF!),IF($G103="","x","y"),"")))</f>
        <v>#REF!</v>
      </c>
      <c r="BB103" s="271" t="e">
        <f>IF(#REF!="Yes","H",IF($B103="","",IF(AND($C103&lt;=#REF!,$D103&gt;=#REF!),IF($G103="","x","y"),"")))</f>
        <v>#REF!</v>
      </c>
      <c r="BC103" s="272" t="e">
        <f>IF(#REF!="Yes","H",IF($B103="","",IF(AND($C103&lt;=#REF!,$D103&gt;=#REF!),IF($G103="","x","y"),"")))</f>
        <v>#REF!</v>
      </c>
      <c r="BD103" s="270" t="e">
        <f>IF(#REF!="Yes","H",IF($B103="","",IF(AND($C103&lt;=#REF!,$D103&gt;=#REF!),IF($G103="","x","y"),"")))</f>
        <v>#REF!</v>
      </c>
      <c r="BE103" s="270" t="e">
        <f>IF(#REF!="Yes","H",IF($B103="","",IF(AND($C103&lt;=#REF!,$D103&gt;=#REF!),IF($G103="","x","y"),"")))</f>
        <v>#REF!</v>
      </c>
      <c r="BF103" s="270" t="e">
        <f>IF(#REF!="Yes","H",IF($B103="","",IF(AND($C103&lt;=#REF!,$D103&gt;=#REF!),IF($G103="","x","y"),"")))</f>
        <v>#REF!</v>
      </c>
      <c r="BG103" s="273" t="e">
        <f>IF(#REF!="Yes","H",IF($B103="","",IF(AND($C103&lt;=#REF!,$D103&gt;=#REF!),IF($G103="","x","y"),"")))</f>
        <v>#REF!</v>
      </c>
      <c r="BH103" s="274" t="e">
        <f>IF(#REF!="Yes","H",IF($B103="","",IF(AND($C103&lt;=#REF!,$D103&gt;=#REF!),IF($G103="","x","y"),"")))</f>
        <v>#REF!</v>
      </c>
      <c r="BI103" s="270" t="e">
        <f>IF(#REF!="Yes","H",IF($B103="","",IF(AND($C103&lt;=#REF!,$D103&gt;=#REF!),IF($G103="","x","y"),"")))</f>
        <v>#REF!</v>
      </c>
      <c r="BJ103" s="270" t="e">
        <f>IF(#REF!="Yes","H",IF($B103="","",IF(AND($C103&lt;=#REF!,$D103&gt;=#REF!),IF($G103="","x","y"),"")))</f>
        <v>#REF!</v>
      </c>
      <c r="BK103" s="270" t="e">
        <f>IF(#REF!="Yes","H",IF($B103="","",IF(AND($C103&lt;=#REF!,$D103&gt;=#REF!),IF($G103="","x","y"),"")))</f>
        <v>#REF!</v>
      </c>
      <c r="BL103" s="271" t="e">
        <f>IF(#REF!="Yes","H",IF($B103="","",IF(AND($C103&lt;=#REF!,$D103&gt;=#REF!),IF($G103="","x","y"),"")))</f>
        <v>#REF!</v>
      </c>
      <c r="BM103" s="272" t="e">
        <f>IF(#REF!="Yes","H",IF($B103="","",IF(AND($C103&lt;=#REF!,$D103&gt;=#REF!),IF($G103="","x","y"),"")))</f>
        <v>#REF!</v>
      </c>
      <c r="BN103" s="270" t="e">
        <f>IF(#REF!="Yes","H",IF($B103="","",IF(AND($C103&lt;=#REF!,$D103&gt;=#REF!),IF($G103="","x","y"),"")))</f>
        <v>#REF!</v>
      </c>
      <c r="BO103" s="270" t="e">
        <f>IF(#REF!="Yes","H",IF($B103="","",IF(AND($C103&lt;=#REF!,$D103&gt;=#REF!),IF($G103="","x","y"),"")))</f>
        <v>#REF!</v>
      </c>
      <c r="BP103" s="270" t="e">
        <f>IF(#REF!="Yes","H",IF($B103="","",IF(AND($C103&lt;=#REF!,$D103&gt;=#REF!),IF($G103="","x","y"),"")))</f>
        <v>#REF!</v>
      </c>
      <c r="BQ103" s="273" t="e">
        <f>IF(#REF!="Yes","H",IF($B103="","",IF(AND($C103&lt;=#REF!,$D103&gt;=#REF!),IF($G103="","x","y"),"")))</f>
        <v>#REF!</v>
      </c>
      <c r="BR103" s="274" t="e">
        <f>IF(#REF!="Yes","H",IF($B103="","",IF(AND($C103&lt;=#REF!,$D103&gt;=#REF!),IF($G103="","x","y"),"")))</f>
        <v>#REF!</v>
      </c>
      <c r="BS103" s="270" t="e">
        <f>IF(#REF!="Yes","H",IF($B103="","",IF(AND($C103&lt;=#REF!,$D103&gt;=#REF!),IF($G103="","x","y"),"")))</f>
        <v>#REF!</v>
      </c>
      <c r="BT103" s="270" t="e">
        <f>IF(#REF!="Yes","H",IF($B103="","",IF(AND($C103&lt;=#REF!,$D103&gt;=#REF!),IF($G103="","x","y"),"")))</f>
        <v>#REF!</v>
      </c>
      <c r="BU103" s="270" t="e">
        <f>IF(#REF!="Yes","H",IF($B103="","",IF(AND($C103&lt;=#REF!,$D103&gt;=#REF!),IF($G103="","x","y"),"")))</f>
        <v>#REF!</v>
      </c>
      <c r="BV103" s="271" t="e">
        <f>IF(#REF!="Yes","H",IF($B103="","",IF(AND($C103&lt;=#REF!,$D103&gt;=#REF!),IF($G103="","x","y"),"")))</f>
        <v>#REF!</v>
      </c>
      <c r="BW103" s="272" t="e">
        <f>IF(#REF!="Yes","H",IF($B103="","",IF(AND($C103&lt;=#REF!,$D103&gt;=#REF!),IF($G103="","x","y"),"")))</f>
        <v>#REF!</v>
      </c>
      <c r="BX103" s="270" t="e">
        <f>IF(#REF!="Yes","H",IF($B103="","",IF(AND($C103&lt;=#REF!,$D103&gt;=#REF!),IF($G103="","x","y"),"")))</f>
        <v>#REF!</v>
      </c>
      <c r="BY103" s="270" t="e">
        <f>IF(#REF!="Yes","H",IF($B103="","",IF(AND($C103&lt;=#REF!,$D103&gt;=#REF!),IF($G103="","x","y"),"")))</f>
        <v>#REF!</v>
      </c>
      <c r="BZ103" s="270" t="e">
        <f>IF(#REF!="Yes","H",IF($B103="","",IF(AND($C103&lt;=#REF!,$D103&gt;=#REF!),IF($G103="","x","y"),"")))</f>
        <v>#REF!</v>
      </c>
      <c r="CA103" s="273" t="e">
        <f>IF(#REF!="Yes","H",IF($B103="","",IF(AND($C103&lt;=#REF!,$D103&gt;=#REF!),IF($G103="","x","y"),"")))</f>
        <v>#REF!</v>
      </c>
    </row>
    <row r="104" spans="2:79" ht="15" customHeight="1">
      <c r="B104" s="141"/>
      <c r="C104" s="223"/>
      <c r="D104" s="223"/>
      <c r="E104" s="223"/>
      <c r="F104" s="224"/>
      <c r="G104" s="275"/>
      <c r="H104" s="209"/>
      <c r="I104" s="211"/>
      <c r="J104" s="269" t="e">
        <f>IF(#REF!="Yes","H",IF($B104="","",IF(AND($C104&lt;=#REF!,$D104&gt;=#REF!),IF($G104="","x","y"),"")))</f>
        <v>#REF!</v>
      </c>
      <c r="K104" s="270" t="e">
        <f>IF(#REF!="Yes","H",IF($B104="","",IF(AND($C104&lt;=#REF!,$D104&gt;=#REF!),IF($G104="","x","y"),"")))</f>
        <v>#REF!</v>
      </c>
      <c r="L104" s="270" t="e">
        <f>IF(#REF!="Yes","H",IF($B104="","",IF(AND($C104&lt;=#REF!,$D104&gt;=#REF!),IF($G104="","x","y"),"")))</f>
        <v>#REF!</v>
      </c>
      <c r="M104" s="270" t="e">
        <f>IF(#REF!="Yes","H",IF($B104="","",IF(AND($C104&lt;=#REF!,$D104&gt;=#REF!),IF($G104="","x","y"),"")))</f>
        <v>#REF!</v>
      </c>
      <c r="N104" s="271" t="e">
        <f>IF(#REF!="Yes","H",IF($B104="","",IF(AND($C104&lt;=#REF!,$D104&gt;=#REF!),IF($G104="","x","y"),"")))</f>
        <v>#REF!</v>
      </c>
      <c r="O104" s="272" t="e">
        <f>IF(#REF!="Yes","H",IF($B104="","",IF(AND($C104&lt;=#REF!,$D104&gt;=#REF!),IF($G104="","x","y"),"")))</f>
        <v>#REF!</v>
      </c>
      <c r="P104" s="270" t="e">
        <f>IF(#REF!="Yes","H",IF($B104="","",IF(AND($C104&lt;=#REF!,$D104&gt;=#REF!),IF($G104="","x","y"),"")))</f>
        <v>#REF!</v>
      </c>
      <c r="Q104" s="270" t="e">
        <f>IF(#REF!="Yes","H",IF($B104="","",IF(AND($C104&lt;=#REF!,$D104&gt;=#REF!),IF($G104="","x","y"),"")))</f>
        <v>#REF!</v>
      </c>
      <c r="R104" s="270" t="e">
        <f>IF(#REF!="Yes","H",IF($B104="","",IF(AND($C104&lt;=#REF!,$D104&gt;=#REF!),IF($G104="","x","y"),"")))</f>
        <v>#REF!</v>
      </c>
      <c r="S104" s="273" t="e">
        <f>IF(#REF!="Yes","H",IF($B104="","",IF(AND($C104&lt;=#REF!,$D104&gt;=#REF!),IF($G104="","x","y"),"")))</f>
        <v>#REF!</v>
      </c>
      <c r="T104" s="274" t="e">
        <f>IF(#REF!="Yes","H",IF($B104="","",IF(AND($C104&lt;=#REF!,$D104&gt;=#REF!),IF($G104="","x","y"),"")))</f>
        <v>#REF!</v>
      </c>
      <c r="U104" s="270" t="e">
        <f>IF(#REF!="Yes","H",IF($B104="","",IF(AND($C104&lt;=#REF!,$D104&gt;=#REF!),IF($G104="","x","y"),"")))</f>
        <v>#REF!</v>
      </c>
      <c r="V104" s="270" t="e">
        <f>IF(#REF!="Yes","H",IF($B104="","",IF(AND($C104&lt;=#REF!,$D104&gt;=#REF!),IF($G104="","x","y"),"")))</f>
        <v>#REF!</v>
      </c>
      <c r="W104" s="270" t="e">
        <f>IF(#REF!="Yes","H",IF($B104="","",IF(AND($C104&lt;=#REF!,$D104&gt;=#REF!),IF($G104="","x","y"),"")))</f>
        <v>#REF!</v>
      </c>
      <c r="X104" s="271" t="e">
        <f>IF(#REF!="Yes","H",IF($B104="","",IF(AND($C104&lt;=#REF!,$D104&gt;=#REF!),IF($G104="","x","y"),"")))</f>
        <v>#REF!</v>
      </c>
      <c r="Y104" s="272" t="e">
        <f>IF(#REF!="Yes","H",IF($B104="","",IF(AND($C104&lt;=#REF!,$D104&gt;=#REF!),IF($G104="","x","y"),"")))</f>
        <v>#REF!</v>
      </c>
      <c r="Z104" s="270" t="e">
        <f>IF(#REF!="Yes","H",IF($B104="","",IF(AND($C104&lt;=#REF!,$D104&gt;=#REF!),IF($G104="","x","y"),"")))</f>
        <v>#REF!</v>
      </c>
      <c r="AA104" s="270" t="e">
        <f>IF(#REF!="Yes","H",IF($B104="","",IF(AND($C104&lt;=#REF!,$D104&gt;=#REF!),IF($G104="","x","y"),"")))</f>
        <v>#REF!</v>
      </c>
      <c r="AB104" s="270" t="e">
        <f>IF(#REF!="Yes","H",IF($B104="","",IF(AND($C104&lt;=#REF!,$D104&gt;=#REF!),IF($G104="","x","y"),"")))</f>
        <v>#REF!</v>
      </c>
      <c r="AC104" s="273" t="e">
        <f>IF(#REF!="Yes","H",IF($B104="","",IF(AND($C104&lt;=#REF!,$D104&gt;=#REF!),IF($G104="","x","y"),"")))</f>
        <v>#REF!</v>
      </c>
      <c r="AD104" s="274" t="e">
        <f>IF(#REF!="Yes","H",IF($B104="","",IF(AND($C104&lt;=#REF!,$D104&gt;=#REF!),IF($G104="","x","y"),"")))</f>
        <v>#REF!</v>
      </c>
      <c r="AE104" s="270" t="e">
        <f>IF(#REF!="Yes","H",IF($B104="","",IF(AND($C104&lt;=#REF!,$D104&gt;=#REF!),IF($G104="","x","y"),"")))</f>
        <v>#REF!</v>
      </c>
      <c r="AF104" s="270" t="e">
        <f>IF(#REF!="Yes","H",IF($B104="","",IF(AND($C104&lt;=#REF!,$D104&gt;=#REF!),IF($G104="","x","y"),"")))</f>
        <v>#REF!</v>
      </c>
      <c r="AG104" s="270" t="e">
        <f>IF(#REF!="Yes","H",IF($B104="","",IF(AND($C104&lt;=#REF!,$D104&gt;=#REF!),IF($G104="","x","y"),"")))</f>
        <v>#REF!</v>
      </c>
      <c r="AH104" s="271" t="e">
        <f>IF(#REF!="Yes","H",IF($B104="","",IF(AND($C104&lt;=#REF!,$D104&gt;=#REF!),IF($G104="","x","y"),"")))</f>
        <v>#REF!</v>
      </c>
      <c r="AI104" s="272" t="e">
        <f>IF(#REF!="Yes","H",IF($B104="","",IF(AND($C104&lt;=#REF!,$D104&gt;=#REF!),IF($G104="","x","y"),"")))</f>
        <v>#REF!</v>
      </c>
      <c r="AJ104" s="270" t="e">
        <f>IF(#REF!="Yes","H",IF($B104="","",IF(AND($C104&lt;=#REF!,$D104&gt;=#REF!),IF($G104="","x","y"),"")))</f>
        <v>#REF!</v>
      </c>
      <c r="AK104" s="270" t="e">
        <f>IF(#REF!="Yes","H",IF($B104="","",IF(AND($C104&lt;=#REF!,$D104&gt;=#REF!),IF($G104="","x","y"),"")))</f>
        <v>#REF!</v>
      </c>
      <c r="AL104" s="270" t="e">
        <f>IF(#REF!="Yes","H",IF($B104="","",IF(AND($C104&lt;=#REF!,$D104&gt;=#REF!),IF($G104="","x","y"),"")))</f>
        <v>#REF!</v>
      </c>
      <c r="AM104" s="273" t="e">
        <f>IF(#REF!="Yes","H",IF($B104="","",IF(AND($C104&lt;=#REF!,$D104&gt;=#REF!),IF($G104="","x","y"),"")))</f>
        <v>#REF!</v>
      </c>
      <c r="AN104" s="274" t="e">
        <f>IF(#REF!="Yes","H",IF($B104="","",IF(AND($C104&lt;=#REF!,$D104&gt;=#REF!),IF($G104="","x","y"),"")))</f>
        <v>#REF!</v>
      </c>
      <c r="AO104" s="270" t="e">
        <f>IF(#REF!="Yes","H",IF($B104="","",IF(AND($C104&lt;=#REF!,$D104&gt;=#REF!),IF($G104="","x","y"),"")))</f>
        <v>#REF!</v>
      </c>
      <c r="AP104" s="270" t="e">
        <f>IF(#REF!="Yes","H",IF($B104="","",IF(AND($C104&lt;=#REF!,$D104&gt;=#REF!),IF($G104="","x","y"),"")))</f>
        <v>#REF!</v>
      </c>
      <c r="AQ104" s="270" t="e">
        <f>IF(#REF!="Yes","H",IF($B104="","",IF(AND($C104&lt;=#REF!,$D104&gt;=#REF!),IF($G104="","x","y"),"")))</f>
        <v>#REF!</v>
      </c>
      <c r="AR104" s="271" t="e">
        <f>IF(#REF!="Yes","H",IF($B104="","",IF(AND($C104&lt;=#REF!,$D104&gt;=#REF!),IF($G104="","x","y"),"")))</f>
        <v>#REF!</v>
      </c>
      <c r="AS104" s="272" t="e">
        <f>IF(#REF!="Yes","H",IF($B104="","",IF(AND($C104&lt;=#REF!,$D104&gt;=#REF!),IF($G104="","x","y"),"")))</f>
        <v>#REF!</v>
      </c>
      <c r="AT104" s="270" t="e">
        <f>IF(#REF!="Yes","H",IF($B104="","",IF(AND($C104&lt;=#REF!,$D104&gt;=#REF!),IF($G104="","x","y"),"")))</f>
        <v>#REF!</v>
      </c>
      <c r="AU104" s="270" t="e">
        <f>IF(#REF!="Yes","H",IF($B104="","",IF(AND($C104&lt;=#REF!,$D104&gt;=#REF!),IF($G104="","x","y"),"")))</f>
        <v>#REF!</v>
      </c>
      <c r="AV104" s="270" t="e">
        <f>IF(#REF!="Yes","H",IF($B104="","",IF(AND($C104&lt;=#REF!,$D104&gt;=#REF!),IF($G104="","x","y"),"")))</f>
        <v>#REF!</v>
      </c>
      <c r="AW104" s="273" t="e">
        <f>IF(#REF!="Yes","H",IF($B104="","",IF(AND($C104&lt;=#REF!,$D104&gt;=#REF!),IF($G104="","x","y"),"")))</f>
        <v>#REF!</v>
      </c>
      <c r="AX104" s="274" t="e">
        <f>IF(#REF!="Yes","H",IF($B104="","",IF(AND($C104&lt;=#REF!,$D104&gt;=#REF!),IF($G104="","x","y"),"")))</f>
        <v>#REF!</v>
      </c>
      <c r="AY104" s="270" t="e">
        <f>IF(#REF!="Yes","H",IF($B104="","",IF(AND($C104&lt;=#REF!,$D104&gt;=#REF!),IF($G104="","x","y"),"")))</f>
        <v>#REF!</v>
      </c>
      <c r="AZ104" s="270" t="e">
        <f>IF(#REF!="Yes","H",IF($B104="","",IF(AND($C104&lt;=#REF!,$D104&gt;=#REF!),IF($G104="","x","y"),"")))</f>
        <v>#REF!</v>
      </c>
      <c r="BA104" s="270" t="e">
        <f>IF(#REF!="Yes","H",IF($B104="","",IF(AND($C104&lt;=#REF!,$D104&gt;=#REF!),IF($G104="","x","y"),"")))</f>
        <v>#REF!</v>
      </c>
      <c r="BB104" s="271" t="e">
        <f>IF(#REF!="Yes","H",IF($B104="","",IF(AND($C104&lt;=#REF!,$D104&gt;=#REF!),IF($G104="","x","y"),"")))</f>
        <v>#REF!</v>
      </c>
      <c r="BC104" s="272" t="e">
        <f>IF(#REF!="Yes","H",IF($B104="","",IF(AND($C104&lt;=#REF!,$D104&gt;=#REF!),IF($G104="","x","y"),"")))</f>
        <v>#REF!</v>
      </c>
      <c r="BD104" s="270" t="e">
        <f>IF(#REF!="Yes","H",IF($B104="","",IF(AND($C104&lt;=#REF!,$D104&gt;=#REF!),IF($G104="","x","y"),"")))</f>
        <v>#REF!</v>
      </c>
      <c r="BE104" s="270" t="e">
        <f>IF(#REF!="Yes","H",IF($B104="","",IF(AND($C104&lt;=#REF!,$D104&gt;=#REF!),IF($G104="","x","y"),"")))</f>
        <v>#REF!</v>
      </c>
      <c r="BF104" s="270" t="e">
        <f>IF(#REF!="Yes","H",IF($B104="","",IF(AND($C104&lt;=#REF!,$D104&gt;=#REF!),IF($G104="","x","y"),"")))</f>
        <v>#REF!</v>
      </c>
      <c r="BG104" s="273" t="e">
        <f>IF(#REF!="Yes","H",IF($B104="","",IF(AND($C104&lt;=#REF!,$D104&gt;=#REF!),IF($G104="","x","y"),"")))</f>
        <v>#REF!</v>
      </c>
      <c r="BH104" s="274" t="e">
        <f>IF(#REF!="Yes","H",IF($B104="","",IF(AND($C104&lt;=#REF!,$D104&gt;=#REF!),IF($G104="","x","y"),"")))</f>
        <v>#REF!</v>
      </c>
      <c r="BI104" s="270" t="e">
        <f>IF(#REF!="Yes","H",IF($B104="","",IF(AND($C104&lt;=#REF!,$D104&gt;=#REF!),IF($G104="","x","y"),"")))</f>
        <v>#REF!</v>
      </c>
      <c r="BJ104" s="270" t="e">
        <f>IF(#REF!="Yes","H",IF($B104="","",IF(AND($C104&lt;=#REF!,$D104&gt;=#REF!),IF($G104="","x","y"),"")))</f>
        <v>#REF!</v>
      </c>
      <c r="BK104" s="270" t="e">
        <f>IF(#REF!="Yes","H",IF($B104="","",IF(AND($C104&lt;=#REF!,$D104&gt;=#REF!),IF($G104="","x","y"),"")))</f>
        <v>#REF!</v>
      </c>
      <c r="BL104" s="271" t="e">
        <f>IF(#REF!="Yes","H",IF($B104="","",IF(AND($C104&lt;=#REF!,$D104&gt;=#REF!),IF($G104="","x","y"),"")))</f>
        <v>#REF!</v>
      </c>
      <c r="BM104" s="272" t="e">
        <f>IF(#REF!="Yes","H",IF($B104="","",IF(AND($C104&lt;=#REF!,$D104&gt;=#REF!),IF($G104="","x","y"),"")))</f>
        <v>#REF!</v>
      </c>
      <c r="BN104" s="270" t="e">
        <f>IF(#REF!="Yes","H",IF($B104="","",IF(AND($C104&lt;=#REF!,$D104&gt;=#REF!),IF($G104="","x","y"),"")))</f>
        <v>#REF!</v>
      </c>
      <c r="BO104" s="270" t="e">
        <f>IF(#REF!="Yes","H",IF($B104="","",IF(AND($C104&lt;=#REF!,$D104&gt;=#REF!),IF($G104="","x","y"),"")))</f>
        <v>#REF!</v>
      </c>
      <c r="BP104" s="270" t="e">
        <f>IF(#REF!="Yes","H",IF($B104="","",IF(AND($C104&lt;=#REF!,$D104&gt;=#REF!),IF($G104="","x","y"),"")))</f>
        <v>#REF!</v>
      </c>
      <c r="BQ104" s="273" t="e">
        <f>IF(#REF!="Yes","H",IF($B104="","",IF(AND($C104&lt;=#REF!,$D104&gt;=#REF!),IF($G104="","x","y"),"")))</f>
        <v>#REF!</v>
      </c>
      <c r="BR104" s="274" t="e">
        <f>IF(#REF!="Yes","H",IF($B104="","",IF(AND($C104&lt;=#REF!,$D104&gt;=#REF!),IF($G104="","x","y"),"")))</f>
        <v>#REF!</v>
      </c>
      <c r="BS104" s="270" t="e">
        <f>IF(#REF!="Yes","H",IF($B104="","",IF(AND($C104&lt;=#REF!,$D104&gt;=#REF!),IF($G104="","x","y"),"")))</f>
        <v>#REF!</v>
      </c>
      <c r="BT104" s="270" t="e">
        <f>IF(#REF!="Yes","H",IF($B104="","",IF(AND($C104&lt;=#REF!,$D104&gt;=#REF!),IF($G104="","x","y"),"")))</f>
        <v>#REF!</v>
      </c>
      <c r="BU104" s="270" t="e">
        <f>IF(#REF!="Yes","H",IF($B104="","",IF(AND($C104&lt;=#REF!,$D104&gt;=#REF!),IF($G104="","x","y"),"")))</f>
        <v>#REF!</v>
      </c>
      <c r="BV104" s="271" t="e">
        <f>IF(#REF!="Yes","H",IF($B104="","",IF(AND($C104&lt;=#REF!,$D104&gt;=#REF!),IF($G104="","x","y"),"")))</f>
        <v>#REF!</v>
      </c>
      <c r="BW104" s="272" t="e">
        <f>IF(#REF!="Yes","H",IF($B104="","",IF(AND($C104&lt;=#REF!,$D104&gt;=#REF!),IF($G104="","x","y"),"")))</f>
        <v>#REF!</v>
      </c>
      <c r="BX104" s="270" t="e">
        <f>IF(#REF!="Yes","H",IF($B104="","",IF(AND($C104&lt;=#REF!,$D104&gt;=#REF!),IF($G104="","x","y"),"")))</f>
        <v>#REF!</v>
      </c>
      <c r="BY104" s="270" t="e">
        <f>IF(#REF!="Yes","H",IF($B104="","",IF(AND($C104&lt;=#REF!,$D104&gt;=#REF!),IF($G104="","x","y"),"")))</f>
        <v>#REF!</v>
      </c>
      <c r="BZ104" s="270" t="e">
        <f>IF(#REF!="Yes","H",IF($B104="","",IF(AND($C104&lt;=#REF!,$D104&gt;=#REF!),IF($G104="","x","y"),"")))</f>
        <v>#REF!</v>
      </c>
      <c r="CA104" s="273" t="e">
        <f>IF(#REF!="Yes","H",IF($B104="","",IF(AND($C104&lt;=#REF!,$D104&gt;=#REF!),IF($G104="","x","y"),"")))</f>
        <v>#REF!</v>
      </c>
    </row>
    <row r="105" spans="2:79" ht="15" customHeight="1">
      <c r="B105" s="141"/>
      <c r="C105" s="223"/>
      <c r="D105" s="223"/>
      <c r="E105" s="223"/>
      <c r="F105" s="224"/>
      <c r="G105" s="275"/>
      <c r="H105" s="209"/>
      <c r="I105" s="211"/>
      <c r="J105" s="269" t="e">
        <f>IF(#REF!="Yes","H",IF($B105="","",IF(AND($C105&lt;=#REF!,$D105&gt;=#REF!),IF($G105="","x","y"),"")))</f>
        <v>#REF!</v>
      </c>
      <c r="K105" s="270" t="e">
        <f>IF(#REF!="Yes","H",IF($B105="","",IF(AND($C105&lt;=#REF!,$D105&gt;=#REF!),IF($G105="","x","y"),"")))</f>
        <v>#REF!</v>
      </c>
      <c r="L105" s="270" t="e">
        <f>IF(#REF!="Yes","H",IF($B105="","",IF(AND($C105&lt;=#REF!,$D105&gt;=#REF!),IF($G105="","x","y"),"")))</f>
        <v>#REF!</v>
      </c>
      <c r="M105" s="270" t="e">
        <f>IF(#REF!="Yes","H",IF($B105="","",IF(AND($C105&lt;=#REF!,$D105&gt;=#REF!),IF($G105="","x","y"),"")))</f>
        <v>#REF!</v>
      </c>
      <c r="N105" s="271" t="e">
        <f>IF(#REF!="Yes","H",IF($B105="","",IF(AND($C105&lt;=#REF!,$D105&gt;=#REF!),IF($G105="","x","y"),"")))</f>
        <v>#REF!</v>
      </c>
      <c r="O105" s="272" t="e">
        <f>IF(#REF!="Yes","H",IF($B105="","",IF(AND($C105&lt;=#REF!,$D105&gt;=#REF!),IF($G105="","x","y"),"")))</f>
        <v>#REF!</v>
      </c>
      <c r="P105" s="270" t="e">
        <f>IF(#REF!="Yes","H",IF($B105="","",IF(AND($C105&lt;=#REF!,$D105&gt;=#REF!),IF($G105="","x","y"),"")))</f>
        <v>#REF!</v>
      </c>
      <c r="Q105" s="270" t="e">
        <f>IF(#REF!="Yes","H",IF($B105="","",IF(AND($C105&lt;=#REF!,$D105&gt;=#REF!),IF($G105="","x","y"),"")))</f>
        <v>#REF!</v>
      </c>
      <c r="R105" s="270" t="e">
        <f>IF(#REF!="Yes","H",IF($B105="","",IF(AND($C105&lt;=#REF!,$D105&gt;=#REF!),IF($G105="","x","y"),"")))</f>
        <v>#REF!</v>
      </c>
      <c r="S105" s="273" t="e">
        <f>IF(#REF!="Yes","H",IF($B105="","",IF(AND($C105&lt;=#REF!,$D105&gt;=#REF!),IF($G105="","x","y"),"")))</f>
        <v>#REF!</v>
      </c>
      <c r="T105" s="274" t="e">
        <f>IF(#REF!="Yes","H",IF($B105="","",IF(AND($C105&lt;=#REF!,$D105&gt;=#REF!),IF($G105="","x","y"),"")))</f>
        <v>#REF!</v>
      </c>
      <c r="U105" s="270" t="e">
        <f>IF(#REF!="Yes","H",IF($B105="","",IF(AND($C105&lt;=#REF!,$D105&gt;=#REF!),IF($G105="","x","y"),"")))</f>
        <v>#REF!</v>
      </c>
      <c r="V105" s="270" t="e">
        <f>IF(#REF!="Yes","H",IF($B105="","",IF(AND($C105&lt;=#REF!,$D105&gt;=#REF!),IF($G105="","x","y"),"")))</f>
        <v>#REF!</v>
      </c>
      <c r="W105" s="270" t="e">
        <f>IF(#REF!="Yes","H",IF($B105="","",IF(AND($C105&lt;=#REF!,$D105&gt;=#REF!),IF($G105="","x","y"),"")))</f>
        <v>#REF!</v>
      </c>
      <c r="X105" s="271" t="e">
        <f>IF(#REF!="Yes","H",IF($B105="","",IF(AND($C105&lt;=#REF!,$D105&gt;=#REF!),IF($G105="","x","y"),"")))</f>
        <v>#REF!</v>
      </c>
      <c r="Y105" s="272" t="e">
        <f>IF(#REF!="Yes","H",IF($B105="","",IF(AND($C105&lt;=#REF!,$D105&gt;=#REF!),IF($G105="","x","y"),"")))</f>
        <v>#REF!</v>
      </c>
      <c r="Z105" s="270" t="e">
        <f>IF(#REF!="Yes","H",IF($B105="","",IF(AND($C105&lt;=#REF!,$D105&gt;=#REF!),IF($G105="","x","y"),"")))</f>
        <v>#REF!</v>
      </c>
      <c r="AA105" s="270" t="e">
        <f>IF(#REF!="Yes","H",IF($B105="","",IF(AND($C105&lt;=#REF!,$D105&gt;=#REF!),IF($G105="","x","y"),"")))</f>
        <v>#REF!</v>
      </c>
      <c r="AB105" s="270" t="e">
        <f>IF(#REF!="Yes","H",IF($B105="","",IF(AND($C105&lt;=#REF!,$D105&gt;=#REF!),IF($G105="","x","y"),"")))</f>
        <v>#REF!</v>
      </c>
      <c r="AC105" s="273" t="e">
        <f>IF(#REF!="Yes","H",IF($B105="","",IF(AND($C105&lt;=#REF!,$D105&gt;=#REF!),IF($G105="","x","y"),"")))</f>
        <v>#REF!</v>
      </c>
      <c r="AD105" s="274" t="e">
        <f>IF(#REF!="Yes","H",IF($B105="","",IF(AND($C105&lt;=#REF!,$D105&gt;=#REF!),IF($G105="","x","y"),"")))</f>
        <v>#REF!</v>
      </c>
      <c r="AE105" s="270" t="e">
        <f>IF(#REF!="Yes","H",IF($B105="","",IF(AND($C105&lt;=#REF!,$D105&gt;=#REF!),IF($G105="","x","y"),"")))</f>
        <v>#REF!</v>
      </c>
      <c r="AF105" s="270" t="e">
        <f>IF(#REF!="Yes","H",IF($B105="","",IF(AND($C105&lt;=#REF!,$D105&gt;=#REF!),IF($G105="","x","y"),"")))</f>
        <v>#REF!</v>
      </c>
      <c r="AG105" s="270" t="e">
        <f>IF(#REF!="Yes","H",IF($B105="","",IF(AND($C105&lt;=#REF!,$D105&gt;=#REF!),IF($G105="","x","y"),"")))</f>
        <v>#REF!</v>
      </c>
      <c r="AH105" s="271" t="e">
        <f>IF(#REF!="Yes","H",IF($B105="","",IF(AND($C105&lt;=#REF!,$D105&gt;=#REF!),IF($G105="","x","y"),"")))</f>
        <v>#REF!</v>
      </c>
      <c r="AI105" s="272" t="e">
        <f>IF(#REF!="Yes","H",IF($B105="","",IF(AND($C105&lt;=#REF!,$D105&gt;=#REF!),IF($G105="","x","y"),"")))</f>
        <v>#REF!</v>
      </c>
      <c r="AJ105" s="270" t="e">
        <f>IF(#REF!="Yes","H",IF($B105="","",IF(AND($C105&lt;=#REF!,$D105&gt;=#REF!),IF($G105="","x","y"),"")))</f>
        <v>#REF!</v>
      </c>
      <c r="AK105" s="270" t="e">
        <f>IF(#REF!="Yes","H",IF($B105="","",IF(AND($C105&lt;=#REF!,$D105&gt;=#REF!),IF($G105="","x","y"),"")))</f>
        <v>#REF!</v>
      </c>
      <c r="AL105" s="270" t="e">
        <f>IF(#REF!="Yes","H",IF($B105="","",IF(AND($C105&lt;=#REF!,$D105&gt;=#REF!),IF($G105="","x","y"),"")))</f>
        <v>#REF!</v>
      </c>
      <c r="AM105" s="273" t="e">
        <f>IF(#REF!="Yes","H",IF($B105="","",IF(AND($C105&lt;=#REF!,$D105&gt;=#REF!),IF($G105="","x","y"),"")))</f>
        <v>#REF!</v>
      </c>
      <c r="AN105" s="274" t="e">
        <f>IF(#REF!="Yes","H",IF($B105="","",IF(AND($C105&lt;=#REF!,$D105&gt;=#REF!),IF($G105="","x","y"),"")))</f>
        <v>#REF!</v>
      </c>
      <c r="AO105" s="270" t="e">
        <f>IF(#REF!="Yes","H",IF($B105="","",IF(AND($C105&lt;=#REF!,$D105&gt;=#REF!),IF($G105="","x","y"),"")))</f>
        <v>#REF!</v>
      </c>
      <c r="AP105" s="270" t="e">
        <f>IF(#REF!="Yes","H",IF($B105="","",IF(AND($C105&lt;=#REF!,$D105&gt;=#REF!),IF($G105="","x","y"),"")))</f>
        <v>#REF!</v>
      </c>
      <c r="AQ105" s="270" t="e">
        <f>IF(#REF!="Yes","H",IF($B105="","",IF(AND($C105&lt;=#REF!,$D105&gt;=#REF!),IF($G105="","x","y"),"")))</f>
        <v>#REF!</v>
      </c>
      <c r="AR105" s="271" t="e">
        <f>IF(#REF!="Yes","H",IF($B105="","",IF(AND($C105&lt;=#REF!,$D105&gt;=#REF!),IF($G105="","x","y"),"")))</f>
        <v>#REF!</v>
      </c>
      <c r="AS105" s="272" t="e">
        <f>IF(#REF!="Yes","H",IF($B105="","",IF(AND($C105&lt;=#REF!,$D105&gt;=#REF!),IF($G105="","x","y"),"")))</f>
        <v>#REF!</v>
      </c>
      <c r="AT105" s="270" t="e">
        <f>IF(#REF!="Yes","H",IF($B105="","",IF(AND($C105&lt;=#REF!,$D105&gt;=#REF!),IF($G105="","x","y"),"")))</f>
        <v>#REF!</v>
      </c>
      <c r="AU105" s="270" t="e">
        <f>IF(#REF!="Yes","H",IF($B105="","",IF(AND($C105&lt;=#REF!,$D105&gt;=#REF!),IF($G105="","x","y"),"")))</f>
        <v>#REF!</v>
      </c>
      <c r="AV105" s="270" t="e">
        <f>IF(#REF!="Yes","H",IF($B105="","",IF(AND($C105&lt;=#REF!,$D105&gt;=#REF!),IF($G105="","x","y"),"")))</f>
        <v>#REF!</v>
      </c>
      <c r="AW105" s="273" t="e">
        <f>IF(#REF!="Yes","H",IF($B105="","",IF(AND($C105&lt;=#REF!,$D105&gt;=#REF!),IF($G105="","x","y"),"")))</f>
        <v>#REF!</v>
      </c>
      <c r="AX105" s="274" t="e">
        <f>IF(#REF!="Yes","H",IF($B105="","",IF(AND($C105&lt;=#REF!,$D105&gt;=#REF!),IF($G105="","x","y"),"")))</f>
        <v>#REF!</v>
      </c>
      <c r="AY105" s="270" t="e">
        <f>IF(#REF!="Yes","H",IF($B105="","",IF(AND($C105&lt;=#REF!,$D105&gt;=#REF!),IF($G105="","x","y"),"")))</f>
        <v>#REF!</v>
      </c>
      <c r="AZ105" s="270" t="e">
        <f>IF(#REF!="Yes","H",IF($B105="","",IF(AND($C105&lt;=#REF!,$D105&gt;=#REF!),IF($G105="","x","y"),"")))</f>
        <v>#REF!</v>
      </c>
      <c r="BA105" s="270" t="e">
        <f>IF(#REF!="Yes","H",IF($B105="","",IF(AND($C105&lt;=#REF!,$D105&gt;=#REF!),IF($G105="","x","y"),"")))</f>
        <v>#REF!</v>
      </c>
      <c r="BB105" s="271" t="e">
        <f>IF(#REF!="Yes","H",IF($B105="","",IF(AND($C105&lt;=#REF!,$D105&gt;=#REF!),IF($G105="","x","y"),"")))</f>
        <v>#REF!</v>
      </c>
      <c r="BC105" s="272" t="e">
        <f>IF(#REF!="Yes","H",IF($B105="","",IF(AND($C105&lt;=#REF!,$D105&gt;=#REF!),IF($G105="","x","y"),"")))</f>
        <v>#REF!</v>
      </c>
      <c r="BD105" s="270" t="e">
        <f>IF(#REF!="Yes","H",IF($B105="","",IF(AND($C105&lt;=#REF!,$D105&gt;=#REF!),IF($G105="","x","y"),"")))</f>
        <v>#REF!</v>
      </c>
      <c r="BE105" s="270" t="e">
        <f>IF(#REF!="Yes","H",IF($B105="","",IF(AND($C105&lt;=#REF!,$D105&gt;=#REF!),IF($G105="","x","y"),"")))</f>
        <v>#REF!</v>
      </c>
      <c r="BF105" s="270" t="e">
        <f>IF(#REF!="Yes","H",IF($B105="","",IF(AND($C105&lt;=#REF!,$D105&gt;=#REF!),IF($G105="","x","y"),"")))</f>
        <v>#REF!</v>
      </c>
      <c r="BG105" s="273" t="e">
        <f>IF(#REF!="Yes","H",IF($B105="","",IF(AND($C105&lt;=#REF!,$D105&gt;=#REF!),IF($G105="","x","y"),"")))</f>
        <v>#REF!</v>
      </c>
      <c r="BH105" s="274" t="e">
        <f>IF(#REF!="Yes","H",IF($B105="","",IF(AND($C105&lt;=#REF!,$D105&gt;=#REF!),IF($G105="","x","y"),"")))</f>
        <v>#REF!</v>
      </c>
      <c r="BI105" s="270" t="e">
        <f>IF(#REF!="Yes","H",IF($B105="","",IF(AND($C105&lt;=#REF!,$D105&gt;=#REF!),IF($G105="","x","y"),"")))</f>
        <v>#REF!</v>
      </c>
      <c r="BJ105" s="270" t="e">
        <f>IF(#REF!="Yes","H",IF($B105="","",IF(AND($C105&lt;=#REF!,$D105&gt;=#REF!),IF($G105="","x","y"),"")))</f>
        <v>#REF!</v>
      </c>
      <c r="BK105" s="270" t="e">
        <f>IF(#REF!="Yes","H",IF($B105="","",IF(AND($C105&lt;=#REF!,$D105&gt;=#REF!),IF($G105="","x","y"),"")))</f>
        <v>#REF!</v>
      </c>
      <c r="BL105" s="271" t="e">
        <f>IF(#REF!="Yes","H",IF($B105="","",IF(AND($C105&lt;=#REF!,$D105&gt;=#REF!),IF($G105="","x","y"),"")))</f>
        <v>#REF!</v>
      </c>
      <c r="BM105" s="272" t="e">
        <f>IF(#REF!="Yes","H",IF($B105="","",IF(AND($C105&lt;=#REF!,$D105&gt;=#REF!),IF($G105="","x","y"),"")))</f>
        <v>#REF!</v>
      </c>
      <c r="BN105" s="270" t="e">
        <f>IF(#REF!="Yes","H",IF($B105="","",IF(AND($C105&lt;=#REF!,$D105&gt;=#REF!),IF($G105="","x","y"),"")))</f>
        <v>#REF!</v>
      </c>
      <c r="BO105" s="270" t="e">
        <f>IF(#REF!="Yes","H",IF($B105="","",IF(AND($C105&lt;=#REF!,$D105&gt;=#REF!),IF($G105="","x","y"),"")))</f>
        <v>#REF!</v>
      </c>
      <c r="BP105" s="270" t="e">
        <f>IF(#REF!="Yes","H",IF($B105="","",IF(AND($C105&lt;=#REF!,$D105&gt;=#REF!),IF($G105="","x","y"),"")))</f>
        <v>#REF!</v>
      </c>
      <c r="BQ105" s="273" t="e">
        <f>IF(#REF!="Yes","H",IF($B105="","",IF(AND($C105&lt;=#REF!,$D105&gt;=#REF!),IF($G105="","x","y"),"")))</f>
        <v>#REF!</v>
      </c>
      <c r="BR105" s="274" t="e">
        <f>IF(#REF!="Yes","H",IF($B105="","",IF(AND($C105&lt;=#REF!,$D105&gt;=#REF!),IF($G105="","x","y"),"")))</f>
        <v>#REF!</v>
      </c>
      <c r="BS105" s="270" t="e">
        <f>IF(#REF!="Yes","H",IF($B105="","",IF(AND($C105&lt;=#REF!,$D105&gt;=#REF!),IF($G105="","x","y"),"")))</f>
        <v>#REF!</v>
      </c>
      <c r="BT105" s="270" t="e">
        <f>IF(#REF!="Yes","H",IF($B105="","",IF(AND($C105&lt;=#REF!,$D105&gt;=#REF!),IF($G105="","x","y"),"")))</f>
        <v>#REF!</v>
      </c>
      <c r="BU105" s="270" t="e">
        <f>IF(#REF!="Yes","H",IF($B105="","",IF(AND($C105&lt;=#REF!,$D105&gt;=#REF!),IF($G105="","x","y"),"")))</f>
        <v>#REF!</v>
      </c>
      <c r="BV105" s="271" t="e">
        <f>IF(#REF!="Yes","H",IF($B105="","",IF(AND($C105&lt;=#REF!,$D105&gt;=#REF!),IF($G105="","x","y"),"")))</f>
        <v>#REF!</v>
      </c>
      <c r="BW105" s="272" t="e">
        <f>IF(#REF!="Yes","H",IF($B105="","",IF(AND($C105&lt;=#REF!,$D105&gt;=#REF!),IF($G105="","x","y"),"")))</f>
        <v>#REF!</v>
      </c>
      <c r="BX105" s="270" t="e">
        <f>IF(#REF!="Yes","H",IF($B105="","",IF(AND($C105&lt;=#REF!,$D105&gt;=#REF!),IF($G105="","x","y"),"")))</f>
        <v>#REF!</v>
      </c>
      <c r="BY105" s="270" t="e">
        <f>IF(#REF!="Yes","H",IF($B105="","",IF(AND($C105&lt;=#REF!,$D105&gt;=#REF!),IF($G105="","x","y"),"")))</f>
        <v>#REF!</v>
      </c>
      <c r="BZ105" s="270" t="e">
        <f>IF(#REF!="Yes","H",IF($B105="","",IF(AND($C105&lt;=#REF!,$D105&gt;=#REF!),IF($G105="","x","y"),"")))</f>
        <v>#REF!</v>
      </c>
      <c r="CA105" s="273" t="e">
        <f>IF(#REF!="Yes","H",IF($B105="","",IF(AND($C105&lt;=#REF!,$D105&gt;=#REF!),IF($G105="","x","y"),"")))</f>
        <v>#REF!</v>
      </c>
    </row>
    <row r="106" spans="2:79" ht="15" customHeight="1">
      <c r="B106" s="141"/>
      <c r="C106" s="223"/>
      <c r="D106" s="223"/>
      <c r="E106" s="223"/>
      <c r="F106" s="224"/>
      <c r="G106" s="275"/>
      <c r="H106" s="209"/>
      <c r="I106" s="211"/>
      <c r="J106" s="269" t="e">
        <f>IF(#REF!="Yes","H",IF($B106="","",IF(AND($C106&lt;=#REF!,$D106&gt;=#REF!),IF($G106="","x","y"),"")))</f>
        <v>#REF!</v>
      </c>
      <c r="K106" s="270" t="e">
        <f>IF(#REF!="Yes","H",IF($B106="","",IF(AND($C106&lt;=#REF!,$D106&gt;=#REF!),IF($G106="","x","y"),"")))</f>
        <v>#REF!</v>
      </c>
      <c r="L106" s="270" t="e">
        <f>IF(#REF!="Yes","H",IF($B106="","",IF(AND($C106&lt;=#REF!,$D106&gt;=#REF!),IF($G106="","x","y"),"")))</f>
        <v>#REF!</v>
      </c>
      <c r="M106" s="270" t="e">
        <f>IF(#REF!="Yes","H",IF($B106="","",IF(AND($C106&lt;=#REF!,$D106&gt;=#REF!),IF($G106="","x","y"),"")))</f>
        <v>#REF!</v>
      </c>
      <c r="N106" s="271" t="e">
        <f>IF(#REF!="Yes","H",IF($B106="","",IF(AND($C106&lt;=#REF!,$D106&gt;=#REF!),IF($G106="","x","y"),"")))</f>
        <v>#REF!</v>
      </c>
      <c r="O106" s="272" t="e">
        <f>IF(#REF!="Yes","H",IF($B106="","",IF(AND($C106&lt;=#REF!,$D106&gt;=#REF!),IF($G106="","x","y"),"")))</f>
        <v>#REF!</v>
      </c>
      <c r="P106" s="270" t="e">
        <f>IF(#REF!="Yes","H",IF($B106="","",IF(AND($C106&lt;=#REF!,$D106&gt;=#REF!),IF($G106="","x","y"),"")))</f>
        <v>#REF!</v>
      </c>
      <c r="Q106" s="270" t="e">
        <f>IF(#REF!="Yes","H",IF($B106="","",IF(AND($C106&lt;=#REF!,$D106&gt;=#REF!),IF($G106="","x","y"),"")))</f>
        <v>#REF!</v>
      </c>
      <c r="R106" s="270" t="e">
        <f>IF(#REF!="Yes","H",IF($B106="","",IF(AND($C106&lt;=#REF!,$D106&gt;=#REF!),IF($G106="","x","y"),"")))</f>
        <v>#REF!</v>
      </c>
      <c r="S106" s="273" t="e">
        <f>IF(#REF!="Yes","H",IF($B106="","",IF(AND($C106&lt;=#REF!,$D106&gt;=#REF!),IF($G106="","x","y"),"")))</f>
        <v>#REF!</v>
      </c>
      <c r="T106" s="274" t="e">
        <f>IF(#REF!="Yes","H",IF($B106="","",IF(AND($C106&lt;=#REF!,$D106&gt;=#REF!),IF($G106="","x","y"),"")))</f>
        <v>#REF!</v>
      </c>
      <c r="U106" s="270" t="e">
        <f>IF(#REF!="Yes","H",IF($B106="","",IF(AND($C106&lt;=#REF!,$D106&gt;=#REF!),IF($G106="","x","y"),"")))</f>
        <v>#REF!</v>
      </c>
      <c r="V106" s="270" t="e">
        <f>IF(#REF!="Yes","H",IF($B106="","",IF(AND($C106&lt;=#REF!,$D106&gt;=#REF!),IF($G106="","x","y"),"")))</f>
        <v>#REF!</v>
      </c>
      <c r="W106" s="270" t="e">
        <f>IF(#REF!="Yes","H",IF($B106="","",IF(AND($C106&lt;=#REF!,$D106&gt;=#REF!),IF($G106="","x","y"),"")))</f>
        <v>#REF!</v>
      </c>
      <c r="X106" s="271" t="e">
        <f>IF(#REF!="Yes","H",IF($B106="","",IF(AND($C106&lt;=#REF!,$D106&gt;=#REF!),IF($G106="","x","y"),"")))</f>
        <v>#REF!</v>
      </c>
      <c r="Y106" s="272" t="e">
        <f>IF(#REF!="Yes","H",IF($B106="","",IF(AND($C106&lt;=#REF!,$D106&gt;=#REF!),IF($G106="","x","y"),"")))</f>
        <v>#REF!</v>
      </c>
      <c r="Z106" s="270" t="e">
        <f>IF(#REF!="Yes","H",IF($B106="","",IF(AND($C106&lt;=#REF!,$D106&gt;=#REF!),IF($G106="","x","y"),"")))</f>
        <v>#REF!</v>
      </c>
      <c r="AA106" s="270" t="e">
        <f>IF(#REF!="Yes","H",IF($B106="","",IF(AND($C106&lt;=#REF!,$D106&gt;=#REF!),IF($G106="","x","y"),"")))</f>
        <v>#REF!</v>
      </c>
      <c r="AB106" s="270" t="e">
        <f>IF(#REF!="Yes","H",IF($B106="","",IF(AND($C106&lt;=#REF!,$D106&gt;=#REF!),IF($G106="","x","y"),"")))</f>
        <v>#REF!</v>
      </c>
      <c r="AC106" s="273" t="e">
        <f>IF(#REF!="Yes","H",IF($B106="","",IF(AND($C106&lt;=#REF!,$D106&gt;=#REF!),IF($G106="","x","y"),"")))</f>
        <v>#REF!</v>
      </c>
      <c r="AD106" s="274" t="e">
        <f>IF(#REF!="Yes","H",IF($B106="","",IF(AND($C106&lt;=#REF!,$D106&gt;=#REF!),IF($G106="","x","y"),"")))</f>
        <v>#REF!</v>
      </c>
      <c r="AE106" s="270" t="e">
        <f>IF(#REF!="Yes","H",IF($B106="","",IF(AND($C106&lt;=#REF!,$D106&gt;=#REF!),IF($G106="","x","y"),"")))</f>
        <v>#REF!</v>
      </c>
      <c r="AF106" s="270" t="e">
        <f>IF(#REF!="Yes","H",IF($B106="","",IF(AND($C106&lt;=#REF!,$D106&gt;=#REF!),IF($G106="","x","y"),"")))</f>
        <v>#REF!</v>
      </c>
      <c r="AG106" s="270" t="e">
        <f>IF(#REF!="Yes","H",IF($B106="","",IF(AND($C106&lt;=#REF!,$D106&gt;=#REF!),IF($G106="","x","y"),"")))</f>
        <v>#REF!</v>
      </c>
      <c r="AH106" s="271" t="e">
        <f>IF(#REF!="Yes","H",IF($B106="","",IF(AND($C106&lt;=#REF!,$D106&gt;=#REF!),IF($G106="","x","y"),"")))</f>
        <v>#REF!</v>
      </c>
      <c r="AI106" s="272" t="e">
        <f>IF(#REF!="Yes","H",IF($B106="","",IF(AND($C106&lt;=#REF!,$D106&gt;=#REF!),IF($G106="","x","y"),"")))</f>
        <v>#REF!</v>
      </c>
      <c r="AJ106" s="270" t="e">
        <f>IF(#REF!="Yes","H",IF($B106="","",IF(AND($C106&lt;=#REF!,$D106&gt;=#REF!),IF($G106="","x","y"),"")))</f>
        <v>#REF!</v>
      </c>
      <c r="AK106" s="270" t="e">
        <f>IF(#REF!="Yes","H",IF($B106="","",IF(AND($C106&lt;=#REF!,$D106&gt;=#REF!),IF($G106="","x","y"),"")))</f>
        <v>#REF!</v>
      </c>
      <c r="AL106" s="270" t="e">
        <f>IF(#REF!="Yes","H",IF($B106="","",IF(AND($C106&lt;=#REF!,$D106&gt;=#REF!),IF($G106="","x","y"),"")))</f>
        <v>#REF!</v>
      </c>
      <c r="AM106" s="273" t="e">
        <f>IF(#REF!="Yes","H",IF($B106="","",IF(AND($C106&lt;=#REF!,$D106&gt;=#REF!),IF($G106="","x","y"),"")))</f>
        <v>#REF!</v>
      </c>
      <c r="AN106" s="274" t="e">
        <f>IF(#REF!="Yes","H",IF($B106="","",IF(AND($C106&lt;=#REF!,$D106&gt;=#REF!),IF($G106="","x","y"),"")))</f>
        <v>#REF!</v>
      </c>
      <c r="AO106" s="270" t="e">
        <f>IF(#REF!="Yes","H",IF($B106="","",IF(AND($C106&lt;=#REF!,$D106&gt;=#REF!),IF($G106="","x","y"),"")))</f>
        <v>#REF!</v>
      </c>
      <c r="AP106" s="270" t="e">
        <f>IF(#REF!="Yes","H",IF($B106="","",IF(AND($C106&lt;=#REF!,$D106&gt;=#REF!),IF($G106="","x","y"),"")))</f>
        <v>#REF!</v>
      </c>
      <c r="AQ106" s="270" t="e">
        <f>IF(#REF!="Yes","H",IF($B106="","",IF(AND($C106&lt;=#REF!,$D106&gt;=#REF!),IF($G106="","x","y"),"")))</f>
        <v>#REF!</v>
      </c>
      <c r="AR106" s="271" t="e">
        <f>IF(#REF!="Yes","H",IF($B106="","",IF(AND($C106&lt;=#REF!,$D106&gt;=#REF!),IF($G106="","x","y"),"")))</f>
        <v>#REF!</v>
      </c>
      <c r="AS106" s="272" t="e">
        <f>IF(#REF!="Yes","H",IF($B106="","",IF(AND($C106&lt;=#REF!,$D106&gt;=#REF!),IF($G106="","x","y"),"")))</f>
        <v>#REF!</v>
      </c>
      <c r="AT106" s="270" t="e">
        <f>IF(#REF!="Yes","H",IF($B106="","",IF(AND($C106&lt;=#REF!,$D106&gt;=#REF!),IF($G106="","x","y"),"")))</f>
        <v>#REF!</v>
      </c>
      <c r="AU106" s="270" t="e">
        <f>IF(#REF!="Yes","H",IF($B106="","",IF(AND($C106&lt;=#REF!,$D106&gt;=#REF!),IF($G106="","x","y"),"")))</f>
        <v>#REF!</v>
      </c>
      <c r="AV106" s="270" t="e">
        <f>IF(#REF!="Yes","H",IF($B106="","",IF(AND($C106&lt;=#REF!,$D106&gt;=#REF!),IF($G106="","x","y"),"")))</f>
        <v>#REF!</v>
      </c>
      <c r="AW106" s="273" t="e">
        <f>IF(#REF!="Yes","H",IF($B106="","",IF(AND($C106&lt;=#REF!,$D106&gt;=#REF!),IF($G106="","x","y"),"")))</f>
        <v>#REF!</v>
      </c>
      <c r="AX106" s="274" t="e">
        <f>IF(#REF!="Yes","H",IF($B106="","",IF(AND($C106&lt;=#REF!,$D106&gt;=#REF!),IF($G106="","x","y"),"")))</f>
        <v>#REF!</v>
      </c>
      <c r="AY106" s="270" t="e">
        <f>IF(#REF!="Yes","H",IF($B106="","",IF(AND($C106&lt;=#REF!,$D106&gt;=#REF!),IF($G106="","x","y"),"")))</f>
        <v>#REF!</v>
      </c>
      <c r="AZ106" s="270" t="e">
        <f>IF(#REF!="Yes","H",IF($B106="","",IF(AND($C106&lt;=#REF!,$D106&gt;=#REF!),IF($G106="","x","y"),"")))</f>
        <v>#REF!</v>
      </c>
      <c r="BA106" s="270" t="e">
        <f>IF(#REF!="Yes","H",IF($B106="","",IF(AND($C106&lt;=#REF!,$D106&gt;=#REF!),IF($G106="","x","y"),"")))</f>
        <v>#REF!</v>
      </c>
      <c r="BB106" s="271" t="e">
        <f>IF(#REF!="Yes","H",IF($B106="","",IF(AND($C106&lt;=#REF!,$D106&gt;=#REF!),IF($G106="","x","y"),"")))</f>
        <v>#REF!</v>
      </c>
      <c r="BC106" s="272" t="e">
        <f>IF(#REF!="Yes","H",IF($B106="","",IF(AND($C106&lt;=#REF!,$D106&gt;=#REF!),IF($G106="","x","y"),"")))</f>
        <v>#REF!</v>
      </c>
      <c r="BD106" s="270" t="e">
        <f>IF(#REF!="Yes","H",IF($B106="","",IF(AND($C106&lt;=#REF!,$D106&gt;=#REF!),IF($G106="","x","y"),"")))</f>
        <v>#REF!</v>
      </c>
      <c r="BE106" s="270" t="e">
        <f>IF(#REF!="Yes","H",IF($B106="","",IF(AND($C106&lt;=#REF!,$D106&gt;=#REF!),IF($G106="","x","y"),"")))</f>
        <v>#REF!</v>
      </c>
      <c r="BF106" s="270" t="e">
        <f>IF(#REF!="Yes","H",IF($B106="","",IF(AND($C106&lt;=#REF!,$D106&gt;=#REF!),IF($G106="","x","y"),"")))</f>
        <v>#REF!</v>
      </c>
      <c r="BG106" s="273" t="e">
        <f>IF(#REF!="Yes","H",IF($B106="","",IF(AND($C106&lt;=#REF!,$D106&gt;=#REF!),IF($G106="","x","y"),"")))</f>
        <v>#REF!</v>
      </c>
      <c r="BH106" s="274" t="e">
        <f>IF(#REF!="Yes","H",IF($B106="","",IF(AND($C106&lt;=#REF!,$D106&gt;=#REF!),IF($G106="","x","y"),"")))</f>
        <v>#REF!</v>
      </c>
      <c r="BI106" s="270" t="e">
        <f>IF(#REF!="Yes","H",IF($B106="","",IF(AND($C106&lt;=#REF!,$D106&gt;=#REF!),IF($G106="","x","y"),"")))</f>
        <v>#REF!</v>
      </c>
      <c r="BJ106" s="270" t="e">
        <f>IF(#REF!="Yes","H",IF($B106="","",IF(AND($C106&lt;=#REF!,$D106&gt;=#REF!),IF($G106="","x","y"),"")))</f>
        <v>#REF!</v>
      </c>
      <c r="BK106" s="270" t="e">
        <f>IF(#REF!="Yes","H",IF($B106="","",IF(AND($C106&lt;=#REF!,$D106&gt;=#REF!),IF($G106="","x","y"),"")))</f>
        <v>#REF!</v>
      </c>
      <c r="BL106" s="271" t="e">
        <f>IF(#REF!="Yes","H",IF($B106="","",IF(AND($C106&lt;=#REF!,$D106&gt;=#REF!),IF($G106="","x","y"),"")))</f>
        <v>#REF!</v>
      </c>
      <c r="BM106" s="272" t="e">
        <f>IF(#REF!="Yes","H",IF($B106="","",IF(AND($C106&lt;=#REF!,$D106&gt;=#REF!),IF($G106="","x","y"),"")))</f>
        <v>#REF!</v>
      </c>
      <c r="BN106" s="270" t="e">
        <f>IF(#REF!="Yes","H",IF($B106="","",IF(AND($C106&lt;=#REF!,$D106&gt;=#REF!),IF($G106="","x","y"),"")))</f>
        <v>#REF!</v>
      </c>
      <c r="BO106" s="270" t="e">
        <f>IF(#REF!="Yes","H",IF($B106="","",IF(AND($C106&lt;=#REF!,$D106&gt;=#REF!),IF($G106="","x","y"),"")))</f>
        <v>#REF!</v>
      </c>
      <c r="BP106" s="270" t="e">
        <f>IF(#REF!="Yes","H",IF($B106="","",IF(AND($C106&lt;=#REF!,$D106&gt;=#REF!),IF($G106="","x","y"),"")))</f>
        <v>#REF!</v>
      </c>
      <c r="BQ106" s="273" t="e">
        <f>IF(#REF!="Yes","H",IF($B106="","",IF(AND($C106&lt;=#REF!,$D106&gt;=#REF!),IF($G106="","x","y"),"")))</f>
        <v>#REF!</v>
      </c>
      <c r="BR106" s="274" t="e">
        <f>IF(#REF!="Yes","H",IF($B106="","",IF(AND($C106&lt;=#REF!,$D106&gt;=#REF!),IF($G106="","x","y"),"")))</f>
        <v>#REF!</v>
      </c>
      <c r="BS106" s="270" t="e">
        <f>IF(#REF!="Yes","H",IF($B106="","",IF(AND($C106&lt;=#REF!,$D106&gt;=#REF!),IF($G106="","x","y"),"")))</f>
        <v>#REF!</v>
      </c>
      <c r="BT106" s="270" t="e">
        <f>IF(#REF!="Yes","H",IF($B106="","",IF(AND($C106&lt;=#REF!,$D106&gt;=#REF!),IF($G106="","x","y"),"")))</f>
        <v>#REF!</v>
      </c>
      <c r="BU106" s="270" t="e">
        <f>IF(#REF!="Yes","H",IF($B106="","",IF(AND($C106&lt;=#REF!,$D106&gt;=#REF!),IF($G106="","x","y"),"")))</f>
        <v>#REF!</v>
      </c>
      <c r="BV106" s="271" t="e">
        <f>IF(#REF!="Yes","H",IF($B106="","",IF(AND($C106&lt;=#REF!,$D106&gt;=#REF!),IF($G106="","x","y"),"")))</f>
        <v>#REF!</v>
      </c>
      <c r="BW106" s="272" t="e">
        <f>IF(#REF!="Yes","H",IF($B106="","",IF(AND($C106&lt;=#REF!,$D106&gt;=#REF!),IF($G106="","x","y"),"")))</f>
        <v>#REF!</v>
      </c>
      <c r="BX106" s="270" t="e">
        <f>IF(#REF!="Yes","H",IF($B106="","",IF(AND($C106&lt;=#REF!,$D106&gt;=#REF!),IF($G106="","x","y"),"")))</f>
        <v>#REF!</v>
      </c>
      <c r="BY106" s="270" t="e">
        <f>IF(#REF!="Yes","H",IF($B106="","",IF(AND($C106&lt;=#REF!,$D106&gt;=#REF!),IF($G106="","x","y"),"")))</f>
        <v>#REF!</v>
      </c>
      <c r="BZ106" s="270" t="e">
        <f>IF(#REF!="Yes","H",IF($B106="","",IF(AND($C106&lt;=#REF!,$D106&gt;=#REF!),IF($G106="","x","y"),"")))</f>
        <v>#REF!</v>
      </c>
      <c r="CA106" s="273" t="e">
        <f>IF(#REF!="Yes","H",IF($B106="","",IF(AND($C106&lt;=#REF!,$D106&gt;=#REF!),IF($G106="","x","y"),"")))</f>
        <v>#REF!</v>
      </c>
    </row>
    <row r="107" spans="2:79" ht="15" customHeight="1">
      <c r="B107" s="141"/>
      <c r="C107" s="223"/>
      <c r="D107" s="223"/>
      <c r="E107" s="223"/>
      <c r="F107" s="224"/>
      <c r="G107" s="275"/>
      <c r="H107" s="209"/>
      <c r="I107" s="211"/>
      <c r="J107" s="269" t="e">
        <f>IF(#REF!="Yes","H",IF($B107="","",IF(AND($C107&lt;=#REF!,$D107&gt;=#REF!),IF($G107="","x","y"),"")))</f>
        <v>#REF!</v>
      </c>
      <c r="K107" s="270" t="e">
        <f>IF(#REF!="Yes","H",IF($B107="","",IF(AND($C107&lt;=#REF!,$D107&gt;=#REF!),IF($G107="","x","y"),"")))</f>
        <v>#REF!</v>
      </c>
      <c r="L107" s="270" t="e">
        <f>IF(#REF!="Yes","H",IF($B107="","",IF(AND($C107&lt;=#REF!,$D107&gt;=#REF!),IF($G107="","x","y"),"")))</f>
        <v>#REF!</v>
      </c>
      <c r="M107" s="270" t="e">
        <f>IF(#REF!="Yes","H",IF($B107="","",IF(AND($C107&lt;=#REF!,$D107&gt;=#REF!),IF($G107="","x","y"),"")))</f>
        <v>#REF!</v>
      </c>
      <c r="N107" s="271" t="e">
        <f>IF(#REF!="Yes","H",IF($B107="","",IF(AND($C107&lt;=#REF!,$D107&gt;=#REF!),IF($G107="","x","y"),"")))</f>
        <v>#REF!</v>
      </c>
      <c r="O107" s="272" t="e">
        <f>IF(#REF!="Yes","H",IF($B107="","",IF(AND($C107&lt;=#REF!,$D107&gt;=#REF!),IF($G107="","x","y"),"")))</f>
        <v>#REF!</v>
      </c>
      <c r="P107" s="270" t="e">
        <f>IF(#REF!="Yes","H",IF($B107="","",IF(AND($C107&lt;=#REF!,$D107&gt;=#REF!),IF($G107="","x","y"),"")))</f>
        <v>#REF!</v>
      </c>
      <c r="Q107" s="270" t="e">
        <f>IF(#REF!="Yes","H",IF($B107="","",IF(AND($C107&lt;=#REF!,$D107&gt;=#REF!),IF($G107="","x","y"),"")))</f>
        <v>#REF!</v>
      </c>
      <c r="R107" s="270" t="e">
        <f>IF(#REF!="Yes","H",IF($B107="","",IF(AND($C107&lt;=#REF!,$D107&gt;=#REF!),IF($G107="","x","y"),"")))</f>
        <v>#REF!</v>
      </c>
      <c r="S107" s="273" t="e">
        <f>IF(#REF!="Yes","H",IF($B107="","",IF(AND($C107&lt;=#REF!,$D107&gt;=#REF!),IF($G107="","x","y"),"")))</f>
        <v>#REF!</v>
      </c>
      <c r="T107" s="274" t="e">
        <f>IF(#REF!="Yes","H",IF($B107="","",IF(AND($C107&lt;=#REF!,$D107&gt;=#REF!),IF($G107="","x","y"),"")))</f>
        <v>#REF!</v>
      </c>
      <c r="U107" s="270" t="e">
        <f>IF(#REF!="Yes","H",IF($B107="","",IF(AND($C107&lt;=#REF!,$D107&gt;=#REF!),IF($G107="","x","y"),"")))</f>
        <v>#REF!</v>
      </c>
      <c r="V107" s="270" t="e">
        <f>IF(#REF!="Yes","H",IF($B107="","",IF(AND($C107&lt;=#REF!,$D107&gt;=#REF!),IF($G107="","x","y"),"")))</f>
        <v>#REF!</v>
      </c>
      <c r="W107" s="270" t="e">
        <f>IF(#REF!="Yes","H",IF($B107="","",IF(AND($C107&lt;=#REF!,$D107&gt;=#REF!),IF($G107="","x","y"),"")))</f>
        <v>#REF!</v>
      </c>
      <c r="X107" s="271" t="e">
        <f>IF(#REF!="Yes","H",IF($B107="","",IF(AND($C107&lt;=#REF!,$D107&gt;=#REF!),IF($G107="","x","y"),"")))</f>
        <v>#REF!</v>
      </c>
      <c r="Y107" s="272" t="e">
        <f>IF(#REF!="Yes","H",IF($B107="","",IF(AND($C107&lt;=#REF!,$D107&gt;=#REF!),IF($G107="","x","y"),"")))</f>
        <v>#REF!</v>
      </c>
      <c r="Z107" s="270" t="e">
        <f>IF(#REF!="Yes","H",IF($B107="","",IF(AND($C107&lt;=#REF!,$D107&gt;=#REF!),IF($G107="","x","y"),"")))</f>
        <v>#REF!</v>
      </c>
      <c r="AA107" s="270" t="e">
        <f>IF(#REF!="Yes","H",IF($B107="","",IF(AND($C107&lt;=#REF!,$D107&gt;=#REF!),IF($G107="","x","y"),"")))</f>
        <v>#REF!</v>
      </c>
      <c r="AB107" s="270" t="e">
        <f>IF(#REF!="Yes","H",IF($B107="","",IF(AND($C107&lt;=#REF!,$D107&gt;=#REF!),IF($G107="","x","y"),"")))</f>
        <v>#REF!</v>
      </c>
      <c r="AC107" s="273" t="e">
        <f>IF(#REF!="Yes","H",IF($B107="","",IF(AND($C107&lt;=#REF!,$D107&gt;=#REF!),IF($G107="","x","y"),"")))</f>
        <v>#REF!</v>
      </c>
      <c r="AD107" s="274" t="e">
        <f>IF(#REF!="Yes","H",IF($B107="","",IF(AND($C107&lt;=#REF!,$D107&gt;=#REF!),IF($G107="","x","y"),"")))</f>
        <v>#REF!</v>
      </c>
      <c r="AE107" s="270" t="e">
        <f>IF(#REF!="Yes","H",IF($B107="","",IF(AND($C107&lt;=#REF!,$D107&gt;=#REF!),IF($G107="","x","y"),"")))</f>
        <v>#REF!</v>
      </c>
      <c r="AF107" s="270" t="e">
        <f>IF(#REF!="Yes","H",IF($B107="","",IF(AND($C107&lt;=#REF!,$D107&gt;=#REF!),IF($G107="","x","y"),"")))</f>
        <v>#REF!</v>
      </c>
      <c r="AG107" s="270" t="e">
        <f>IF(#REF!="Yes","H",IF($B107="","",IF(AND($C107&lt;=#REF!,$D107&gt;=#REF!),IF($G107="","x","y"),"")))</f>
        <v>#REF!</v>
      </c>
      <c r="AH107" s="271" t="e">
        <f>IF(#REF!="Yes","H",IF($B107="","",IF(AND($C107&lt;=#REF!,$D107&gt;=#REF!),IF($G107="","x","y"),"")))</f>
        <v>#REF!</v>
      </c>
      <c r="AI107" s="272" t="e">
        <f>IF(#REF!="Yes","H",IF($B107="","",IF(AND($C107&lt;=#REF!,$D107&gt;=#REF!),IF($G107="","x","y"),"")))</f>
        <v>#REF!</v>
      </c>
      <c r="AJ107" s="270" t="e">
        <f>IF(#REF!="Yes","H",IF($B107="","",IF(AND($C107&lt;=#REF!,$D107&gt;=#REF!),IF($G107="","x","y"),"")))</f>
        <v>#REF!</v>
      </c>
      <c r="AK107" s="270" t="e">
        <f>IF(#REF!="Yes","H",IF($B107="","",IF(AND($C107&lt;=#REF!,$D107&gt;=#REF!),IF($G107="","x","y"),"")))</f>
        <v>#REF!</v>
      </c>
      <c r="AL107" s="270" t="e">
        <f>IF(#REF!="Yes","H",IF($B107="","",IF(AND($C107&lt;=#REF!,$D107&gt;=#REF!),IF($G107="","x","y"),"")))</f>
        <v>#REF!</v>
      </c>
      <c r="AM107" s="273" t="e">
        <f>IF(#REF!="Yes","H",IF($B107="","",IF(AND($C107&lt;=#REF!,$D107&gt;=#REF!),IF($G107="","x","y"),"")))</f>
        <v>#REF!</v>
      </c>
      <c r="AN107" s="274" t="e">
        <f>IF(#REF!="Yes","H",IF($B107="","",IF(AND($C107&lt;=#REF!,$D107&gt;=#REF!),IF($G107="","x","y"),"")))</f>
        <v>#REF!</v>
      </c>
      <c r="AO107" s="270" t="e">
        <f>IF(#REF!="Yes","H",IF($B107="","",IF(AND($C107&lt;=#REF!,$D107&gt;=#REF!),IF($G107="","x","y"),"")))</f>
        <v>#REF!</v>
      </c>
      <c r="AP107" s="270" t="e">
        <f>IF(#REF!="Yes","H",IF($B107="","",IF(AND($C107&lt;=#REF!,$D107&gt;=#REF!),IF($G107="","x","y"),"")))</f>
        <v>#REF!</v>
      </c>
      <c r="AQ107" s="270" t="e">
        <f>IF(#REF!="Yes","H",IF($B107="","",IF(AND($C107&lt;=#REF!,$D107&gt;=#REF!),IF($G107="","x","y"),"")))</f>
        <v>#REF!</v>
      </c>
      <c r="AR107" s="271" t="e">
        <f>IF(#REF!="Yes","H",IF($B107="","",IF(AND($C107&lt;=#REF!,$D107&gt;=#REF!),IF($G107="","x","y"),"")))</f>
        <v>#REF!</v>
      </c>
      <c r="AS107" s="272" t="e">
        <f>IF(#REF!="Yes","H",IF($B107="","",IF(AND($C107&lt;=#REF!,$D107&gt;=#REF!),IF($G107="","x","y"),"")))</f>
        <v>#REF!</v>
      </c>
      <c r="AT107" s="270" t="e">
        <f>IF(#REF!="Yes","H",IF($B107="","",IF(AND($C107&lt;=#REF!,$D107&gt;=#REF!),IF($G107="","x","y"),"")))</f>
        <v>#REF!</v>
      </c>
      <c r="AU107" s="270" t="e">
        <f>IF(#REF!="Yes","H",IF($B107="","",IF(AND($C107&lt;=#REF!,$D107&gt;=#REF!),IF($G107="","x","y"),"")))</f>
        <v>#REF!</v>
      </c>
      <c r="AV107" s="270" t="e">
        <f>IF(#REF!="Yes","H",IF($B107="","",IF(AND($C107&lt;=#REF!,$D107&gt;=#REF!),IF($G107="","x","y"),"")))</f>
        <v>#REF!</v>
      </c>
      <c r="AW107" s="273" t="e">
        <f>IF(#REF!="Yes","H",IF($B107="","",IF(AND($C107&lt;=#REF!,$D107&gt;=#REF!),IF($G107="","x","y"),"")))</f>
        <v>#REF!</v>
      </c>
      <c r="AX107" s="274" t="e">
        <f>IF(#REF!="Yes","H",IF($B107="","",IF(AND($C107&lt;=#REF!,$D107&gt;=#REF!),IF($G107="","x","y"),"")))</f>
        <v>#REF!</v>
      </c>
      <c r="AY107" s="270" t="e">
        <f>IF(#REF!="Yes","H",IF($B107="","",IF(AND($C107&lt;=#REF!,$D107&gt;=#REF!),IF($G107="","x","y"),"")))</f>
        <v>#REF!</v>
      </c>
      <c r="AZ107" s="270" t="e">
        <f>IF(#REF!="Yes","H",IF($B107="","",IF(AND($C107&lt;=#REF!,$D107&gt;=#REF!),IF($G107="","x","y"),"")))</f>
        <v>#REF!</v>
      </c>
      <c r="BA107" s="270" t="e">
        <f>IF(#REF!="Yes","H",IF($B107="","",IF(AND($C107&lt;=#REF!,$D107&gt;=#REF!),IF($G107="","x","y"),"")))</f>
        <v>#REF!</v>
      </c>
      <c r="BB107" s="271" t="e">
        <f>IF(#REF!="Yes","H",IF($B107="","",IF(AND($C107&lt;=#REF!,$D107&gt;=#REF!),IF($G107="","x","y"),"")))</f>
        <v>#REF!</v>
      </c>
      <c r="BC107" s="272" t="e">
        <f>IF(#REF!="Yes","H",IF($B107="","",IF(AND($C107&lt;=#REF!,$D107&gt;=#REF!),IF($G107="","x","y"),"")))</f>
        <v>#REF!</v>
      </c>
      <c r="BD107" s="270" t="e">
        <f>IF(#REF!="Yes","H",IF($B107="","",IF(AND($C107&lt;=#REF!,$D107&gt;=#REF!),IF($G107="","x","y"),"")))</f>
        <v>#REF!</v>
      </c>
      <c r="BE107" s="270" t="e">
        <f>IF(#REF!="Yes","H",IF($B107="","",IF(AND($C107&lt;=#REF!,$D107&gt;=#REF!),IF($G107="","x","y"),"")))</f>
        <v>#REF!</v>
      </c>
      <c r="BF107" s="270" t="e">
        <f>IF(#REF!="Yes","H",IF($B107="","",IF(AND($C107&lt;=#REF!,$D107&gt;=#REF!),IF($G107="","x","y"),"")))</f>
        <v>#REF!</v>
      </c>
      <c r="BG107" s="273" t="e">
        <f>IF(#REF!="Yes","H",IF($B107="","",IF(AND($C107&lt;=#REF!,$D107&gt;=#REF!),IF($G107="","x","y"),"")))</f>
        <v>#REF!</v>
      </c>
      <c r="BH107" s="274" t="e">
        <f>IF(#REF!="Yes","H",IF($B107="","",IF(AND($C107&lt;=#REF!,$D107&gt;=#REF!),IF($G107="","x","y"),"")))</f>
        <v>#REF!</v>
      </c>
      <c r="BI107" s="270" t="e">
        <f>IF(#REF!="Yes","H",IF($B107="","",IF(AND($C107&lt;=#REF!,$D107&gt;=#REF!),IF($G107="","x","y"),"")))</f>
        <v>#REF!</v>
      </c>
      <c r="BJ107" s="270" t="e">
        <f>IF(#REF!="Yes","H",IF($B107="","",IF(AND($C107&lt;=#REF!,$D107&gt;=#REF!),IF($G107="","x","y"),"")))</f>
        <v>#REF!</v>
      </c>
      <c r="BK107" s="270" t="e">
        <f>IF(#REF!="Yes","H",IF($B107="","",IF(AND($C107&lt;=#REF!,$D107&gt;=#REF!),IF($G107="","x","y"),"")))</f>
        <v>#REF!</v>
      </c>
      <c r="BL107" s="271" t="e">
        <f>IF(#REF!="Yes","H",IF($B107="","",IF(AND($C107&lt;=#REF!,$D107&gt;=#REF!),IF($G107="","x","y"),"")))</f>
        <v>#REF!</v>
      </c>
      <c r="BM107" s="272" t="e">
        <f>IF(#REF!="Yes","H",IF($B107="","",IF(AND($C107&lt;=#REF!,$D107&gt;=#REF!),IF($G107="","x","y"),"")))</f>
        <v>#REF!</v>
      </c>
      <c r="BN107" s="270" t="e">
        <f>IF(#REF!="Yes","H",IF($B107="","",IF(AND($C107&lt;=#REF!,$D107&gt;=#REF!),IF($G107="","x","y"),"")))</f>
        <v>#REF!</v>
      </c>
      <c r="BO107" s="270" t="e">
        <f>IF(#REF!="Yes","H",IF($B107="","",IF(AND($C107&lt;=#REF!,$D107&gt;=#REF!),IF($G107="","x","y"),"")))</f>
        <v>#REF!</v>
      </c>
      <c r="BP107" s="270" t="e">
        <f>IF(#REF!="Yes","H",IF($B107="","",IF(AND($C107&lt;=#REF!,$D107&gt;=#REF!),IF($G107="","x","y"),"")))</f>
        <v>#REF!</v>
      </c>
      <c r="BQ107" s="273" t="e">
        <f>IF(#REF!="Yes","H",IF($B107="","",IF(AND($C107&lt;=#REF!,$D107&gt;=#REF!),IF($G107="","x","y"),"")))</f>
        <v>#REF!</v>
      </c>
      <c r="BR107" s="274" t="e">
        <f>IF(#REF!="Yes","H",IF($B107="","",IF(AND($C107&lt;=#REF!,$D107&gt;=#REF!),IF($G107="","x","y"),"")))</f>
        <v>#REF!</v>
      </c>
      <c r="BS107" s="270" t="e">
        <f>IF(#REF!="Yes","H",IF($B107="","",IF(AND($C107&lt;=#REF!,$D107&gt;=#REF!),IF($G107="","x","y"),"")))</f>
        <v>#REF!</v>
      </c>
      <c r="BT107" s="270" t="e">
        <f>IF(#REF!="Yes","H",IF($B107="","",IF(AND($C107&lt;=#REF!,$D107&gt;=#REF!),IF($G107="","x","y"),"")))</f>
        <v>#REF!</v>
      </c>
      <c r="BU107" s="270" t="e">
        <f>IF(#REF!="Yes","H",IF($B107="","",IF(AND($C107&lt;=#REF!,$D107&gt;=#REF!),IF($G107="","x","y"),"")))</f>
        <v>#REF!</v>
      </c>
      <c r="BV107" s="271" t="e">
        <f>IF(#REF!="Yes","H",IF($B107="","",IF(AND($C107&lt;=#REF!,$D107&gt;=#REF!),IF($G107="","x","y"),"")))</f>
        <v>#REF!</v>
      </c>
      <c r="BW107" s="272" t="e">
        <f>IF(#REF!="Yes","H",IF($B107="","",IF(AND($C107&lt;=#REF!,$D107&gt;=#REF!),IF($G107="","x","y"),"")))</f>
        <v>#REF!</v>
      </c>
      <c r="BX107" s="270" t="e">
        <f>IF(#REF!="Yes","H",IF($B107="","",IF(AND($C107&lt;=#REF!,$D107&gt;=#REF!),IF($G107="","x","y"),"")))</f>
        <v>#REF!</v>
      </c>
      <c r="BY107" s="270" t="e">
        <f>IF(#REF!="Yes","H",IF($B107="","",IF(AND($C107&lt;=#REF!,$D107&gt;=#REF!),IF($G107="","x","y"),"")))</f>
        <v>#REF!</v>
      </c>
      <c r="BZ107" s="270" t="e">
        <f>IF(#REF!="Yes","H",IF($B107="","",IF(AND($C107&lt;=#REF!,$D107&gt;=#REF!),IF($G107="","x","y"),"")))</f>
        <v>#REF!</v>
      </c>
      <c r="CA107" s="273" t="e">
        <f>IF(#REF!="Yes","H",IF($B107="","",IF(AND($C107&lt;=#REF!,$D107&gt;=#REF!),IF($G107="","x","y"),"")))</f>
        <v>#REF!</v>
      </c>
    </row>
    <row r="108" spans="2:79" ht="15" customHeight="1">
      <c r="B108" s="141"/>
      <c r="C108" s="223"/>
      <c r="D108" s="223"/>
      <c r="E108" s="223"/>
      <c r="F108" s="224"/>
      <c r="G108" s="275"/>
      <c r="H108" s="209"/>
      <c r="I108" s="211"/>
      <c r="J108" s="269" t="e">
        <f>IF(#REF!="Yes","H",IF($B108="","",IF(AND($C108&lt;=#REF!,$D108&gt;=#REF!),IF($G108="","x","y"),"")))</f>
        <v>#REF!</v>
      </c>
      <c r="K108" s="270" t="e">
        <f>IF(#REF!="Yes","H",IF($B108="","",IF(AND($C108&lt;=#REF!,$D108&gt;=#REF!),IF($G108="","x","y"),"")))</f>
        <v>#REF!</v>
      </c>
      <c r="L108" s="270" t="e">
        <f>IF(#REF!="Yes","H",IF($B108="","",IF(AND($C108&lt;=#REF!,$D108&gt;=#REF!),IF($G108="","x","y"),"")))</f>
        <v>#REF!</v>
      </c>
      <c r="M108" s="270" t="e">
        <f>IF(#REF!="Yes","H",IF($B108="","",IF(AND($C108&lt;=#REF!,$D108&gt;=#REF!),IF($G108="","x","y"),"")))</f>
        <v>#REF!</v>
      </c>
      <c r="N108" s="271" t="e">
        <f>IF(#REF!="Yes","H",IF($B108="","",IF(AND($C108&lt;=#REF!,$D108&gt;=#REF!),IF($G108="","x","y"),"")))</f>
        <v>#REF!</v>
      </c>
      <c r="O108" s="272" t="e">
        <f>IF(#REF!="Yes","H",IF($B108="","",IF(AND($C108&lt;=#REF!,$D108&gt;=#REF!),IF($G108="","x","y"),"")))</f>
        <v>#REF!</v>
      </c>
      <c r="P108" s="270" t="e">
        <f>IF(#REF!="Yes","H",IF($B108="","",IF(AND($C108&lt;=#REF!,$D108&gt;=#REF!),IF($G108="","x","y"),"")))</f>
        <v>#REF!</v>
      </c>
      <c r="Q108" s="270" t="e">
        <f>IF(#REF!="Yes","H",IF($B108="","",IF(AND($C108&lt;=#REF!,$D108&gt;=#REF!),IF($G108="","x","y"),"")))</f>
        <v>#REF!</v>
      </c>
      <c r="R108" s="270" t="e">
        <f>IF(#REF!="Yes","H",IF($B108="","",IF(AND($C108&lt;=#REF!,$D108&gt;=#REF!),IF($G108="","x","y"),"")))</f>
        <v>#REF!</v>
      </c>
      <c r="S108" s="273" t="e">
        <f>IF(#REF!="Yes","H",IF($B108="","",IF(AND($C108&lt;=#REF!,$D108&gt;=#REF!),IF($G108="","x","y"),"")))</f>
        <v>#REF!</v>
      </c>
      <c r="T108" s="274" t="e">
        <f>IF(#REF!="Yes","H",IF($B108="","",IF(AND($C108&lt;=#REF!,$D108&gt;=#REF!),IF($G108="","x","y"),"")))</f>
        <v>#REF!</v>
      </c>
      <c r="U108" s="270" t="e">
        <f>IF(#REF!="Yes","H",IF($B108="","",IF(AND($C108&lt;=#REF!,$D108&gt;=#REF!),IF($G108="","x","y"),"")))</f>
        <v>#REF!</v>
      </c>
      <c r="V108" s="270" t="e">
        <f>IF(#REF!="Yes","H",IF($B108="","",IF(AND($C108&lt;=#REF!,$D108&gt;=#REF!),IF($G108="","x","y"),"")))</f>
        <v>#REF!</v>
      </c>
      <c r="W108" s="270" t="e">
        <f>IF(#REF!="Yes","H",IF($B108="","",IF(AND($C108&lt;=#REF!,$D108&gt;=#REF!),IF($G108="","x","y"),"")))</f>
        <v>#REF!</v>
      </c>
      <c r="X108" s="271" t="e">
        <f>IF(#REF!="Yes","H",IF($B108="","",IF(AND($C108&lt;=#REF!,$D108&gt;=#REF!),IF($G108="","x","y"),"")))</f>
        <v>#REF!</v>
      </c>
      <c r="Y108" s="272" t="e">
        <f>IF(#REF!="Yes","H",IF($B108="","",IF(AND($C108&lt;=#REF!,$D108&gt;=#REF!),IF($G108="","x","y"),"")))</f>
        <v>#REF!</v>
      </c>
      <c r="Z108" s="270" t="e">
        <f>IF(#REF!="Yes","H",IF($B108="","",IF(AND($C108&lt;=#REF!,$D108&gt;=#REF!),IF($G108="","x","y"),"")))</f>
        <v>#REF!</v>
      </c>
      <c r="AA108" s="270" t="e">
        <f>IF(#REF!="Yes","H",IF($B108="","",IF(AND($C108&lt;=#REF!,$D108&gt;=#REF!),IF($G108="","x","y"),"")))</f>
        <v>#REF!</v>
      </c>
      <c r="AB108" s="270" t="e">
        <f>IF(#REF!="Yes","H",IF($B108="","",IF(AND($C108&lt;=#REF!,$D108&gt;=#REF!),IF($G108="","x","y"),"")))</f>
        <v>#REF!</v>
      </c>
      <c r="AC108" s="273" t="e">
        <f>IF(#REF!="Yes","H",IF($B108="","",IF(AND($C108&lt;=#REF!,$D108&gt;=#REF!),IF($G108="","x","y"),"")))</f>
        <v>#REF!</v>
      </c>
      <c r="AD108" s="274" t="e">
        <f>IF(#REF!="Yes","H",IF($B108="","",IF(AND($C108&lt;=#REF!,$D108&gt;=#REF!),IF($G108="","x","y"),"")))</f>
        <v>#REF!</v>
      </c>
      <c r="AE108" s="270" t="e">
        <f>IF(#REF!="Yes","H",IF($B108="","",IF(AND($C108&lt;=#REF!,$D108&gt;=#REF!),IF($G108="","x","y"),"")))</f>
        <v>#REF!</v>
      </c>
      <c r="AF108" s="270" t="e">
        <f>IF(#REF!="Yes","H",IF($B108="","",IF(AND($C108&lt;=#REF!,$D108&gt;=#REF!),IF($G108="","x","y"),"")))</f>
        <v>#REF!</v>
      </c>
      <c r="AG108" s="270" t="e">
        <f>IF(#REF!="Yes","H",IF($B108="","",IF(AND($C108&lt;=#REF!,$D108&gt;=#REF!),IF($G108="","x","y"),"")))</f>
        <v>#REF!</v>
      </c>
      <c r="AH108" s="271" t="e">
        <f>IF(#REF!="Yes","H",IF($B108="","",IF(AND($C108&lt;=#REF!,$D108&gt;=#REF!),IF($G108="","x","y"),"")))</f>
        <v>#REF!</v>
      </c>
      <c r="AI108" s="272" t="e">
        <f>IF(#REF!="Yes","H",IF($B108="","",IF(AND($C108&lt;=#REF!,$D108&gt;=#REF!),IF($G108="","x","y"),"")))</f>
        <v>#REF!</v>
      </c>
      <c r="AJ108" s="270" t="e">
        <f>IF(#REF!="Yes","H",IF($B108="","",IF(AND($C108&lt;=#REF!,$D108&gt;=#REF!),IF($G108="","x","y"),"")))</f>
        <v>#REF!</v>
      </c>
      <c r="AK108" s="270" t="e">
        <f>IF(#REF!="Yes","H",IF($B108="","",IF(AND($C108&lt;=#REF!,$D108&gt;=#REF!),IF($G108="","x","y"),"")))</f>
        <v>#REF!</v>
      </c>
      <c r="AL108" s="270" t="e">
        <f>IF(#REF!="Yes","H",IF($B108="","",IF(AND($C108&lt;=#REF!,$D108&gt;=#REF!),IF($G108="","x","y"),"")))</f>
        <v>#REF!</v>
      </c>
      <c r="AM108" s="273" t="e">
        <f>IF(#REF!="Yes","H",IF($B108="","",IF(AND($C108&lt;=#REF!,$D108&gt;=#REF!),IF($G108="","x","y"),"")))</f>
        <v>#REF!</v>
      </c>
      <c r="AN108" s="274" t="e">
        <f>IF(#REF!="Yes","H",IF($B108="","",IF(AND($C108&lt;=#REF!,$D108&gt;=#REF!),IF($G108="","x","y"),"")))</f>
        <v>#REF!</v>
      </c>
      <c r="AO108" s="270" t="e">
        <f>IF(#REF!="Yes","H",IF($B108="","",IF(AND($C108&lt;=#REF!,$D108&gt;=#REF!),IF($G108="","x","y"),"")))</f>
        <v>#REF!</v>
      </c>
      <c r="AP108" s="270" t="e">
        <f>IF(#REF!="Yes","H",IF($B108="","",IF(AND($C108&lt;=#REF!,$D108&gt;=#REF!),IF($G108="","x","y"),"")))</f>
        <v>#REF!</v>
      </c>
      <c r="AQ108" s="270" t="e">
        <f>IF(#REF!="Yes","H",IF($B108="","",IF(AND($C108&lt;=#REF!,$D108&gt;=#REF!),IF($G108="","x","y"),"")))</f>
        <v>#REF!</v>
      </c>
      <c r="AR108" s="271" t="e">
        <f>IF(#REF!="Yes","H",IF($B108="","",IF(AND($C108&lt;=#REF!,$D108&gt;=#REF!),IF($G108="","x","y"),"")))</f>
        <v>#REF!</v>
      </c>
      <c r="AS108" s="272" t="e">
        <f>IF(#REF!="Yes","H",IF($B108="","",IF(AND($C108&lt;=#REF!,$D108&gt;=#REF!),IF($G108="","x","y"),"")))</f>
        <v>#REF!</v>
      </c>
      <c r="AT108" s="270" t="e">
        <f>IF(#REF!="Yes","H",IF($B108="","",IF(AND($C108&lt;=#REF!,$D108&gt;=#REF!),IF($G108="","x","y"),"")))</f>
        <v>#REF!</v>
      </c>
      <c r="AU108" s="270" t="e">
        <f>IF(#REF!="Yes","H",IF($B108="","",IF(AND($C108&lt;=#REF!,$D108&gt;=#REF!),IF($G108="","x","y"),"")))</f>
        <v>#REF!</v>
      </c>
      <c r="AV108" s="270" t="e">
        <f>IF(#REF!="Yes","H",IF($B108="","",IF(AND($C108&lt;=#REF!,$D108&gt;=#REF!),IF($G108="","x","y"),"")))</f>
        <v>#REF!</v>
      </c>
      <c r="AW108" s="273" t="e">
        <f>IF(#REF!="Yes","H",IF($B108="","",IF(AND($C108&lt;=#REF!,$D108&gt;=#REF!),IF($G108="","x","y"),"")))</f>
        <v>#REF!</v>
      </c>
      <c r="AX108" s="274" t="e">
        <f>IF(#REF!="Yes","H",IF($B108="","",IF(AND($C108&lt;=#REF!,$D108&gt;=#REF!),IF($G108="","x","y"),"")))</f>
        <v>#REF!</v>
      </c>
      <c r="AY108" s="270" t="e">
        <f>IF(#REF!="Yes","H",IF($B108="","",IF(AND($C108&lt;=#REF!,$D108&gt;=#REF!),IF($G108="","x","y"),"")))</f>
        <v>#REF!</v>
      </c>
      <c r="AZ108" s="270" t="e">
        <f>IF(#REF!="Yes","H",IF($B108="","",IF(AND($C108&lt;=#REF!,$D108&gt;=#REF!),IF($G108="","x","y"),"")))</f>
        <v>#REF!</v>
      </c>
      <c r="BA108" s="270" t="e">
        <f>IF(#REF!="Yes","H",IF($B108="","",IF(AND($C108&lt;=#REF!,$D108&gt;=#REF!),IF($G108="","x","y"),"")))</f>
        <v>#REF!</v>
      </c>
      <c r="BB108" s="271" t="e">
        <f>IF(#REF!="Yes","H",IF($B108="","",IF(AND($C108&lt;=#REF!,$D108&gt;=#REF!),IF($G108="","x","y"),"")))</f>
        <v>#REF!</v>
      </c>
      <c r="BC108" s="272" t="e">
        <f>IF(#REF!="Yes","H",IF($B108="","",IF(AND($C108&lt;=#REF!,$D108&gt;=#REF!),IF($G108="","x","y"),"")))</f>
        <v>#REF!</v>
      </c>
      <c r="BD108" s="270" t="e">
        <f>IF(#REF!="Yes","H",IF($B108="","",IF(AND($C108&lt;=#REF!,$D108&gt;=#REF!),IF($G108="","x","y"),"")))</f>
        <v>#REF!</v>
      </c>
      <c r="BE108" s="270" t="e">
        <f>IF(#REF!="Yes","H",IF($B108="","",IF(AND($C108&lt;=#REF!,$D108&gt;=#REF!),IF($G108="","x","y"),"")))</f>
        <v>#REF!</v>
      </c>
      <c r="BF108" s="270" t="e">
        <f>IF(#REF!="Yes","H",IF($B108="","",IF(AND($C108&lt;=#REF!,$D108&gt;=#REF!),IF($G108="","x","y"),"")))</f>
        <v>#REF!</v>
      </c>
      <c r="BG108" s="273" t="e">
        <f>IF(#REF!="Yes","H",IF($B108="","",IF(AND($C108&lt;=#REF!,$D108&gt;=#REF!),IF($G108="","x","y"),"")))</f>
        <v>#REF!</v>
      </c>
      <c r="BH108" s="274" t="e">
        <f>IF(#REF!="Yes","H",IF($B108="","",IF(AND($C108&lt;=#REF!,$D108&gt;=#REF!),IF($G108="","x","y"),"")))</f>
        <v>#REF!</v>
      </c>
      <c r="BI108" s="270" t="e">
        <f>IF(#REF!="Yes","H",IF($B108="","",IF(AND($C108&lt;=#REF!,$D108&gt;=#REF!),IF($G108="","x","y"),"")))</f>
        <v>#REF!</v>
      </c>
      <c r="BJ108" s="270" t="e">
        <f>IF(#REF!="Yes","H",IF($B108="","",IF(AND($C108&lt;=#REF!,$D108&gt;=#REF!),IF($G108="","x","y"),"")))</f>
        <v>#REF!</v>
      </c>
      <c r="BK108" s="270" t="e">
        <f>IF(#REF!="Yes","H",IF($B108="","",IF(AND($C108&lt;=#REF!,$D108&gt;=#REF!),IF($G108="","x","y"),"")))</f>
        <v>#REF!</v>
      </c>
      <c r="BL108" s="271" t="e">
        <f>IF(#REF!="Yes","H",IF($B108="","",IF(AND($C108&lt;=#REF!,$D108&gt;=#REF!),IF($G108="","x","y"),"")))</f>
        <v>#REF!</v>
      </c>
      <c r="BM108" s="272" t="e">
        <f>IF(#REF!="Yes","H",IF($B108="","",IF(AND($C108&lt;=#REF!,$D108&gt;=#REF!),IF($G108="","x","y"),"")))</f>
        <v>#REF!</v>
      </c>
      <c r="BN108" s="270" t="e">
        <f>IF(#REF!="Yes","H",IF($B108="","",IF(AND($C108&lt;=#REF!,$D108&gt;=#REF!),IF($G108="","x","y"),"")))</f>
        <v>#REF!</v>
      </c>
      <c r="BO108" s="270" t="e">
        <f>IF(#REF!="Yes","H",IF($B108="","",IF(AND($C108&lt;=#REF!,$D108&gt;=#REF!),IF($G108="","x","y"),"")))</f>
        <v>#REF!</v>
      </c>
      <c r="BP108" s="270" t="e">
        <f>IF(#REF!="Yes","H",IF($B108="","",IF(AND($C108&lt;=#REF!,$D108&gt;=#REF!),IF($G108="","x","y"),"")))</f>
        <v>#REF!</v>
      </c>
      <c r="BQ108" s="273" t="e">
        <f>IF(#REF!="Yes","H",IF($B108="","",IF(AND($C108&lt;=#REF!,$D108&gt;=#REF!),IF($G108="","x","y"),"")))</f>
        <v>#REF!</v>
      </c>
      <c r="BR108" s="274" t="e">
        <f>IF(#REF!="Yes","H",IF($B108="","",IF(AND($C108&lt;=#REF!,$D108&gt;=#REF!),IF($G108="","x","y"),"")))</f>
        <v>#REF!</v>
      </c>
      <c r="BS108" s="270" t="e">
        <f>IF(#REF!="Yes","H",IF($B108="","",IF(AND($C108&lt;=#REF!,$D108&gt;=#REF!),IF($G108="","x","y"),"")))</f>
        <v>#REF!</v>
      </c>
      <c r="BT108" s="270" t="e">
        <f>IF(#REF!="Yes","H",IF($B108="","",IF(AND($C108&lt;=#REF!,$D108&gt;=#REF!),IF($G108="","x","y"),"")))</f>
        <v>#REF!</v>
      </c>
      <c r="BU108" s="270" t="e">
        <f>IF(#REF!="Yes","H",IF($B108="","",IF(AND($C108&lt;=#REF!,$D108&gt;=#REF!),IF($G108="","x","y"),"")))</f>
        <v>#REF!</v>
      </c>
      <c r="BV108" s="271" t="e">
        <f>IF(#REF!="Yes","H",IF($B108="","",IF(AND($C108&lt;=#REF!,$D108&gt;=#REF!),IF($G108="","x","y"),"")))</f>
        <v>#REF!</v>
      </c>
      <c r="BW108" s="272" t="e">
        <f>IF(#REF!="Yes","H",IF($B108="","",IF(AND($C108&lt;=#REF!,$D108&gt;=#REF!),IF($G108="","x","y"),"")))</f>
        <v>#REF!</v>
      </c>
      <c r="BX108" s="270" t="e">
        <f>IF(#REF!="Yes","H",IF($B108="","",IF(AND($C108&lt;=#REF!,$D108&gt;=#REF!),IF($G108="","x","y"),"")))</f>
        <v>#REF!</v>
      </c>
      <c r="BY108" s="270" t="e">
        <f>IF(#REF!="Yes","H",IF($B108="","",IF(AND($C108&lt;=#REF!,$D108&gt;=#REF!),IF($G108="","x","y"),"")))</f>
        <v>#REF!</v>
      </c>
      <c r="BZ108" s="270" t="e">
        <f>IF(#REF!="Yes","H",IF($B108="","",IF(AND($C108&lt;=#REF!,$D108&gt;=#REF!),IF($G108="","x","y"),"")))</f>
        <v>#REF!</v>
      </c>
      <c r="CA108" s="273" t="e">
        <f>IF(#REF!="Yes","H",IF($B108="","",IF(AND($C108&lt;=#REF!,$D108&gt;=#REF!),IF($G108="","x","y"),"")))</f>
        <v>#REF!</v>
      </c>
    </row>
    <row r="109" spans="2:79" ht="15" customHeight="1">
      <c r="B109" s="141"/>
      <c r="C109" s="223"/>
      <c r="D109" s="223"/>
      <c r="E109" s="223"/>
      <c r="F109" s="224"/>
      <c r="G109" s="275"/>
      <c r="H109" s="209"/>
      <c r="I109" s="211"/>
      <c r="J109" s="269" t="e">
        <f>IF(#REF!="Yes","H",IF($B109="","",IF(AND($C109&lt;=#REF!,$D109&gt;=#REF!),IF($G109="","x","y"),"")))</f>
        <v>#REF!</v>
      </c>
      <c r="K109" s="270" t="e">
        <f>IF(#REF!="Yes","H",IF($B109="","",IF(AND($C109&lt;=#REF!,$D109&gt;=#REF!),IF($G109="","x","y"),"")))</f>
        <v>#REF!</v>
      </c>
      <c r="L109" s="270" t="e">
        <f>IF(#REF!="Yes","H",IF($B109="","",IF(AND($C109&lt;=#REF!,$D109&gt;=#REF!),IF($G109="","x","y"),"")))</f>
        <v>#REF!</v>
      </c>
      <c r="M109" s="270" t="e">
        <f>IF(#REF!="Yes","H",IF($B109="","",IF(AND($C109&lt;=#REF!,$D109&gt;=#REF!),IF($G109="","x","y"),"")))</f>
        <v>#REF!</v>
      </c>
      <c r="N109" s="271" t="e">
        <f>IF(#REF!="Yes","H",IF($B109="","",IF(AND($C109&lt;=#REF!,$D109&gt;=#REF!),IF($G109="","x","y"),"")))</f>
        <v>#REF!</v>
      </c>
      <c r="O109" s="272" t="e">
        <f>IF(#REF!="Yes","H",IF($B109="","",IF(AND($C109&lt;=#REF!,$D109&gt;=#REF!),IF($G109="","x","y"),"")))</f>
        <v>#REF!</v>
      </c>
      <c r="P109" s="270" t="e">
        <f>IF(#REF!="Yes","H",IF($B109="","",IF(AND($C109&lt;=#REF!,$D109&gt;=#REF!),IF($G109="","x","y"),"")))</f>
        <v>#REF!</v>
      </c>
      <c r="Q109" s="270" t="e">
        <f>IF(#REF!="Yes","H",IF($B109="","",IF(AND($C109&lt;=#REF!,$D109&gt;=#REF!),IF($G109="","x","y"),"")))</f>
        <v>#REF!</v>
      </c>
      <c r="R109" s="270" t="e">
        <f>IF(#REF!="Yes","H",IF($B109="","",IF(AND($C109&lt;=#REF!,$D109&gt;=#REF!),IF($G109="","x","y"),"")))</f>
        <v>#REF!</v>
      </c>
      <c r="S109" s="273" t="e">
        <f>IF(#REF!="Yes","H",IF($B109="","",IF(AND($C109&lt;=#REF!,$D109&gt;=#REF!),IF($G109="","x","y"),"")))</f>
        <v>#REF!</v>
      </c>
      <c r="T109" s="274" t="e">
        <f>IF(#REF!="Yes","H",IF($B109="","",IF(AND($C109&lt;=#REF!,$D109&gt;=#REF!),IF($G109="","x","y"),"")))</f>
        <v>#REF!</v>
      </c>
      <c r="U109" s="270" t="e">
        <f>IF(#REF!="Yes","H",IF($B109="","",IF(AND($C109&lt;=#REF!,$D109&gt;=#REF!),IF($G109="","x","y"),"")))</f>
        <v>#REF!</v>
      </c>
      <c r="V109" s="270" t="e">
        <f>IF(#REF!="Yes","H",IF($B109="","",IF(AND($C109&lt;=#REF!,$D109&gt;=#REF!),IF($G109="","x","y"),"")))</f>
        <v>#REF!</v>
      </c>
      <c r="W109" s="270" t="e">
        <f>IF(#REF!="Yes","H",IF($B109="","",IF(AND($C109&lt;=#REF!,$D109&gt;=#REF!),IF($G109="","x","y"),"")))</f>
        <v>#REF!</v>
      </c>
      <c r="X109" s="271" t="e">
        <f>IF(#REF!="Yes","H",IF($B109="","",IF(AND($C109&lt;=#REF!,$D109&gt;=#REF!),IF($G109="","x","y"),"")))</f>
        <v>#REF!</v>
      </c>
      <c r="Y109" s="272" t="e">
        <f>IF(#REF!="Yes","H",IF($B109="","",IF(AND($C109&lt;=#REF!,$D109&gt;=#REF!),IF($G109="","x","y"),"")))</f>
        <v>#REF!</v>
      </c>
      <c r="Z109" s="270" t="e">
        <f>IF(#REF!="Yes","H",IF($B109="","",IF(AND($C109&lt;=#REF!,$D109&gt;=#REF!),IF($G109="","x","y"),"")))</f>
        <v>#REF!</v>
      </c>
      <c r="AA109" s="270" t="e">
        <f>IF(#REF!="Yes","H",IF($B109="","",IF(AND($C109&lt;=#REF!,$D109&gt;=#REF!),IF($G109="","x","y"),"")))</f>
        <v>#REF!</v>
      </c>
      <c r="AB109" s="270" t="e">
        <f>IF(#REF!="Yes","H",IF($B109="","",IF(AND($C109&lt;=#REF!,$D109&gt;=#REF!),IF($G109="","x","y"),"")))</f>
        <v>#REF!</v>
      </c>
      <c r="AC109" s="273" t="e">
        <f>IF(#REF!="Yes","H",IF($B109="","",IF(AND($C109&lt;=#REF!,$D109&gt;=#REF!),IF($G109="","x","y"),"")))</f>
        <v>#REF!</v>
      </c>
      <c r="AD109" s="274" t="e">
        <f>IF(#REF!="Yes","H",IF($B109="","",IF(AND($C109&lt;=#REF!,$D109&gt;=#REF!),IF($G109="","x","y"),"")))</f>
        <v>#REF!</v>
      </c>
      <c r="AE109" s="270" t="e">
        <f>IF(#REF!="Yes","H",IF($B109="","",IF(AND($C109&lt;=#REF!,$D109&gt;=#REF!),IF($G109="","x","y"),"")))</f>
        <v>#REF!</v>
      </c>
      <c r="AF109" s="270" t="e">
        <f>IF(#REF!="Yes","H",IF($B109="","",IF(AND($C109&lt;=#REF!,$D109&gt;=#REF!),IF($G109="","x","y"),"")))</f>
        <v>#REF!</v>
      </c>
      <c r="AG109" s="270" t="e">
        <f>IF(#REF!="Yes","H",IF($B109="","",IF(AND($C109&lt;=#REF!,$D109&gt;=#REF!),IF($G109="","x","y"),"")))</f>
        <v>#REF!</v>
      </c>
      <c r="AH109" s="271" t="e">
        <f>IF(#REF!="Yes","H",IF($B109="","",IF(AND($C109&lt;=#REF!,$D109&gt;=#REF!),IF($G109="","x","y"),"")))</f>
        <v>#REF!</v>
      </c>
      <c r="AI109" s="272" t="e">
        <f>IF(#REF!="Yes","H",IF($B109="","",IF(AND($C109&lt;=#REF!,$D109&gt;=#REF!),IF($G109="","x","y"),"")))</f>
        <v>#REF!</v>
      </c>
      <c r="AJ109" s="270" t="e">
        <f>IF(#REF!="Yes","H",IF($B109="","",IF(AND($C109&lt;=#REF!,$D109&gt;=#REF!),IF($G109="","x","y"),"")))</f>
        <v>#REF!</v>
      </c>
      <c r="AK109" s="270" t="e">
        <f>IF(#REF!="Yes","H",IF($B109="","",IF(AND($C109&lt;=#REF!,$D109&gt;=#REF!),IF($G109="","x","y"),"")))</f>
        <v>#REF!</v>
      </c>
      <c r="AL109" s="270" t="e">
        <f>IF(#REF!="Yes","H",IF($B109="","",IF(AND($C109&lt;=#REF!,$D109&gt;=#REF!),IF($G109="","x","y"),"")))</f>
        <v>#REF!</v>
      </c>
      <c r="AM109" s="273" t="e">
        <f>IF(#REF!="Yes","H",IF($B109="","",IF(AND($C109&lt;=#REF!,$D109&gt;=#REF!),IF($G109="","x","y"),"")))</f>
        <v>#REF!</v>
      </c>
      <c r="AN109" s="274" t="e">
        <f>IF(#REF!="Yes","H",IF($B109="","",IF(AND($C109&lt;=#REF!,$D109&gt;=#REF!),IF($G109="","x","y"),"")))</f>
        <v>#REF!</v>
      </c>
      <c r="AO109" s="270" t="e">
        <f>IF(#REF!="Yes","H",IF($B109="","",IF(AND($C109&lt;=#REF!,$D109&gt;=#REF!),IF($G109="","x","y"),"")))</f>
        <v>#REF!</v>
      </c>
      <c r="AP109" s="270" t="e">
        <f>IF(#REF!="Yes","H",IF($B109="","",IF(AND($C109&lt;=#REF!,$D109&gt;=#REF!),IF($G109="","x","y"),"")))</f>
        <v>#REF!</v>
      </c>
      <c r="AQ109" s="270" t="e">
        <f>IF(#REF!="Yes","H",IF($B109="","",IF(AND($C109&lt;=#REF!,$D109&gt;=#REF!),IF($G109="","x","y"),"")))</f>
        <v>#REF!</v>
      </c>
      <c r="AR109" s="271" t="e">
        <f>IF(#REF!="Yes","H",IF($B109="","",IF(AND($C109&lt;=#REF!,$D109&gt;=#REF!),IF($G109="","x","y"),"")))</f>
        <v>#REF!</v>
      </c>
      <c r="AS109" s="272" t="e">
        <f>IF(#REF!="Yes","H",IF($B109="","",IF(AND($C109&lt;=#REF!,$D109&gt;=#REF!),IF($G109="","x","y"),"")))</f>
        <v>#REF!</v>
      </c>
      <c r="AT109" s="270" t="e">
        <f>IF(#REF!="Yes","H",IF($B109="","",IF(AND($C109&lt;=#REF!,$D109&gt;=#REF!),IF($G109="","x","y"),"")))</f>
        <v>#REF!</v>
      </c>
      <c r="AU109" s="270" t="e">
        <f>IF(#REF!="Yes","H",IF($B109="","",IF(AND($C109&lt;=#REF!,$D109&gt;=#REF!),IF($G109="","x","y"),"")))</f>
        <v>#REF!</v>
      </c>
      <c r="AV109" s="270" t="e">
        <f>IF(#REF!="Yes","H",IF($B109="","",IF(AND($C109&lt;=#REF!,$D109&gt;=#REF!),IF($G109="","x","y"),"")))</f>
        <v>#REF!</v>
      </c>
      <c r="AW109" s="273" t="e">
        <f>IF(#REF!="Yes","H",IF($B109="","",IF(AND($C109&lt;=#REF!,$D109&gt;=#REF!),IF($G109="","x","y"),"")))</f>
        <v>#REF!</v>
      </c>
      <c r="AX109" s="274" t="e">
        <f>IF(#REF!="Yes","H",IF($B109="","",IF(AND($C109&lt;=#REF!,$D109&gt;=#REF!),IF($G109="","x","y"),"")))</f>
        <v>#REF!</v>
      </c>
      <c r="AY109" s="270" t="e">
        <f>IF(#REF!="Yes","H",IF($B109="","",IF(AND($C109&lt;=#REF!,$D109&gt;=#REF!),IF($G109="","x","y"),"")))</f>
        <v>#REF!</v>
      </c>
      <c r="AZ109" s="270" t="e">
        <f>IF(#REF!="Yes","H",IF($B109="","",IF(AND($C109&lt;=#REF!,$D109&gt;=#REF!),IF($G109="","x","y"),"")))</f>
        <v>#REF!</v>
      </c>
      <c r="BA109" s="270" t="e">
        <f>IF(#REF!="Yes","H",IF($B109="","",IF(AND($C109&lt;=#REF!,$D109&gt;=#REF!),IF($G109="","x","y"),"")))</f>
        <v>#REF!</v>
      </c>
      <c r="BB109" s="271" t="e">
        <f>IF(#REF!="Yes","H",IF($B109="","",IF(AND($C109&lt;=#REF!,$D109&gt;=#REF!),IF($G109="","x","y"),"")))</f>
        <v>#REF!</v>
      </c>
      <c r="BC109" s="272" t="e">
        <f>IF(#REF!="Yes","H",IF($B109="","",IF(AND($C109&lt;=#REF!,$D109&gt;=#REF!),IF($G109="","x","y"),"")))</f>
        <v>#REF!</v>
      </c>
      <c r="BD109" s="270" t="e">
        <f>IF(#REF!="Yes","H",IF($B109="","",IF(AND($C109&lt;=#REF!,$D109&gt;=#REF!),IF($G109="","x","y"),"")))</f>
        <v>#REF!</v>
      </c>
      <c r="BE109" s="270" t="e">
        <f>IF(#REF!="Yes","H",IF($B109="","",IF(AND($C109&lt;=#REF!,$D109&gt;=#REF!),IF($G109="","x","y"),"")))</f>
        <v>#REF!</v>
      </c>
      <c r="BF109" s="270" t="e">
        <f>IF(#REF!="Yes","H",IF($B109="","",IF(AND($C109&lt;=#REF!,$D109&gt;=#REF!),IF($G109="","x","y"),"")))</f>
        <v>#REF!</v>
      </c>
      <c r="BG109" s="273" t="e">
        <f>IF(#REF!="Yes","H",IF($B109="","",IF(AND($C109&lt;=#REF!,$D109&gt;=#REF!),IF($G109="","x","y"),"")))</f>
        <v>#REF!</v>
      </c>
      <c r="BH109" s="274" t="e">
        <f>IF(#REF!="Yes","H",IF($B109="","",IF(AND($C109&lt;=#REF!,$D109&gt;=#REF!),IF($G109="","x","y"),"")))</f>
        <v>#REF!</v>
      </c>
      <c r="BI109" s="270" t="e">
        <f>IF(#REF!="Yes","H",IF($B109="","",IF(AND($C109&lt;=#REF!,$D109&gt;=#REF!),IF($G109="","x","y"),"")))</f>
        <v>#REF!</v>
      </c>
      <c r="BJ109" s="270" t="e">
        <f>IF(#REF!="Yes","H",IF($B109="","",IF(AND($C109&lt;=#REF!,$D109&gt;=#REF!),IF($G109="","x","y"),"")))</f>
        <v>#REF!</v>
      </c>
      <c r="BK109" s="270" t="e">
        <f>IF(#REF!="Yes","H",IF($B109="","",IF(AND($C109&lt;=#REF!,$D109&gt;=#REF!),IF($G109="","x","y"),"")))</f>
        <v>#REF!</v>
      </c>
      <c r="BL109" s="271" t="e">
        <f>IF(#REF!="Yes","H",IF($B109="","",IF(AND($C109&lt;=#REF!,$D109&gt;=#REF!),IF($G109="","x","y"),"")))</f>
        <v>#REF!</v>
      </c>
      <c r="BM109" s="272" t="e">
        <f>IF(#REF!="Yes","H",IF($B109="","",IF(AND($C109&lt;=#REF!,$D109&gt;=#REF!),IF($G109="","x","y"),"")))</f>
        <v>#REF!</v>
      </c>
      <c r="BN109" s="270" t="e">
        <f>IF(#REF!="Yes","H",IF($B109="","",IF(AND($C109&lt;=#REF!,$D109&gt;=#REF!),IF($G109="","x","y"),"")))</f>
        <v>#REF!</v>
      </c>
      <c r="BO109" s="270" t="e">
        <f>IF(#REF!="Yes","H",IF($B109="","",IF(AND($C109&lt;=#REF!,$D109&gt;=#REF!),IF($G109="","x","y"),"")))</f>
        <v>#REF!</v>
      </c>
      <c r="BP109" s="270" t="e">
        <f>IF(#REF!="Yes","H",IF($B109="","",IF(AND($C109&lt;=#REF!,$D109&gt;=#REF!),IF($G109="","x","y"),"")))</f>
        <v>#REF!</v>
      </c>
      <c r="BQ109" s="273" t="e">
        <f>IF(#REF!="Yes","H",IF($B109="","",IF(AND($C109&lt;=#REF!,$D109&gt;=#REF!),IF($G109="","x","y"),"")))</f>
        <v>#REF!</v>
      </c>
      <c r="BR109" s="274" t="e">
        <f>IF(#REF!="Yes","H",IF($B109="","",IF(AND($C109&lt;=#REF!,$D109&gt;=#REF!),IF($G109="","x","y"),"")))</f>
        <v>#REF!</v>
      </c>
      <c r="BS109" s="270" t="e">
        <f>IF(#REF!="Yes","H",IF($B109="","",IF(AND($C109&lt;=#REF!,$D109&gt;=#REF!),IF($G109="","x","y"),"")))</f>
        <v>#REF!</v>
      </c>
      <c r="BT109" s="270" t="e">
        <f>IF(#REF!="Yes","H",IF($B109="","",IF(AND($C109&lt;=#REF!,$D109&gt;=#REF!),IF($G109="","x","y"),"")))</f>
        <v>#REF!</v>
      </c>
      <c r="BU109" s="270" t="e">
        <f>IF(#REF!="Yes","H",IF($B109="","",IF(AND($C109&lt;=#REF!,$D109&gt;=#REF!),IF($G109="","x","y"),"")))</f>
        <v>#REF!</v>
      </c>
      <c r="BV109" s="271" t="e">
        <f>IF(#REF!="Yes","H",IF($B109="","",IF(AND($C109&lt;=#REF!,$D109&gt;=#REF!),IF($G109="","x","y"),"")))</f>
        <v>#REF!</v>
      </c>
      <c r="BW109" s="272" t="e">
        <f>IF(#REF!="Yes","H",IF($B109="","",IF(AND($C109&lt;=#REF!,$D109&gt;=#REF!),IF($G109="","x","y"),"")))</f>
        <v>#REF!</v>
      </c>
      <c r="BX109" s="270" t="e">
        <f>IF(#REF!="Yes","H",IF($B109="","",IF(AND($C109&lt;=#REF!,$D109&gt;=#REF!),IF($G109="","x","y"),"")))</f>
        <v>#REF!</v>
      </c>
      <c r="BY109" s="270" t="e">
        <f>IF(#REF!="Yes","H",IF($B109="","",IF(AND($C109&lt;=#REF!,$D109&gt;=#REF!),IF($G109="","x","y"),"")))</f>
        <v>#REF!</v>
      </c>
      <c r="BZ109" s="270" t="e">
        <f>IF(#REF!="Yes","H",IF($B109="","",IF(AND($C109&lt;=#REF!,$D109&gt;=#REF!),IF($G109="","x","y"),"")))</f>
        <v>#REF!</v>
      </c>
      <c r="CA109" s="273" t="e">
        <f>IF(#REF!="Yes","H",IF($B109="","",IF(AND($C109&lt;=#REF!,$D109&gt;=#REF!),IF($G109="","x","y"),"")))</f>
        <v>#REF!</v>
      </c>
    </row>
    <row r="110" spans="2:79" ht="15" customHeight="1">
      <c r="B110" s="141"/>
      <c r="C110" s="223"/>
      <c r="D110" s="223"/>
      <c r="E110" s="223"/>
      <c r="F110" s="282"/>
      <c r="G110" s="275"/>
      <c r="H110" s="209"/>
      <c r="I110" s="211"/>
      <c r="J110" s="269" t="e">
        <f>IF(#REF!="Yes","H",IF($B110="","",IF(AND($C110&lt;=#REF!,$D110&gt;=#REF!),IF($G110="","x","y"),"")))</f>
        <v>#REF!</v>
      </c>
      <c r="K110" s="270" t="e">
        <f>IF(#REF!="Yes","H",IF($B110="","",IF(AND($C110&lt;=#REF!,$D110&gt;=#REF!),IF($G110="","x","y"),"")))</f>
        <v>#REF!</v>
      </c>
      <c r="L110" s="270" t="e">
        <f>IF(#REF!="Yes","H",IF($B110="","",IF(AND($C110&lt;=#REF!,$D110&gt;=#REF!),IF($G110="","x","y"),"")))</f>
        <v>#REF!</v>
      </c>
      <c r="M110" s="270" t="e">
        <f>IF(#REF!="Yes","H",IF($B110="","",IF(AND($C110&lt;=#REF!,$D110&gt;=#REF!),IF($G110="","x","y"),"")))</f>
        <v>#REF!</v>
      </c>
      <c r="N110" s="271" t="e">
        <f>IF(#REF!="Yes","H",IF($B110="","",IF(AND($C110&lt;=#REF!,$D110&gt;=#REF!),IF($G110="","x","y"),"")))</f>
        <v>#REF!</v>
      </c>
      <c r="O110" s="272" t="e">
        <f>IF(#REF!="Yes","H",IF($B110="","",IF(AND($C110&lt;=#REF!,$D110&gt;=#REF!),IF($G110="","x","y"),"")))</f>
        <v>#REF!</v>
      </c>
      <c r="P110" s="270" t="e">
        <f>IF(#REF!="Yes","H",IF($B110="","",IF(AND($C110&lt;=#REF!,$D110&gt;=#REF!),IF($G110="","x","y"),"")))</f>
        <v>#REF!</v>
      </c>
      <c r="Q110" s="270" t="e">
        <f>IF(#REF!="Yes","H",IF($B110="","",IF(AND($C110&lt;=#REF!,$D110&gt;=#REF!),IF($G110="","x","y"),"")))</f>
        <v>#REF!</v>
      </c>
      <c r="R110" s="270" t="e">
        <f>IF(#REF!="Yes","H",IF($B110="","",IF(AND($C110&lt;=#REF!,$D110&gt;=#REF!),IF($G110="","x","y"),"")))</f>
        <v>#REF!</v>
      </c>
      <c r="S110" s="273" t="e">
        <f>IF(#REF!="Yes","H",IF($B110="","",IF(AND($C110&lt;=#REF!,$D110&gt;=#REF!),IF($G110="","x","y"),"")))</f>
        <v>#REF!</v>
      </c>
      <c r="T110" s="274" t="e">
        <f>IF(#REF!="Yes","H",IF($B110="","",IF(AND($C110&lt;=#REF!,$D110&gt;=#REF!),IF($G110="","x","y"),"")))</f>
        <v>#REF!</v>
      </c>
      <c r="U110" s="270" t="e">
        <f>IF(#REF!="Yes","H",IF($B110="","",IF(AND($C110&lt;=#REF!,$D110&gt;=#REF!),IF($G110="","x","y"),"")))</f>
        <v>#REF!</v>
      </c>
      <c r="V110" s="270" t="e">
        <f>IF(#REF!="Yes","H",IF($B110="","",IF(AND($C110&lt;=#REF!,$D110&gt;=#REF!),IF($G110="","x","y"),"")))</f>
        <v>#REF!</v>
      </c>
      <c r="W110" s="270" t="e">
        <f>IF(#REF!="Yes","H",IF($B110="","",IF(AND($C110&lt;=#REF!,$D110&gt;=#REF!),IF($G110="","x","y"),"")))</f>
        <v>#REF!</v>
      </c>
      <c r="X110" s="271" t="e">
        <f>IF(#REF!="Yes","H",IF($B110="","",IF(AND($C110&lt;=#REF!,$D110&gt;=#REF!),IF($G110="","x","y"),"")))</f>
        <v>#REF!</v>
      </c>
      <c r="Y110" s="272" t="e">
        <f>IF(#REF!="Yes","H",IF($B110="","",IF(AND($C110&lt;=#REF!,$D110&gt;=#REF!),IF($G110="","x","y"),"")))</f>
        <v>#REF!</v>
      </c>
      <c r="Z110" s="270" t="e">
        <f>IF(#REF!="Yes","H",IF($B110="","",IF(AND($C110&lt;=#REF!,$D110&gt;=#REF!),IF($G110="","x","y"),"")))</f>
        <v>#REF!</v>
      </c>
      <c r="AA110" s="270" t="e">
        <f>IF(#REF!="Yes","H",IF($B110="","",IF(AND($C110&lt;=#REF!,$D110&gt;=#REF!),IF($G110="","x","y"),"")))</f>
        <v>#REF!</v>
      </c>
      <c r="AB110" s="270" t="e">
        <f>IF(#REF!="Yes","H",IF($B110="","",IF(AND($C110&lt;=#REF!,$D110&gt;=#REF!),IF($G110="","x","y"),"")))</f>
        <v>#REF!</v>
      </c>
      <c r="AC110" s="273" t="e">
        <f>IF(#REF!="Yes","H",IF($B110="","",IF(AND($C110&lt;=#REF!,$D110&gt;=#REF!),IF($G110="","x","y"),"")))</f>
        <v>#REF!</v>
      </c>
      <c r="AD110" s="274" t="e">
        <f>IF(#REF!="Yes","H",IF($B110="","",IF(AND($C110&lt;=#REF!,$D110&gt;=#REF!),IF($G110="","x","y"),"")))</f>
        <v>#REF!</v>
      </c>
      <c r="AE110" s="270" t="e">
        <f>IF(#REF!="Yes","H",IF($B110="","",IF(AND($C110&lt;=#REF!,$D110&gt;=#REF!),IF($G110="","x","y"),"")))</f>
        <v>#REF!</v>
      </c>
      <c r="AF110" s="270" t="e">
        <f>IF(#REF!="Yes","H",IF($B110="","",IF(AND($C110&lt;=#REF!,$D110&gt;=#REF!),IF($G110="","x","y"),"")))</f>
        <v>#REF!</v>
      </c>
      <c r="AG110" s="270" t="e">
        <f>IF(#REF!="Yes","H",IF($B110="","",IF(AND($C110&lt;=#REF!,$D110&gt;=#REF!),IF($G110="","x","y"),"")))</f>
        <v>#REF!</v>
      </c>
      <c r="AH110" s="271" t="e">
        <f>IF(#REF!="Yes","H",IF($B110="","",IF(AND($C110&lt;=#REF!,$D110&gt;=#REF!),IF($G110="","x","y"),"")))</f>
        <v>#REF!</v>
      </c>
      <c r="AI110" s="272" t="e">
        <f>IF(#REF!="Yes","H",IF($B110="","",IF(AND($C110&lt;=#REF!,$D110&gt;=#REF!),IF($G110="","x","y"),"")))</f>
        <v>#REF!</v>
      </c>
      <c r="AJ110" s="270" t="e">
        <f>IF(#REF!="Yes","H",IF($B110="","",IF(AND($C110&lt;=#REF!,$D110&gt;=#REF!),IF($G110="","x","y"),"")))</f>
        <v>#REF!</v>
      </c>
      <c r="AK110" s="270" t="e">
        <f>IF(#REF!="Yes","H",IF($B110="","",IF(AND($C110&lt;=#REF!,$D110&gt;=#REF!),IF($G110="","x","y"),"")))</f>
        <v>#REF!</v>
      </c>
      <c r="AL110" s="270" t="e">
        <f>IF(#REF!="Yes","H",IF($B110="","",IF(AND($C110&lt;=#REF!,$D110&gt;=#REF!),IF($G110="","x","y"),"")))</f>
        <v>#REF!</v>
      </c>
      <c r="AM110" s="273" t="e">
        <f>IF(#REF!="Yes","H",IF($B110="","",IF(AND($C110&lt;=#REF!,$D110&gt;=#REF!),IF($G110="","x","y"),"")))</f>
        <v>#REF!</v>
      </c>
      <c r="AN110" s="274" t="e">
        <f>IF(#REF!="Yes","H",IF($B110="","",IF(AND($C110&lt;=#REF!,$D110&gt;=#REF!),IF($G110="","x","y"),"")))</f>
        <v>#REF!</v>
      </c>
      <c r="AO110" s="270" t="e">
        <f>IF(#REF!="Yes","H",IF($B110="","",IF(AND($C110&lt;=#REF!,$D110&gt;=#REF!),IF($G110="","x","y"),"")))</f>
        <v>#REF!</v>
      </c>
      <c r="AP110" s="270" t="e">
        <f>IF(#REF!="Yes","H",IF($B110="","",IF(AND($C110&lt;=#REF!,$D110&gt;=#REF!),IF($G110="","x","y"),"")))</f>
        <v>#REF!</v>
      </c>
      <c r="AQ110" s="270" t="e">
        <f>IF(#REF!="Yes","H",IF($B110="","",IF(AND($C110&lt;=#REF!,$D110&gt;=#REF!),IF($G110="","x","y"),"")))</f>
        <v>#REF!</v>
      </c>
      <c r="AR110" s="271" t="e">
        <f>IF(#REF!="Yes","H",IF($B110="","",IF(AND($C110&lt;=#REF!,$D110&gt;=#REF!),IF($G110="","x","y"),"")))</f>
        <v>#REF!</v>
      </c>
      <c r="AS110" s="272" t="e">
        <f>IF(#REF!="Yes","H",IF($B110="","",IF(AND($C110&lt;=#REF!,$D110&gt;=#REF!),IF($G110="","x","y"),"")))</f>
        <v>#REF!</v>
      </c>
      <c r="AT110" s="270" t="e">
        <f>IF(#REF!="Yes","H",IF($B110="","",IF(AND($C110&lt;=#REF!,$D110&gt;=#REF!),IF($G110="","x","y"),"")))</f>
        <v>#REF!</v>
      </c>
      <c r="AU110" s="270" t="e">
        <f>IF(#REF!="Yes","H",IF($B110="","",IF(AND($C110&lt;=#REF!,$D110&gt;=#REF!),IF($G110="","x","y"),"")))</f>
        <v>#REF!</v>
      </c>
      <c r="AV110" s="270" t="e">
        <f>IF(#REF!="Yes","H",IF($B110="","",IF(AND($C110&lt;=#REF!,$D110&gt;=#REF!),IF($G110="","x","y"),"")))</f>
        <v>#REF!</v>
      </c>
      <c r="AW110" s="273" t="e">
        <f>IF(#REF!="Yes","H",IF($B110="","",IF(AND($C110&lt;=#REF!,$D110&gt;=#REF!),IF($G110="","x","y"),"")))</f>
        <v>#REF!</v>
      </c>
      <c r="AX110" s="274" t="e">
        <f>IF(#REF!="Yes","H",IF($B110="","",IF(AND($C110&lt;=#REF!,$D110&gt;=#REF!),IF($G110="","x","y"),"")))</f>
        <v>#REF!</v>
      </c>
      <c r="AY110" s="270" t="e">
        <f>IF(#REF!="Yes","H",IF($B110="","",IF(AND($C110&lt;=#REF!,$D110&gt;=#REF!),IF($G110="","x","y"),"")))</f>
        <v>#REF!</v>
      </c>
      <c r="AZ110" s="270" t="e">
        <f>IF(#REF!="Yes","H",IF($B110="","",IF(AND($C110&lt;=#REF!,$D110&gt;=#REF!),IF($G110="","x","y"),"")))</f>
        <v>#REF!</v>
      </c>
      <c r="BA110" s="270" t="e">
        <f>IF(#REF!="Yes","H",IF($B110="","",IF(AND($C110&lt;=#REF!,$D110&gt;=#REF!),IF($G110="","x","y"),"")))</f>
        <v>#REF!</v>
      </c>
      <c r="BB110" s="271" t="e">
        <f>IF(#REF!="Yes","H",IF($B110="","",IF(AND($C110&lt;=#REF!,$D110&gt;=#REF!),IF($G110="","x","y"),"")))</f>
        <v>#REF!</v>
      </c>
      <c r="BC110" s="272" t="e">
        <f>IF(#REF!="Yes","H",IF($B110="","",IF(AND($C110&lt;=#REF!,$D110&gt;=#REF!),IF($G110="","x","y"),"")))</f>
        <v>#REF!</v>
      </c>
      <c r="BD110" s="270" t="e">
        <f>IF(#REF!="Yes","H",IF($B110="","",IF(AND($C110&lt;=#REF!,$D110&gt;=#REF!),IF($G110="","x","y"),"")))</f>
        <v>#REF!</v>
      </c>
      <c r="BE110" s="270" t="e">
        <f>IF(#REF!="Yes","H",IF($B110="","",IF(AND($C110&lt;=#REF!,$D110&gt;=#REF!),IF($G110="","x","y"),"")))</f>
        <v>#REF!</v>
      </c>
      <c r="BF110" s="270" t="e">
        <f>IF(#REF!="Yes","H",IF($B110="","",IF(AND($C110&lt;=#REF!,$D110&gt;=#REF!),IF($G110="","x","y"),"")))</f>
        <v>#REF!</v>
      </c>
      <c r="BG110" s="273" t="e">
        <f>IF(#REF!="Yes","H",IF($B110="","",IF(AND($C110&lt;=#REF!,$D110&gt;=#REF!),IF($G110="","x","y"),"")))</f>
        <v>#REF!</v>
      </c>
      <c r="BH110" s="274" t="e">
        <f>IF(#REF!="Yes","H",IF($B110="","",IF(AND($C110&lt;=#REF!,$D110&gt;=#REF!),IF($G110="","x","y"),"")))</f>
        <v>#REF!</v>
      </c>
      <c r="BI110" s="270" t="e">
        <f>IF(#REF!="Yes","H",IF($B110="","",IF(AND($C110&lt;=#REF!,$D110&gt;=#REF!),IF($G110="","x","y"),"")))</f>
        <v>#REF!</v>
      </c>
      <c r="BJ110" s="270" t="e">
        <f>IF(#REF!="Yes","H",IF($B110="","",IF(AND($C110&lt;=#REF!,$D110&gt;=#REF!),IF($G110="","x","y"),"")))</f>
        <v>#REF!</v>
      </c>
      <c r="BK110" s="270" t="e">
        <f>IF(#REF!="Yes","H",IF($B110="","",IF(AND($C110&lt;=#REF!,$D110&gt;=#REF!),IF($G110="","x","y"),"")))</f>
        <v>#REF!</v>
      </c>
      <c r="BL110" s="271" t="e">
        <f>IF(#REF!="Yes","H",IF($B110="","",IF(AND($C110&lt;=#REF!,$D110&gt;=#REF!),IF($G110="","x","y"),"")))</f>
        <v>#REF!</v>
      </c>
      <c r="BM110" s="272" t="e">
        <f>IF(#REF!="Yes","H",IF($B110="","",IF(AND($C110&lt;=#REF!,$D110&gt;=#REF!),IF($G110="","x","y"),"")))</f>
        <v>#REF!</v>
      </c>
      <c r="BN110" s="270" t="e">
        <f>IF(#REF!="Yes","H",IF($B110="","",IF(AND($C110&lt;=#REF!,$D110&gt;=#REF!),IF($G110="","x","y"),"")))</f>
        <v>#REF!</v>
      </c>
      <c r="BO110" s="270" t="e">
        <f>IF(#REF!="Yes","H",IF($B110="","",IF(AND($C110&lt;=#REF!,$D110&gt;=#REF!),IF($G110="","x","y"),"")))</f>
        <v>#REF!</v>
      </c>
      <c r="BP110" s="270" t="e">
        <f>IF(#REF!="Yes","H",IF($B110="","",IF(AND($C110&lt;=#REF!,$D110&gt;=#REF!),IF($G110="","x","y"),"")))</f>
        <v>#REF!</v>
      </c>
      <c r="BQ110" s="273" t="e">
        <f>IF(#REF!="Yes","H",IF($B110="","",IF(AND($C110&lt;=#REF!,$D110&gt;=#REF!),IF($G110="","x","y"),"")))</f>
        <v>#REF!</v>
      </c>
      <c r="BR110" s="274" t="e">
        <f>IF(#REF!="Yes","H",IF($B110="","",IF(AND($C110&lt;=#REF!,$D110&gt;=#REF!),IF($G110="","x","y"),"")))</f>
        <v>#REF!</v>
      </c>
      <c r="BS110" s="270" t="e">
        <f>IF(#REF!="Yes","H",IF($B110="","",IF(AND($C110&lt;=#REF!,$D110&gt;=#REF!),IF($G110="","x","y"),"")))</f>
        <v>#REF!</v>
      </c>
      <c r="BT110" s="270" t="e">
        <f>IF(#REF!="Yes","H",IF($B110="","",IF(AND($C110&lt;=#REF!,$D110&gt;=#REF!),IF($G110="","x","y"),"")))</f>
        <v>#REF!</v>
      </c>
      <c r="BU110" s="270" t="e">
        <f>IF(#REF!="Yes","H",IF($B110="","",IF(AND($C110&lt;=#REF!,$D110&gt;=#REF!),IF($G110="","x","y"),"")))</f>
        <v>#REF!</v>
      </c>
      <c r="BV110" s="271" t="e">
        <f>IF(#REF!="Yes","H",IF($B110="","",IF(AND($C110&lt;=#REF!,$D110&gt;=#REF!),IF($G110="","x","y"),"")))</f>
        <v>#REF!</v>
      </c>
      <c r="BW110" s="272" t="e">
        <f>IF(#REF!="Yes","H",IF($B110="","",IF(AND($C110&lt;=#REF!,$D110&gt;=#REF!),IF($G110="","x","y"),"")))</f>
        <v>#REF!</v>
      </c>
      <c r="BX110" s="270" t="e">
        <f>IF(#REF!="Yes","H",IF($B110="","",IF(AND($C110&lt;=#REF!,$D110&gt;=#REF!),IF($G110="","x","y"),"")))</f>
        <v>#REF!</v>
      </c>
      <c r="BY110" s="270" t="e">
        <f>IF(#REF!="Yes","H",IF($B110="","",IF(AND($C110&lt;=#REF!,$D110&gt;=#REF!),IF($G110="","x","y"),"")))</f>
        <v>#REF!</v>
      </c>
      <c r="BZ110" s="270" t="e">
        <f>IF(#REF!="Yes","H",IF($B110="","",IF(AND($C110&lt;=#REF!,$D110&gt;=#REF!),IF($G110="","x","y"),"")))</f>
        <v>#REF!</v>
      </c>
      <c r="CA110" s="273" t="e">
        <f>IF(#REF!="Yes","H",IF($B110="","",IF(AND($C110&lt;=#REF!,$D110&gt;=#REF!),IF($G110="","x","y"),"")))</f>
        <v>#REF!</v>
      </c>
    </row>
    <row r="111" spans="2:79" ht="15" customHeight="1" thickBot="1">
      <c r="B111" s="142"/>
      <c r="C111" s="143"/>
      <c r="D111" s="143"/>
      <c r="E111" s="143"/>
      <c r="F111" s="144"/>
      <c r="G111" s="275"/>
      <c r="H111" s="209"/>
      <c r="I111" s="211"/>
      <c r="J111" s="269" t="e">
        <f>IF(#REF!="Yes","H",IF($B111="","",IF(AND($C111&lt;=#REF!,$D111&gt;=#REF!),IF($G111="","x","y"),"")))</f>
        <v>#REF!</v>
      </c>
      <c r="K111" s="270" t="e">
        <f>IF(#REF!="Yes","H",IF($B111="","",IF(AND($C111&lt;=#REF!,$D111&gt;=#REF!),IF($G111="","x","y"),"")))</f>
        <v>#REF!</v>
      </c>
      <c r="L111" s="270" t="e">
        <f>IF(#REF!="Yes","H",IF($B111="","",IF(AND($C111&lt;=#REF!,$D111&gt;=#REF!),IF($G111="","x","y"),"")))</f>
        <v>#REF!</v>
      </c>
      <c r="M111" s="270" t="e">
        <f>IF(#REF!="Yes","H",IF($B111="","",IF(AND($C111&lt;=#REF!,$D111&gt;=#REF!),IF($G111="","x","y"),"")))</f>
        <v>#REF!</v>
      </c>
      <c r="N111" s="271" t="e">
        <f>IF(#REF!="Yes","H",IF($B111="","",IF(AND($C111&lt;=#REF!,$D111&gt;=#REF!),IF($G111="","x","y"),"")))</f>
        <v>#REF!</v>
      </c>
      <c r="O111" s="272" t="e">
        <f>IF(#REF!="Yes","H",IF($B111="","",IF(AND($C111&lt;=#REF!,$D111&gt;=#REF!),IF($G111="","x","y"),"")))</f>
        <v>#REF!</v>
      </c>
      <c r="P111" s="270" t="e">
        <f>IF(#REF!="Yes","H",IF($B111="","",IF(AND($C111&lt;=#REF!,$D111&gt;=#REF!),IF($G111="","x","y"),"")))</f>
        <v>#REF!</v>
      </c>
      <c r="Q111" s="270" t="e">
        <f>IF(#REF!="Yes","H",IF($B111="","",IF(AND($C111&lt;=#REF!,$D111&gt;=#REF!),IF($G111="","x","y"),"")))</f>
        <v>#REF!</v>
      </c>
      <c r="R111" s="270" t="e">
        <f>IF(#REF!="Yes","H",IF($B111="","",IF(AND($C111&lt;=#REF!,$D111&gt;=#REF!),IF($G111="","x","y"),"")))</f>
        <v>#REF!</v>
      </c>
      <c r="S111" s="273" t="e">
        <f>IF(#REF!="Yes","H",IF($B111="","",IF(AND($C111&lt;=#REF!,$D111&gt;=#REF!),IF($G111="","x","y"),"")))</f>
        <v>#REF!</v>
      </c>
      <c r="T111" s="274" t="e">
        <f>IF(#REF!="Yes","H",IF($B111="","",IF(AND($C111&lt;=#REF!,$D111&gt;=#REF!),IF($G111="","x","y"),"")))</f>
        <v>#REF!</v>
      </c>
      <c r="U111" s="270" t="e">
        <f>IF(#REF!="Yes","H",IF($B111="","",IF(AND($C111&lt;=#REF!,$D111&gt;=#REF!),IF($G111="","x","y"),"")))</f>
        <v>#REF!</v>
      </c>
      <c r="V111" s="270" t="e">
        <f>IF(#REF!="Yes","H",IF($B111="","",IF(AND($C111&lt;=#REF!,$D111&gt;=#REF!),IF($G111="","x","y"),"")))</f>
        <v>#REF!</v>
      </c>
      <c r="W111" s="270" t="e">
        <f>IF(#REF!="Yes","H",IF($B111="","",IF(AND($C111&lt;=#REF!,$D111&gt;=#REF!),IF($G111="","x","y"),"")))</f>
        <v>#REF!</v>
      </c>
      <c r="X111" s="271" t="e">
        <f>IF(#REF!="Yes","H",IF($B111="","",IF(AND($C111&lt;=#REF!,$D111&gt;=#REF!),IF($G111="","x","y"),"")))</f>
        <v>#REF!</v>
      </c>
      <c r="Y111" s="272" t="e">
        <f>IF(#REF!="Yes","H",IF($B111="","",IF(AND($C111&lt;=#REF!,$D111&gt;=#REF!),IF($G111="","x","y"),"")))</f>
        <v>#REF!</v>
      </c>
      <c r="Z111" s="270" t="e">
        <f>IF(#REF!="Yes","H",IF($B111="","",IF(AND($C111&lt;=#REF!,$D111&gt;=#REF!),IF($G111="","x","y"),"")))</f>
        <v>#REF!</v>
      </c>
      <c r="AA111" s="270" t="e">
        <f>IF(#REF!="Yes","H",IF($B111="","",IF(AND($C111&lt;=#REF!,$D111&gt;=#REF!),IF($G111="","x","y"),"")))</f>
        <v>#REF!</v>
      </c>
      <c r="AB111" s="270" t="e">
        <f>IF(#REF!="Yes","H",IF($B111="","",IF(AND($C111&lt;=#REF!,$D111&gt;=#REF!),IF($G111="","x","y"),"")))</f>
        <v>#REF!</v>
      </c>
      <c r="AC111" s="273" t="e">
        <f>IF(#REF!="Yes","H",IF($B111="","",IF(AND($C111&lt;=#REF!,$D111&gt;=#REF!),IF($G111="","x","y"),"")))</f>
        <v>#REF!</v>
      </c>
      <c r="AD111" s="274" t="e">
        <f>IF(#REF!="Yes","H",IF($B111="","",IF(AND($C111&lt;=#REF!,$D111&gt;=#REF!),IF($G111="","x","y"),"")))</f>
        <v>#REF!</v>
      </c>
      <c r="AE111" s="270" t="e">
        <f>IF(#REF!="Yes","H",IF($B111="","",IF(AND($C111&lt;=#REF!,$D111&gt;=#REF!),IF($G111="","x","y"),"")))</f>
        <v>#REF!</v>
      </c>
      <c r="AF111" s="270" t="e">
        <f>IF(#REF!="Yes","H",IF($B111="","",IF(AND($C111&lt;=#REF!,$D111&gt;=#REF!),IF($G111="","x","y"),"")))</f>
        <v>#REF!</v>
      </c>
      <c r="AG111" s="270" t="e">
        <f>IF(#REF!="Yes","H",IF($B111="","",IF(AND($C111&lt;=#REF!,$D111&gt;=#REF!),IF($G111="","x","y"),"")))</f>
        <v>#REF!</v>
      </c>
      <c r="AH111" s="271" t="e">
        <f>IF(#REF!="Yes","H",IF($B111="","",IF(AND($C111&lt;=#REF!,$D111&gt;=#REF!),IF($G111="","x","y"),"")))</f>
        <v>#REF!</v>
      </c>
      <c r="AI111" s="272" t="e">
        <f>IF(#REF!="Yes","H",IF($B111="","",IF(AND($C111&lt;=#REF!,$D111&gt;=#REF!),IF($G111="","x","y"),"")))</f>
        <v>#REF!</v>
      </c>
      <c r="AJ111" s="270" t="e">
        <f>IF(#REF!="Yes","H",IF($B111="","",IF(AND($C111&lt;=#REF!,$D111&gt;=#REF!),IF($G111="","x","y"),"")))</f>
        <v>#REF!</v>
      </c>
      <c r="AK111" s="270" t="e">
        <f>IF(#REF!="Yes","H",IF($B111="","",IF(AND($C111&lt;=#REF!,$D111&gt;=#REF!),IF($G111="","x","y"),"")))</f>
        <v>#REF!</v>
      </c>
      <c r="AL111" s="270" t="e">
        <f>IF(#REF!="Yes","H",IF($B111="","",IF(AND($C111&lt;=#REF!,$D111&gt;=#REF!),IF($G111="","x","y"),"")))</f>
        <v>#REF!</v>
      </c>
      <c r="AM111" s="273" t="e">
        <f>IF(#REF!="Yes","H",IF($B111="","",IF(AND($C111&lt;=#REF!,$D111&gt;=#REF!),IF($G111="","x","y"),"")))</f>
        <v>#REF!</v>
      </c>
      <c r="AN111" s="274" t="e">
        <f>IF(#REF!="Yes","H",IF($B111="","",IF(AND($C111&lt;=#REF!,$D111&gt;=#REF!),IF($G111="","x","y"),"")))</f>
        <v>#REF!</v>
      </c>
      <c r="AO111" s="270" t="e">
        <f>IF(#REF!="Yes","H",IF($B111="","",IF(AND($C111&lt;=#REF!,$D111&gt;=#REF!),IF($G111="","x","y"),"")))</f>
        <v>#REF!</v>
      </c>
      <c r="AP111" s="270" t="e">
        <f>IF(#REF!="Yes","H",IF($B111="","",IF(AND($C111&lt;=#REF!,$D111&gt;=#REF!),IF($G111="","x","y"),"")))</f>
        <v>#REF!</v>
      </c>
      <c r="AQ111" s="270" t="e">
        <f>IF(#REF!="Yes","H",IF($B111="","",IF(AND($C111&lt;=#REF!,$D111&gt;=#REF!),IF($G111="","x","y"),"")))</f>
        <v>#REF!</v>
      </c>
      <c r="AR111" s="271" t="e">
        <f>IF(#REF!="Yes","H",IF($B111="","",IF(AND($C111&lt;=#REF!,$D111&gt;=#REF!),IF($G111="","x","y"),"")))</f>
        <v>#REF!</v>
      </c>
      <c r="AS111" s="272" t="e">
        <f>IF(#REF!="Yes","H",IF($B111="","",IF(AND($C111&lt;=#REF!,$D111&gt;=#REF!),IF($G111="","x","y"),"")))</f>
        <v>#REF!</v>
      </c>
      <c r="AT111" s="270" t="e">
        <f>IF(#REF!="Yes","H",IF($B111="","",IF(AND($C111&lt;=#REF!,$D111&gt;=#REF!),IF($G111="","x","y"),"")))</f>
        <v>#REF!</v>
      </c>
      <c r="AU111" s="270" t="e">
        <f>IF(#REF!="Yes","H",IF($B111="","",IF(AND($C111&lt;=#REF!,$D111&gt;=#REF!),IF($G111="","x","y"),"")))</f>
        <v>#REF!</v>
      </c>
      <c r="AV111" s="270" t="e">
        <f>IF(#REF!="Yes","H",IF($B111="","",IF(AND($C111&lt;=#REF!,$D111&gt;=#REF!),IF($G111="","x","y"),"")))</f>
        <v>#REF!</v>
      </c>
      <c r="AW111" s="273" t="e">
        <f>IF(#REF!="Yes","H",IF($B111="","",IF(AND($C111&lt;=#REF!,$D111&gt;=#REF!),IF($G111="","x","y"),"")))</f>
        <v>#REF!</v>
      </c>
      <c r="AX111" s="274" t="e">
        <f>IF(#REF!="Yes","H",IF($B111="","",IF(AND($C111&lt;=#REF!,$D111&gt;=#REF!),IF($G111="","x","y"),"")))</f>
        <v>#REF!</v>
      </c>
      <c r="AY111" s="270" t="e">
        <f>IF(#REF!="Yes","H",IF($B111="","",IF(AND($C111&lt;=#REF!,$D111&gt;=#REF!),IF($G111="","x","y"),"")))</f>
        <v>#REF!</v>
      </c>
      <c r="AZ111" s="270" t="e">
        <f>IF(#REF!="Yes","H",IF($B111="","",IF(AND($C111&lt;=#REF!,$D111&gt;=#REF!),IF($G111="","x","y"),"")))</f>
        <v>#REF!</v>
      </c>
      <c r="BA111" s="270" t="e">
        <f>IF(#REF!="Yes","H",IF($B111="","",IF(AND($C111&lt;=#REF!,$D111&gt;=#REF!),IF($G111="","x","y"),"")))</f>
        <v>#REF!</v>
      </c>
      <c r="BB111" s="271" t="e">
        <f>IF(#REF!="Yes","H",IF($B111="","",IF(AND($C111&lt;=#REF!,$D111&gt;=#REF!),IF($G111="","x","y"),"")))</f>
        <v>#REF!</v>
      </c>
      <c r="BC111" s="272" t="e">
        <f>IF(#REF!="Yes","H",IF($B111="","",IF(AND($C111&lt;=#REF!,$D111&gt;=#REF!),IF($G111="","x","y"),"")))</f>
        <v>#REF!</v>
      </c>
      <c r="BD111" s="270" t="e">
        <f>IF(#REF!="Yes","H",IF($B111="","",IF(AND($C111&lt;=#REF!,$D111&gt;=#REF!),IF($G111="","x","y"),"")))</f>
        <v>#REF!</v>
      </c>
      <c r="BE111" s="270" t="e">
        <f>IF(#REF!="Yes","H",IF($B111="","",IF(AND($C111&lt;=#REF!,$D111&gt;=#REF!),IF($G111="","x","y"),"")))</f>
        <v>#REF!</v>
      </c>
      <c r="BF111" s="270" t="e">
        <f>IF(#REF!="Yes","H",IF($B111="","",IF(AND($C111&lt;=#REF!,$D111&gt;=#REF!),IF($G111="","x","y"),"")))</f>
        <v>#REF!</v>
      </c>
      <c r="BG111" s="273" t="e">
        <f>IF(#REF!="Yes","H",IF($B111="","",IF(AND($C111&lt;=#REF!,$D111&gt;=#REF!),IF($G111="","x","y"),"")))</f>
        <v>#REF!</v>
      </c>
      <c r="BH111" s="274" t="e">
        <f>IF(#REF!="Yes","H",IF($B111="","",IF(AND($C111&lt;=#REF!,$D111&gt;=#REF!),IF($G111="","x","y"),"")))</f>
        <v>#REF!</v>
      </c>
      <c r="BI111" s="270" t="e">
        <f>IF(#REF!="Yes","H",IF($B111="","",IF(AND($C111&lt;=#REF!,$D111&gt;=#REF!),IF($G111="","x","y"),"")))</f>
        <v>#REF!</v>
      </c>
      <c r="BJ111" s="270" t="e">
        <f>IF(#REF!="Yes","H",IF($B111="","",IF(AND($C111&lt;=#REF!,$D111&gt;=#REF!),IF($G111="","x","y"),"")))</f>
        <v>#REF!</v>
      </c>
      <c r="BK111" s="270" t="e">
        <f>IF(#REF!="Yes","H",IF($B111="","",IF(AND($C111&lt;=#REF!,$D111&gt;=#REF!),IF($G111="","x","y"),"")))</f>
        <v>#REF!</v>
      </c>
      <c r="BL111" s="271" t="e">
        <f>IF(#REF!="Yes","H",IF($B111="","",IF(AND($C111&lt;=#REF!,$D111&gt;=#REF!),IF($G111="","x","y"),"")))</f>
        <v>#REF!</v>
      </c>
      <c r="BM111" s="272" t="e">
        <f>IF(#REF!="Yes","H",IF($B111="","",IF(AND($C111&lt;=#REF!,$D111&gt;=#REF!),IF($G111="","x","y"),"")))</f>
        <v>#REF!</v>
      </c>
      <c r="BN111" s="270" t="e">
        <f>IF(#REF!="Yes","H",IF($B111="","",IF(AND($C111&lt;=#REF!,$D111&gt;=#REF!),IF($G111="","x","y"),"")))</f>
        <v>#REF!</v>
      </c>
      <c r="BO111" s="270" t="e">
        <f>IF(#REF!="Yes","H",IF($B111="","",IF(AND($C111&lt;=#REF!,$D111&gt;=#REF!),IF($G111="","x","y"),"")))</f>
        <v>#REF!</v>
      </c>
      <c r="BP111" s="270" t="e">
        <f>IF(#REF!="Yes","H",IF($B111="","",IF(AND($C111&lt;=#REF!,$D111&gt;=#REF!),IF($G111="","x","y"),"")))</f>
        <v>#REF!</v>
      </c>
      <c r="BQ111" s="273" t="e">
        <f>IF(#REF!="Yes","H",IF($B111="","",IF(AND($C111&lt;=#REF!,$D111&gt;=#REF!),IF($G111="","x","y"),"")))</f>
        <v>#REF!</v>
      </c>
      <c r="BR111" s="274" t="e">
        <f>IF(#REF!="Yes","H",IF($B111="","",IF(AND($C111&lt;=#REF!,$D111&gt;=#REF!),IF($G111="","x","y"),"")))</f>
        <v>#REF!</v>
      </c>
      <c r="BS111" s="270" t="e">
        <f>IF(#REF!="Yes","H",IF($B111="","",IF(AND($C111&lt;=#REF!,$D111&gt;=#REF!),IF($G111="","x","y"),"")))</f>
        <v>#REF!</v>
      </c>
      <c r="BT111" s="270" t="e">
        <f>IF(#REF!="Yes","H",IF($B111="","",IF(AND($C111&lt;=#REF!,$D111&gt;=#REF!),IF($G111="","x","y"),"")))</f>
        <v>#REF!</v>
      </c>
      <c r="BU111" s="270" t="e">
        <f>IF(#REF!="Yes","H",IF($B111="","",IF(AND($C111&lt;=#REF!,$D111&gt;=#REF!),IF($G111="","x","y"),"")))</f>
        <v>#REF!</v>
      </c>
      <c r="BV111" s="271" t="e">
        <f>IF(#REF!="Yes","H",IF($B111="","",IF(AND($C111&lt;=#REF!,$D111&gt;=#REF!),IF($G111="","x","y"),"")))</f>
        <v>#REF!</v>
      </c>
      <c r="BW111" s="272" t="e">
        <f>IF(#REF!="Yes","H",IF($B111="","",IF(AND($C111&lt;=#REF!,$D111&gt;=#REF!),IF($G111="","x","y"),"")))</f>
        <v>#REF!</v>
      </c>
      <c r="BX111" s="270" t="e">
        <f>IF(#REF!="Yes","H",IF($B111="","",IF(AND($C111&lt;=#REF!,$D111&gt;=#REF!),IF($G111="","x","y"),"")))</f>
        <v>#REF!</v>
      </c>
      <c r="BY111" s="270" t="e">
        <f>IF(#REF!="Yes","H",IF($B111="","",IF(AND($C111&lt;=#REF!,$D111&gt;=#REF!),IF($G111="","x","y"),"")))</f>
        <v>#REF!</v>
      </c>
      <c r="BZ111" s="270" t="e">
        <f>IF(#REF!="Yes","H",IF($B111="","",IF(AND($C111&lt;=#REF!,$D111&gt;=#REF!),IF($G111="","x","y"),"")))</f>
        <v>#REF!</v>
      </c>
      <c r="CA111" s="273" t="e">
        <f>IF(#REF!="Yes","H",IF($B111="","",IF(AND($C111&lt;=#REF!,$D111&gt;=#REF!),IF($G111="","x","y"),"")))</f>
        <v>#REF!</v>
      </c>
    </row>
    <row r="112" spans="2:79" ht="15" customHeight="1">
      <c r="B112" s="145"/>
      <c r="C112" s="227"/>
      <c r="D112" s="227"/>
      <c r="E112" s="228"/>
      <c r="F112" s="209"/>
      <c r="G112" s="275"/>
      <c r="H112" s="209"/>
      <c r="I112" s="211"/>
      <c r="J112" s="269" t="e">
        <f>IF(#REF!="Yes","H",IF($B112="","",IF(AND($C112&lt;=#REF!,$D112&gt;=#REF!),IF($G112="","x","y"),"")))</f>
        <v>#REF!</v>
      </c>
      <c r="K112" s="270" t="e">
        <f>IF(#REF!="Yes","H",IF($B112="","",IF(AND($C112&lt;=#REF!,$D112&gt;=#REF!),IF($G112="","x","y"),"")))</f>
        <v>#REF!</v>
      </c>
      <c r="L112" s="270" t="e">
        <f>IF(#REF!="Yes","H",IF($B112="","",IF(AND($C112&lt;=#REF!,$D112&gt;=#REF!),IF($G112="","x","y"),"")))</f>
        <v>#REF!</v>
      </c>
      <c r="M112" s="270" t="e">
        <f>IF(#REF!="Yes","H",IF($B112="","",IF(AND($C112&lt;=#REF!,$D112&gt;=#REF!),IF($G112="","x","y"),"")))</f>
        <v>#REF!</v>
      </c>
      <c r="N112" s="271" t="e">
        <f>IF(#REF!="Yes","H",IF($B112="","",IF(AND($C112&lt;=#REF!,$D112&gt;=#REF!),IF($G112="","x","y"),"")))</f>
        <v>#REF!</v>
      </c>
      <c r="O112" s="272" t="e">
        <f>IF(#REF!="Yes","H",IF($B112="","",IF(AND($C112&lt;=#REF!,$D112&gt;=#REF!),IF($G112="","x","y"),"")))</f>
        <v>#REF!</v>
      </c>
      <c r="P112" s="270" t="e">
        <f>IF(#REF!="Yes","H",IF($B112="","",IF(AND($C112&lt;=#REF!,$D112&gt;=#REF!),IF($G112="","x","y"),"")))</f>
        <v>#REF!</v>
      </c>
      <c r="Q112" s="270" t="e">
        <f>IF(#REF!="Yes","H",IF($B112="","",IF(AND($C112&lt;=#REF!,$D112&gt;=#REF!),IF($G112="","x","y"),"")))</f>
        <v>#REF!</v>
      </c>
      <c r="R112" s="270" t="e">
        <f>IF(#REF!="Yes","H",IF($B112="","",IF(AND($C112&lt;=#REF!,$D112&gt;=#REF!),IF($G112="","x","y"),"")))</f>
        <v>#REF!</v>
      </c>
      <c r="S112" s="273" t="e">
        <f>IF(#REF!="Yes","H",IF($B112="","",IF(AND($C112&lt;=#REF!,$D112&gt;=#REF!),IF($G112="","x","y"),"")))</f>
        <v>#REF!</v>
      </c>
      <c r="T112" s="274" t="e">
        <f>IF(#REF!="Yes","H",IF($B112="","",IF(AND($C112&lt;=#REF!,$D112&gt;=#REF!),IF($G112="","x","y"),"")))</f>
        <v>#REF!</v>
      </c>
      <c r="U112" s="270" t="e">
        <f>IF(#REF!="Yes","H",IF($B112="","",IF(AND($C112&lt;=#REF!,$D112&gt;=#REF!),IF($G112="","x","y"),"")))</f>
        <v>#REF!</v>
      </c>
      <c r="V112" s="270" t="e">
        <f>IF(#REF!="Yes","H",IF($B112="","",IF(AND($C112&lt;=#REF!,$D112&gt;=#REF!),IF($G112="","x","y"),"")))</f>
        <v>#REF!</v>
      </c>
      <c r="W112" s="270" t="e">
        <f>IF(#REF!="Yes","H",IF($B112="","",IF(AND($C112&lt;=#REF!,$D112&gt;=#REF!),IF($G112="","x","y"),"")))</f>
        <v>#REF!</v>
      </c>
      <c r="X112" s="271" t="e">
        <f>IF(#REF!="Yes","H",IF($B112="","",IF(AND($C112&lt;=#REF!,$D112&gt;=#REF!),IF($G112="","x","y"),"")))</f>
        <v>#REF!</v>
      </c>
      <c r="Y112" s="272" t="e">
        <f>IF(#REF!="Yes","H",IF($B112="","",IF(AND($C112&lt;=#REF!,$D112&gt;=#REF!),IF($G112="","x","y"),"")))</f>
        <v>#REF!</v>
      </c>
      <c r="Z112" s="270" t="e">
        <f>IF(#REF!="Yes","H",IF($B112="","",IF(AND($C112&lt;=#REF!,$D112&gt;=#REF!),IF($G112="","x","y"),"")))</f>
        <v>#REF!</v>
      </c>
      <c r="AA112" s="270" t="e">
        <f>IF(#REF!="Yes","H",IF($B112="","",IF(AND($C112&lt;=#REF!,$D112&gt;=#REF!),IF($G112="","x","y"),"")))</f>
        <v>#REF!</v>
      </c>
      <c r="AB112" s="270" t="e">
        <f>IF(#REF!="Yes","H",IF($B112="","",IF(AND($C112&lt;=#REF!,$D112&gt;=#REF!),IF($G112="","x","y"),"")))</f>
        <v>#REF!</v>
      </c>
      <c r="AC112" s="273" t="e">
        <f>IF(#REF!="Yes","H",IF($B112="","",IF(AND($C112&lt;=#REF!,$D112&gt;=#REF!),IF($G112="","x","y"),"")))</f>
        <v>#REF!</v>
      </c>
      <c r="AD112" s="274" t="e">
        <f>IF(#REF!="Yes","H",IF($B112="","",IF(AND($C112&lt;=#REF!,$D112&gt;=#REF!),IF($G112="","x","y"),"")))</f>
        <v>#REF!</v>
      </c>
      <c r="AE112" s="270" t="e">
        <f>IF(#REF!="Yes","H",IF($B112="","",IF(AND($C112&lt;=#REF!,$D112&gt;=#REF!),IF($G112="","x","y"),"")))</f>
        <v>#REF!</v>
      </c>
      <c r="AF112" s="270" t="e">
        <f>IF(#REF!="Yes","H",IF($B112="","",IF(AND($C112&lt;=#REF!,$D112&gt;=#REF!),IF($G112="","x","y"),"")))</f>
        <v>#REF!</v>
      </c>
      <c r="AG112" s="270" t="e">
        <f>IF(#REF!="Yes","H",IF($B112="","",IF(AND($C112&lt;=#REF!,$D112&gt;=#REF!),IF($G112="","x","y"),"")))</f>
        <v>#REF!</v>
      </c>
      <c r="AH112" s="271" t="e">
        <f>IF(#REF!="Yes","H",IF($B112="","",IF(AND($C112&lt;=#REF!,$D112&gt;=#REF!),IF($G112="","x","y"),"")))</f>
        <v>#REF!</v>
      </c>
      <c r="AI112" s="272" t="e">
        <f>IF(#REF!="Yes","H",IF($B112="","",IF(AND($C112&lt;=#REF!,$D112&gt;=#REF!),IF($G112="","x","y"),"")))</f>
        <v>#REF!</v>
      </c>
      <c r="AJ112" s="270" t="e">
        <f>IF(#REF!="Yes","H",IF($B112="","",IF(AND($C112&lt;=#REF!,$D112&gt;=#REF!),IF($G112="","x","y"),"")))</f>
        <v>#REF!</v>
      </c>
      <c r="AK112" s="270" t="e">
        <f>IF(#REF!="Yes","H",IF($B112="","",IF(AND($C112&lt;=#REF!,$D112&gt;=#REF!),IF($G112="","x","y"),"")))</f>
        <v>#REF!</v>
      </c>
      <c r="AL112" s="270" t="e">
        <f>IF(#REF!="Yes","H",IF($B112="","",IF(AND($C112&lt;=#REF!,$D112&gt;=#REF!),IF($G112="","x","y"),"")))</f>
        <v>#REF!</v>
      </c>
      <c r="AM112" s="273" t="e">
        <f>IF(#REF!="Yes","H",IF($B112="","",IF(AND($C112&lt;=#REF!,$D112&gt;=#REF!),IF($G112="","x","y"),"")))</f>
        <v>#REF!</v>
      </c>
      <c r="AN112" s="274" t="e">
        <f>IF(#REF!="Yes","H",IF($B112="","",IF(AND($C112&lt;=#REF!,$D112&gt;=#REF!),IF($G112="","x","y"),"")))</f>
        <v>#REF!</v>
      </c>
      <c r="AO112" s="270" t="e">
        <f>IF(#REF!="Yes","H",IF($B112="","",IF(AND($C112&lt;=#REF!,$D112&gt;=#REF!),IF($G112="","x","y"),"")))</f>
        <v>#REF!</v>
      </c>
      <c r="AP112" s="270" t="e">
        <f>IF(#REF!="Yes","H",IF($B112="","",IF(AND($C112&lt;=#REF!,$D112&gt;=#REF!),IF($G112="","x","y"),"")))</f>
        <v>#REF!</v>
      </c>
      <c r="AQ112" s="270" t="e">
        <f>IF(#REF!="Yes","H",IF($B112="","",IF(AND($C112&lt;=#REF!,$D112&gt;=#REF!),IF($G112="","x","y"),"")))</f>
        <v>#REF!</v>
      </c>
      <c r="AR112" s="271" t="e">
        <f>IF(#REF!="Yes","H",IF($B112="","",IF(AND($C112&lt;=#REF!,$D112&gt;=#REF!),IF($G112="","x","y"),"")))</f>
        <v>#REF!</v>
      </c>
      <c r="AS112" s="272" t="e">
        <f>IF(#REF!="Yes","H",IF($B112="","",IF(AND($C112&lt;=#REF!,$D112&gt;=#REF!),IF($G112="","x","y"),"")))</f>
        <v>#REF!</v>
      </c>
      <c r="AT112" s="270" t="e">
        <f>IF(#REF!="Yes","H",IF($B112="","",IF(AND($C112&lt;=#REF!,$D112&gt;=#REF!),IF($G112="","x","y"),"")))</f>
        <v>#REF!</v>
      </c>
      <c r="AU112" s="270" t="e">
        <f>IF(#REF!="Yes","H",IF($B112="","",IF(AND($C112&lt;=#REF!,$D112&gt;=#REF!),IF($G112="","x","y"),"")))</f>
        <v>#REF!</v>
      </c>
      <c r="AV112" s="270" t="e">
        <f>IF(#REF!="Yes","H",IF($B112="","",IF(AND($C112&lt;=#REF!,$D112&gt;=#REF!),IF($G112="","x","y"),"")))</f>
        <v>#REF!</v>
      </c>
      <c r="AW112" s="273" t="e">
        <f>IF(#REF!="Yes","H",IF($B112="","",IF(AND($C112&lt;=#REF!,$D112&gt;=#REF!),IF($G112="","x","y"),"")))</f>
        <v>#REF!</v>
      </c>
      <c r="AX112" s="274" t="e">
        <f>IF(#REF!="Yes","H",IF($B112="","",IF(AND($C112&lt;=#REF!,$D112&gt;=#REF!),IF($G112="","x","y"),"")))</f>
        <v>#REF!</v>
      </c>
      <c r="AY112" s="270" t="e">
        <f>IF(#REF!="Yes","H",IF($B112="","",IF(AND($C112&lt;=#REF!,$D112&gt;=#REF!),IF($G112="","x","y"),"")))</f>
        <v>#REF!</v>
      </c>
      <c r="AZ112" s="270" t="e">
        <f>IF(#REF!="Yes","H",IF($B112="","",IF(AND($C112&lt;=#REF!,$D112&gt;=#REF!),IF($G112="","x","y"),"")))</f>
        <v>#REF!</v>
      </c>
      <c r="BA112" s="270" t="e">
        <f>IF(#REF!="Yes","H",IF($B112="","",IF(AND($C112&lt;=#REF!,$D112&gt;=#REF!),IF($G112="","x","y"),"")))</f>
        <v>#REF!</v>
      </c>
      <c r="BB112" s="271" t="e">
        <f>IF(#REF!="Yes","H",IF($B112="","",IF(AND($C112&lt;=#REF!,$D112&gt;=#REF!),IF($G112="","x","y"),"")))</f>
        <v>#REF!</v>
      </c>
      <c r="BC112" s="272" t="e">
        <f>IF(#REF!="Yes","H",IF($B112="","",IF(AND($C112&lt;=#REF!,$D112&gt;=#REF!),IF($G112="","x","y"),"")))</f>
        <v>#REF!</v>
      </c>
      <c r="BD112" s="270" t="e">
        <f>IF(#REF!="Yes","H",IF($B112="","",IF(AND($C112&lt;=#REF!,$D112&gt;=#REF!),IF($G112="","x","y"),"")))</f>
        <v>#REF!</v>
      </c>
      <c r="BE112" s="270" t="e">
        <f>IF(#REF!="Yes","H",IF($B112="","",IF(AND($C112&lt;=#REF!,$D112&gt;=#REF!),IF($G112="","x","y"),"")))</f>
        <v>#REF!</v>
      </c>
      <c r="BF112" s="270" t="e">
        <f>IF(#REF!="Yes","H",IF($B112="","",IF(AND($C112&lt;=#REF!,$D112&gt;=#REF!),IF($G112="","x","y"),"")))</f>
        <v>#REF!</v>
      </c>
      <c r="BG112" s="273" t="e">
        <f>IF(#REF!="Yes","H",IF($B112="","",IF(AND($C112&lt;=#REF!,$D112&gt;=#REF!),IF($G112="","x","y"),"")))</f>
        <v>#REF!</v>
      </c>
      <c r="BH112" s="274" t="e">
        <f>IF(#REF!="Yes","H",IF($B112="","",IF(AND($C112&lt;=#REF!,$D112&gt;=#REF!),IF($G112="","x","y"),"")))</f>
        <v>#REF!</v>
      </c>
      <c r="BI112" s="270" t="e">
        <f>IF(#REF!="Yes","H",IF($B112="","",IF(AND($C112&lt;=#REF!,$D112&gt;=#REF!),IF($G112="","x","y"),"")))</f>
        <v>#REF!</v>
      </c>
      <c r="BJ112" s="270" t="e">
        <f>IF(#REF!="Yes","H",IF($B112="","",IF(AND($C112&lt;=#REF!,$D112&gt;=#REF!),IF($G112="","x","y"),"")))</f>
        <v>#REF!</v>
      </c>
      <c r="BK112" s="270" t="e">
        <f>IF(#REF!="Yes","H",IF($B112="","",IF(AND($C112&lt;=#REF!,$D112&gt;=#REF!),IF($G112="","x","y"),"")))</f>
        <v>#REF!</v>
      </c>
      <c r="BL112" s="271" t="e">
        <f>IF(#REF!="Yes","H",IF($B112="","",IF(AND($C112&lt;=#REF!,$D112&gt;=#REF!),IF($G112="","x","y"),"")))</f>
        <v>#REF!</v>
      </c>
      <c r="BM112" s="272" t="e">
        <f>IF(#REF!="Yes","H",IF($B112="","",IF(AND($C112&lt;=#REF!,$D112&gt;=#REF!),IF($G112="","x","y"),"")))</f>
        <v>#REF!</v>
      </c>
      <c r="BN112" s="270" t="e">
        <f>IF(#REF!="Yes","H",IF($B112="","",IF(AND($C112&lt;=#REF!,$D112&gt;=#REF!),IF($G112="","x","y"),"")))</f>
        <v>#REF!</v>
      </c>
      <c r="BO112" s="270" t="e">
        <f>IF(#REF!="Yes","H",IF($B112="","",IF(AND($C112&lt;=#REF!,$D112&gt;=#REF!),IF($G112="","x","y"),"")))</f>
        <v>#REF!</v>
      </c>
      <c r="BP112" s="270" t="e">
        <f>IF(#REF!="Yes","H",IF($B112="","",IF(AND($C112&lt;=#REF!,$D112&gt;=#REF!),IF($G112="","x","y"),"")))</f>
        <v>#REF!</v>
      </c>
      <c r="BQ112" s="273" t="e">
        <f>IF(#REF!="Yes","H",IF($B112="","",IF(AND($C112&lt;=#REF!,$D112&gt;=#REF!),IF($G112="","x","y"),"")))</f>
        <v>#REF!</v>
      </c>
      <c r="BR112" s="274" t="e">
        <f>IF(#REF!="Yes","H",IF($B112="","",IF(AND($C112&lt;=#REF!,$D112&gt;=#REF!),IF($G112="","x","y"),"")))</f>
        <v>#REF!</v>
      </c>
      <c r="BS112" s="270" t="e">
        <f>IF(#REF!="Yes","H",IF($B112="","",IF(AND($C112&lt;=#REF!,$D112&gt;=#REF!),IF($G112="","x","y"),"")))</f>
        <v>#REF!</v>
      </c>
      <c r="BT112" s="270" t="e">
        <f>IF(#REF!="Yes","H",IF($B112="","",IF(AND($C112&lt;=#REF!,$D112&gt;=#REF!),IF($G112="","x","y"),"")))</f>
        <v>#REF!</v>
      </c>
      <c r="BU112" s="270" t="e">
        <f>IF(#REF!="Yes","H",IF($B112="","",IF(AND($C112&lt;=#REF!,$D112&gt;=#REF!),IF($G112="","x","y"),"")))</f>
        <v>#REF!</v>
      </c>
      <c r="BV112" s="271" t="e">
        <f>IF(#REF!="Yes","H",IF($B112="","",IF(AND($C112&lt;=#REF!,$D112&gt;=#REF!),IF($G112="","x","y"),"")))</f>
        <v>#REF!</v>
      </c>
      <c r="BW112" s="272" t="e">
        <f>IF(#REF!="Yes","H",IF($B112="","",IF(AND($C112&lt;=#REF!,$D112&gt;=#REF!),IF($G112="","x","y"),"")))</f>
        <v>#REF!</v>
      </c>
      <c r="BX112" s="270" t="e">
        <f>IF(#REF!="Yes","H",IF($B112="","",IF(AND($C112&lt;=#REF!,$D112&gt;=#REF!),IF($G112="","x","y"),"")))</f>
        <v>#REF!</v>
      </c>
      <c r="BY112" s="270" t="e">
        <f>IF(#REF!="Yes","H",IF($B112="","",IF(AND($C112&lt;=#REF!,$D112&gt;=#REF!),IF($G112="","x","y"),"")))</f>
        <v>#REF!</v>
      </c>
      <c r="BZ112" s="270" t="e">
        <f>IF(#REF!="Yes","H",IF($B112="","",IF(AND($C112&lt;=#REF!,$D112&gt;=#REF!),IF($G112="","x","y"),"")))</f>
        <v>#REF!</v>
      </c>
      <c r="CA112" s="273" t="e">
        <f>IF(#REF!="Yes","H",IF($B112="","",IF(AND($C112&lt;=#REF!,$D112&gt;=#REF!),IF($G112="","x","y"),"")))</f>
        <v>#REF!</v>
      </c>
    </row>
    <row r="113" spans="2:79" ht="15" customHeight="1">
      <c r="B113" s="145"/>
      <c r="C113" s="283"/>
      <c r="D113" s="284"/>
      <c r="E113" s="285"/>
      <c r="F113" s="209"/>
      <c r="G113" s="275"/>
      <c r="H113" s="209"/>
      <c r="I113" s="211"/>
      <c r="J113" s="269" t="e">
        <f>IF(#REF!="Yes","H",IF($B113="","",IF(AND($C113&lt;=#REF!,$D113&gt;=#REF!),IF($G113="","x","y"),"")))</f>
        <v>#REF!</v>
      </c>
      <c r="K113" s="270" t="e">
        <f>IF(#REF!="Yes","H",IF($B113="","",IF(AND($C113&lt;=#REF!,$D113&gt;=#REF!),IF($G113="","x","y"),"")))</f>
        <v>#REF!</v>
      </c>
      <c r="L113" s="270" t="e">
        <f>IF(#REF!="Yes","H",IF($B113="","",IF(AND($C113&lt;=#REF!,$D113&gt;=#REF!),IF($G113="","x","y"),"")))</f>
        <v>#REF!</v>
      </c>
      <c r="M113" s="270" t="e">
        <f>IF(#REF!="Yes","H",IF($B113="","",IF(AND($C113&lt;=#REF!,$D113&gt;=#REF!),IF($G113="","x","y"),"")))</f>
        <v>#REF!</v>
      </c>
      <c r="N113" s="271" t="e">
        <f>IF(#REF!="Yes","H",IF($B113="","",IF(AND($C113&lt;=#REF!,$D113&gt;=#REF!),IF($G113="","x","y"),"")))</f>
        <v>#REF!</v>
      </c>
      <c r="O113" s="272" t="e">
        <f>IF(#REF!="Yes","H",IF($B113="","",IF(AND($C113&lt;=#REF!,$D113&gt;=#REF!),IF($G113="","x","y"),"")))</f>
        <v>#REF!</v>
      </c>
      <c r="P113" s="270" t="e">
        <f>IF(#REF!="Yes","H",IF($B113="","",IF(AND($C113&lt;=#REF!,$D113&gt;=#REF!),IF($G113="","x","y"),"")))</f>
        <v>#REF!</v>
      </c>
      <c r="Q113" s="270" t="e">
        <f>IF(#REF!="Yes","H",IF($B113="","",IF(AND($C113&lt;=#REF!,$D113&gt;=#REF!),IF($G113="","x","y"),"")))</f>
        <v>#REF!</v>
      </c>
      <c r="R113" s="270" t="e">
        <f>IF(#REF!="Yes","H",IF($B113="","",IF(AND($C113&lt;=#REF!,$D113&gt;=#REF!),IF($G113="","x","y"),"")))</f>
        <v>#REF!</v>
      </c>
      <c r="S113" s="273" t="e">
        <f>IF(#REF!="Yes","H",IF($B113="","",IF(AND($C113&lt;=#REF!,$D113&gt;=#REF!),IF($G113="","x","y"),"")))</f>
        <v>#REF!</v>
      </c>
      <c r="T113" s="274" t="e">
        <f>IF(#REF!="Yes","H",IF($B113="","",IF(AND($C113&lt;=#REF!,$D113&gt;=#REF!),IF($G113="","x","y"),"")))</f>
        <v>#REF!</v>
      </c>
      <c r="U113" s="270" t="e">
        <f>IF(#REF!="Yes","H",IF($B113="","",IF(AND($C113&lt;=#REF!,$D113&gt;=#REF!),IF($G113="","x","y"),"")))</f>
        <v>#REF!</v>
      </c>
      <c r="V113" s="270" t="e">
        <f>IF(#REF!="Yes","H",IF($B113="","",IF(AND($C113&lt;=#REF!,$D113&gt;=#REF!),IF($G113="","x","y"),"")))</f>
        <v>#REF!</v>
      </c>
      <c r="W113" s="270" t="e">
        <f>IF(#REF!="Yes","H",IF($B113="","",IF(AND($C113&lt;=#REF!,$D113&gt;=#REF!),IF($G113="","x","y"),"")))</f>
        <v>#REF!</v>
      </c>
      <c r="X113" s="271" t="e">
        <f>IF(#REF!="Yes","H",IF($B113="","",IF(AND($C113&lt;=#REF!,$D113&gt;=#REF!),IF($G113="","x","y"),"")))</f>
        <v>#REF!</v>
      </c>
      <c r="Y113" s="272" t="e">
        <f>IF(#REF!="Yes","H",IF($B113="","",IF(AND($C113&lt;=#REF!,$D113&gt;=#REF!),IF($G113="","x","y"),"")))</f>
        <v>#REF!</v>
      </c>
      <c r="Z113" s="270" t="e">
        <f>IF(#REF!="Yes","H",IF($B113="","",IF(AND($C113&lt;=#REF!,$D113&gt;=#REF!),IF($G113="","x","y"),"")))</f>
        <v>#REF!</v>
      </c>
      <c r="AA113" s="270" t="e">
        <f>IF(#REF!="Yes","H",IF($B113="","",IF(AND($C113&lt;=#REF!,$D113&gt;=#REF!),IF($G113="","x","y"),"")))</f>
        <v>#REF!</v>
      </c>
      <c r="AB113" s="270" t="e">
        <f>IF(#REF!="Yes","H",IF($B113="","",IF(AND($C113&lt;=#REF!,$D113&gt;=#REF!),IF($G113="","x","y"),"")))</f>
        <v>#REF!</v>
      </c>
      <c r="AC113" s="273" t="e">
        <f>IF(#REF!="Yes","H",IF($B113="","",IF(AND($C113&lt;=#REF!,$D113&gt;=#REF!),IF($G113="","x","y"),"")))</f>
        <v>#REF!</v>
      </c>
      <c r="AD113" s="274" t="e">
        <f>IF(#REF!="Yes","H",IF($B113="","",IF(AND($C113&lt;=#REF!,$D113&gt;=#REF!),IF($G113="","x","y"),"")))</f>
        <v>#REF!</v>
      </c>
      <c r="AE113" s="270" t="e">
        <f>IF(#REF!="Yes","H",IF($B113="","",IF(AND($C113&lt;=#REF!,$D113&gt;=#REF!),IF($G113="","x","y"),"")))</f>
        <v>#REF!</v>
      </c>
      <c r="AF113" s="270" t="e">
        <f>IF(#REF!="Yes","H",IF($B113="","",IF(AND($C113&lt;=#REF!,$D113&gt;=#REF!),IF($G113="","x","y"),"")))</f>
        <v>#REF!</v>
      </c>
      <c r="AG113" s="270" t="e">
        <f>IF(#REF!="Yes","H",IF($B113="","",IF(AND($C113&lt;=#REF!,$D113&gt;=#REF!),IF($G113="","x","y"),"")))</f>
        <v>#REF!</v>
      </c>
      <c r="AH113" s="271" t="e">
        <f>IF(#REF!="Yes","H",IF($B113="","",IF(AND($C113&lt;=#REF!,$D113&gt;=#REF!),IF($G113="","x","y"),"")))</f>
        <v>#REF!</v>
      </c>
      <c r="AI113" s="272" t="e">
        <f>IF(#REF!="Yes","H",IF($B113="","",IF(AND($C113&lt;=#REF!,$D113&gt;=#REF!),IF($G113="","x","y"),"")))</f>
        <v>#REF!</v>
      </c>
      <c r="AJ113" s="270" t="e">
        <f>IF(#REF!="Yes","H",IF($B113="","",IF(AND($C113&lt;=#REF!,$D113&gt;=#REF!),IF($G113="","x","y"),"")))</f>
        <v>#REF!</v>
      </c>
      <c r="AK113" s="270" t="e">
        <f>IF(#REF!="Yes","H",IF($B113="","",IF(AND($C113&lt;=#REF!,$D113&gt;=#REF!),IF($G113="","x","y"),"")))</f>
        <v>#REF!</v>
      </c>
      <c r="AL113" s="270" t="e">
        <f>IF(#REF!="Yes","H",IF($B113="","",IF(AND($C113&lt;=#REF!,$D113&gt;=#REF!),IF($G113="","x","y"),"")))</f>
        <v>#REF!</v>
      </c>
      <c r="AM113" s="273" t="e">
        <f>IF(#REF!="Yes","H",IF($B113="","",IF(AND($C113&lt;=#REF!,$D113&gt;=#REF!),IF($G113="","x","y"),"")))</f>
        <v>#REF!</v>
      </c>
      <c r="AN113" s="274" t="e">
        <f>IF(#REF!="Yes","H",IF($B113="","",IF(AND($C113&lt;=#REF!,$D113&gt;=#REF!),IF($G113="","x","y"),"")))</f>
        <v>#REF!</v>
      </c>
      <c r="AO113" s="270" t="e">
        <f>IF(#REF!="Yes","H",IF($B113="","",IF(AND($C113&lt;=#REF!,$D113&gt;=#REF!),IF($G113="","x","y"),"")))</f>
        <v>#REF!</v>
      </c>
      <c r="AP113" s="270" t="e">
        <f>IF(#REF!="Yes","H",IF($B113="","",IF(AND($C113&lt;=#REF!,$D113&gt;=#REF!),IF($G113="","x","y"),"")))</f>
        <v>#REF!</v>
      </c>
      <c r="AQ113" s="270" t="e">
        <f>IF(#REF!="Yes","H",IF($B113="","",IF(AND($C113&lt;=#REF!,$D113&gt;=#REF!),IF($G113="","x","y"),"")))</f>
        <v>#REF!</v>
      </c>
      <c r="AR113" s="271" t="e">
        <f>IF(#REF!="Yes","H",IF($B113="","",IF(AND($C113&lt;=#REF!,$D113&gt;=#REF!),IF($G113="","x","y"),"")))</f>
        <v>#REF!</v>
      </c>
      <c r="AS113" s="272" t="e">
        <f>IF(#REF!="Yes","H",IF($B113="","",IF(AND($C113&lt;=#REF!,$D113&gt;=#REF!),IF($G113="","x","y"),"")))</f>
        <v>#REF!</v>
      </c>
      <c r="AT113" s="270" t="e">
        <f>IF(#REF!="Yes","H",IF($B113="","",IF(AND($C113&lt;=#REF!,$D113&gt;=#REF!),IF($G113="","x","y"),"")))</f>
        <v>#REF!</v>
      </c>
      <c r="AU113" s="270" t="e">
        <f>IF(#REF!="Yes","H",IF($B113="","",IF(AND($C113&lt;=#REF!,$D113&gt;=#REF!),IF($G113="","x","y"),"")))</f>
        <v>#REF!</v>
      </c>
      <c r="AV113" s="270" t="e">
        <f>IF(#REF!="Yes","H",IF($B113="","",IF(AND($C113&lt;=#REF!,$D113&gt;=#REF!),IF($G113="","x","y"),"")))</f>
        <v>#REF!</v>
      </c>
      <c r="AW113" s="273" t="e">
        <f>IF(#REF!="Yes","H",IF($B113="","",IF(AND($C113&lt;=#REF!,$D113&gt;=#REF!),IF($G113="","x","y"),"")))</f>
        <v>#REF!</v>
      </c>
      <c r="AX113" s="274" t="e">
        <f>IF(#REF!="Yes","H",IF($B113="","",IF(AND($C113&lt;=#REF!,$D113&gt;=#REF!),IF($G113="","x","y"),"")))</f>
        <v>#REF!</v>
      </c>
      <c r="AY113" s="270" t="e">
        <f>IF(#REF!="Yes","H",IF($B113="","",IF(AND($C113&lt;=#REF!,$D113&gt;=#REF!),IF($G113="","x","y"),"")))</f>
        <v>#REF!</v>
      </c>
      <c r="AZ113" s="270" t="e">
        <f>IF(#REF!="Yes","H",IF($B113="","",IF(AND($C113&lt;=#REF!,$D113&gt;=#REF!),IF($G113="","x","y"),"")))</f>
        <v>#REF!</v>
      </c>
      <c r="BA113" s="270" t="e">
        <f>IF(#REF!="Yes","H",IF($B113="","",IF(AND($C113&lt;=#REF!,$D113&gt;=#REF!),IF($G113="","x","y"),"")))</f>
        <v>#REF!</v>
      </c>
      <c r="BB113" s="271" t="e">
        <f>IF(#REF!="Yes","H",IF($B113="","",IF(AND($C113&lt;=#REF!,$D113&gt;=#REF!),IF($G113="","x","y"),"")))</f>
        <v>#REF!</v>
      </c>
      <c r="BC113" s="272" t="e">
        <f>IF(#REF!="Yes","H",IF($B113="","",IF(AND($C113&lt;=#REF!,$D113&gt;=#REF!),IF($G113="","x","y"),"")))</f>
        <v>#REF!</v>
      </c>
      <c r="BD113" s="270" t="e">
        <f>IF(#REF!="Yes","H",IF($B113="","",IF(AND($C113&lt;=#REF!,$D113&gt;=#REF!),IF($G113="","x","y"),"")))</f>
        <v>#REF!</v>
      </c>
      <c r="BE113" s="270" t="e">
        <f>IF(#REF!="Yes","H",IF($B113="","",IF(AND($C113&lt;=#REF!,$D113&gt;=#REF!),IF($G113="","x","y"),"")))</f>
        <v>#REF!</v>
      </c>
      <c r="BF113" s="270" t="e">
        <f>IF(#REF!="Yes","H",IF($B113="","",IF(AND($C113&lt;=#REF!,$D113&gt;=#REF!),IF($G113="","x","y"),"")))</f>
        <v>#REF!</v>
      </c>
      <c r="BG113" s="273" t="e">
        <f>IF(#REF!="Yes","H",IF($B113="","",IF(AND($C113&lt;=#REF!,$D113&gt;=#REF!),IF($G113="","x","y"),"")))</f>
        <v>#REF!</v>
      </c>
      <c r="BH113" s="274" t="e">
        <f>IF(#REF!="Yes","H",IF($B113="","",IF(AND($C113&lt;=#REF!,$D113&gt;=#REF!),IF($G113="","x","y"),"")))</f>
        <v>#REF!</v>
      </c>
      <c r="BI113" s="270" t="e">
        <f>IF(#REF!="Yes","H",IF($B113="","",IF(AND($C113&lt;=#REF!,$D113&gt;=#REF!),IF($G113="","x","y"),"")))</f>
        <v>#REF!</v>
      </c>
      <c r="BJ113" s="270" t="e">
        <f>IF(#REF!="Yes","H",IF($B113="","",IF(AND($C113&lt;=#REF!,$D113&gt;=#REF!),IF($G113="","x","y"),"")))</f>
        <v>#REF!</v>
      </c>
      <c r="BK113" s="270" t="e">
        <f>IF(#REF!="Yes","H",IF($B113="","",IF(AND($C113&lt;=#REF!,$D113&gt;=#REF!),IF($G113="","x","y"),"")))</f>
        <v>#REF!</v>
      </c>
      <c r="BL113" s="271" t="e">
        <f>IF(#REF!="Yes","H",IF($B113="","",IF(AND($C113&lt;=#REF!,$D113&gt;=#REF!),IF($G113="","x","y"),"")))</f>
        <v>#REF!</v>
      </c>
      <c r="BM113" s="272" t="e">
        <f>IF(#REF!="Yes","H",IF($B113="","",IF(AND($C113&lt;=#REF!,$D113&gt;=#REF!),IF($G113="","x","y"),"")))</f>
        <v>#REF!</v>
      </c>
      <c r="BN113" s="270" t="e">
        <f>IF(#REF!="Yes","H",IF($B113="","",IF(AND($C113&lt;=#REF!,$D113&gt;=#REF!),IF($G113="","x","y"),"")))</f>
        <v>#REF!</v>
      </c>
      <c r="BO113" s="270" t="e">
        <f>IF(#REF!="Yes","H",IF($B113="","",IF(AND($C113&lt;=#REF!,$D113&gt;=#REF!),IF($G113="","x","y"),"")))</f>
        <v>#REF!</v>
      </c>
      <c r="BP113" s="270" t="e">
        <f>IF(#REF!="Yes","H",IF($B113="","",IF(AND($C113&lt;=#REF!,$D113&gt;=#REF!),IF($G113="","x","y"),"")))</f>
        <v>#REF!</v>
      </c>
      <c r="BQ113" s="273" t="e">
        <f>IF(#REF!="Yes","H",IF($B113="","",IF(AND($C113&lt;=#REF!,$D113&gt;=#REF!),IF($G113="","x","y"),"")))</f>
        <v>#REF!</v>
      </c>
      <c r="BR113" s="274" t="e">
        <f>IF(#REF!="Yes","H",IF($B113="","",IF(AND($C113&lt;=#REF!,$D113&gt;=#REF!),IF($G113="","x","y"),"")))</f>
        <v>#REF!</v>
      </c>
      <c r="BS113" s="270" t="e">
        <f>IF(#REF!="Yes","H",IF($B113="","",IF(AND($C113&lt;=#REF!,$D113&gt;=#REF!),IF($G113="","x","y"),"")))</f>
        <v>#REF!</v>
      </c>
      <c r="BT113" s="270" t="e">
        <f>IF(#REF!="Yes","H",IF($B113="","",IF(AND($C113&lt;=#REF!,$D113&gt;=#REF!),IF($G113="","x","y"),"")))</f>
        <v>#REF!</v>
      </c>
      <c r="BU113" s="270" t="e">
        <f>IF(#REF!="Yes","H",IF($B113="","",IF(AND($C113&lt;=#REF!,$D113&gt;=#REF!),IF($G113="","x","y"),"")))</f>
        <v>#REF!</v>
      </c>
      <c r="BV113" s="271" t="e">
        <f>IF(#REF!="Yes","H",IF($B113="","",IF(AND($C113&lt;=#REF!,$D113&gt;=#REF!),IF($G113="","x","y"),"")))</f>
        <v>#REF!</v>
      </c>
      <c r="BW113" s="272" t="e">
        <f>IF(#REF!="Yes","H",IF($B113="","",IF(AND($C113&lt;=#REF!,$D113&gt;=#REF!),IF($G113="","x","y"),"")))</f>
        <v>#REF!</v>
      </c>
      <c r="BX113" s="270" t="e">
        <f>IF(#REF!="Yes","H",IF($B113="","",IF(AND($C113&lt;=#REF!,$D113&gt;=#REF!),IF($G113="","x","y"),"")))</f>
        <v>#REF!</v>
      </c>
      <c r="BY113" s="270" t="e">
        <f>IF(#REF!="Yes","H",IF($B113="","",IF(AND($C113&lt;=#REF!,$D113&gt;=#REF!),IF($G113="","x","y"),"")))</f>
        <v>#REF!</v>
      </c>
      <c r="BZ113" s="270" t="e">
        <f>IF(#REF!="Yes","H",IF($B113="","",IF(AND($C113&lt;=#REF!,$D113&gt;=#REF!),IF($G113="","x","y"),"")))</f>
        <v>#REF!</v>
      </c>
      <c r="CA113" s="273" t="e">
        <f>IF(#REF!="Yes","H",IF($B113="","",IF(AND($C113&lt;=#REF!,$D113&gt;=#REF!),IF($G113="","x","y"),"")))</f>
        <v>#REF!</v>
      </c>
    </row>
    <row r="114" spans="2:79" ht="15" customHeight="1">
      <c r="B114" s="145"/>
      <c r="C114" s="283"/>
      <c r="D114" s="284"/>
      <c r="E114" s="285"/>
      <c r="F114" s="209"/>
      <c r="G114" s="275"/>
      <c r="H114" s="209"/>
      <c r="I114" s="211"/>
      <c r="J114" s="269" t="e">
        <f>IF(#REF!="Yes","H",IF($B114="","",IF(AND($C114&lt;=#REF!,$D114&gt;=#REF!),IF($G114="","x","y"),"")))</f>
        <v>#REF!</v>
      </c>
      <c r="K114" s="270" t="e">
        <f>IF(#REF!="Yes","H",IF($B114="","",IF(AND($C114&lt;=#REF!,$D114&gt;=#REF!),IF($G114="","x","y"),"")))</f>
        <v>#REF!</v>
      </c>
      <c r="L114" s="270" t="e">
        <f>IF(#REF!="Yes","H",IF($B114="","",IF(AND($C114&lt;=#REF!,$D114&gt;=#REF!),IF($G114="","x","y"),"")))</f>
        <v>#REF!</v>
      </c>
      <c r="M114" s="270" t="e">
        <f>IF(#REF!="Yes","H",IF($B114="","",IF(AND($C114&lt;=#REF!,$D114&gt;=#REF!),IF($G114="","x","y"),"")))</f>
        <v>#REF!</v>
      </c>
      <c r="N114" s="271" t="e">
        <f>IF(#REF!="Yes","H",IF($B114="","",IF(AND($C114&lt;=#REF!,$D114&gt;=#REF!),IF($G114="","x","y"),"")))</f>
        <v>#REF!</v>
      </c>
      <c r="O114" s="272" t="e">
        <f>IF(#REF!="Yes","H",IF($B114="","",IF(AND($C114&lt;=#REF!,$D114&gt;=#REF!),IF($G114="","x","y"),"")))</f>
        <v>#REF!</v>
      </c>
      <c r="P114" s="270" t="e">
        <f>IF(#REF!="Yes","H",IF($B114="","",IF(AND($C114&lt;=#REF!,$D114&gt;=#REF!),IF($G114="","x","y"),"")))</f>
        <v>#REF!</v>
      </c>
      <c r="Q114" s="270" t="e">
        <f>IF(#REF!="Yes","H",IF($B114="","",IF(AND($C114&lt;=#REF!,$D114&gt;=#REF!),IF($G114="","x","y"),"")))</f>
        <v>#REF!</v>
      </c>
      <c r="R114" s="270" t="e">
        <f>IF(#REF!="Yes","H",IF($B114="","",IF(AND($C114&lt;=#REF!,$D114&gt;=#REF!),IF($G114="","x","y"),"")))</f>
        <v>#REF!</v>
      </c>
      <c r="S114" s="273" t="e">
        <f>IF(#REF!="Yes","H",IF($B114="","",IF(AND($C114&lt;=#REF!,$D114&gt;=#REF!),IF($G114="","x","y"),"")))</f>
        <v>#REF!</v>
      </c>
      <c r="T114" s="274" t="e">
        <f>IF(#REF!="Yes","H",IF($B114="","",IF(AND($C114&lt;=#REF!,$D114&gt;=#REF!),IF($G114="","x","y"),"")))</f>
        <v>#REF!</v>
      </c>
      <c r="U114" s="270" t="e">
        <f>IF(#REF!="Yes","H",IF($B114="","",IF(AND($C114&lt;=#REF!,$D114&gt;=#REF!),IF($G114="","x","y"),"")))</f>
        <v>#REF!</v>
      </c>
      <c r="V114" s="270" t="e">
        <f>IF(#REF!="Yes","H",IF($B114="","",IF(AND($C114&lt;=#REF!,$D114&gt;=#REF!),IF($G114="","x","y"),"")))</f>
        <v>#REF!</v>
      </c>
      <c r="W114" s="270" t="e">
        <f>IF(#REF!="Yes","H",IF($B114="","",IF(AND($C114&lt;=#REF!,$D114&gt;=#REF!),IF($G114="","x","y"),"")))</f>
        <v>#REF!</v>
      </c>
      <c r="X114" s="271" t="e">
        <f>IF(#REF!="Yes","H",IF($B114="","",IF(AND($C114&lt;=#REF!,$D114&gt;=#REF!),IF($G114="","x","y"),"")))</f>
        <v>#REF!</v>
      </c>
      <c r="Y114" s="272" t="e">
        <f>IF(#REF!="Yes","H",IF($B114="","",IF(AND($C114&lt;=#REF!,$D114&gt;=#REF!),IF($G114="","x","y"),"")))</f>
        <v>#REF!</v>
      </c>
      <c r="Z114" s="270" t="e">
        <f>IF(#REF!="Yes","H",IF($B114="","",IF(AND($C114&lt;=#REF!,$D114&gt;=#REF!),IF($G114="","x","y"),"")))</f>
        <v>#REF!</v>
      </c>
      <c r="AA114" s="270" t="e">
        <f>IF(#REF!="Yes","H",IF($B114="","",IF(AND($C114&lt;=#REF!,$D114&gt;=#REF!),IF($G114="","x","y"),"")))</f>
        <v>#REF!</v>
      </c>
      <c r="AB114" s="270" t="e">
        <f>IF(#REF!="Yes","H",IF($B114="","",IF(AND($C114&lt;=#REF!,$D114&gt;=#REF!),IF($G114="","x","y"),"")))</f>
        <v>#REF!</v>
      </c>
      <c r="AC114" s="273" t="e">
        <f>IF(#REF!="Yes","H",IF($B114="","",IF(AND($C114&lt;=#REF!,$D114&gt;=#REF!),IF($G114="","x","y"),"")))</f>
        <v>#REF!</v>
      </c>
      <c r="AD114" s="274" t="e">
        <f>IF(#REF!="Yes","H",IF($B114="","",IF(AND($C114&lt;=#REF!,$D114&gt;=#REF!),IF($G114="","x","y"),"")))</f>
        <v>#REF!</v>
      </c>
      <c r="AE114" s="270" t="e">
        <f>IF(#REF!="Yes","H",IF($B114="","",IF(AND($C114&lt;=#REF!,$D114&gt;=#REF!),IF($G114="","x","y"),"")))</f>
        <v>#REF!</v>
      </c>
      <c r="AF114" s="270" t="e">
        <f>IF(#REF!="Yes","H",IF($B114="","",IF(AND($C114&lt;=#REF!,$D114&gt;=#REF!),IF($G114="","x","y"),"")))</f>
        <v>#REF!</v>
      </c>
      <c r="AG114" s="270" t="e">
        <f>IF(#REF!="Yes","H",IF($B114="","",IF(AND($C114&lt;=#REF!,$D114&gt;=#REF!),IF($G114="","x","y"),"")))</f>
        <v>#REF!</v>
      </c>
      <c r="AH114" s="271" t="e">
        <f>IF(#REF!="Yes","H",IF($B114="","",IF(AND($C114&lt;=#REF!,$D114&gt;=#REF!),IF($G114="","x","y"),"")))</f>
        <v>#REF!</v>
      </c>
      <c r="AI114" s="272" t="e">
        <f>IF(#REF!="Yes","H",IF($B114="","",IF(AND($C114&lt;=#REF!,$D114&gt;=#REF!),IF($G114="","x","y"),"")))</f>
        <v>#REF!</v>
      </c>
      <c r="AJ114" s="270" t="e">
        <f>IF(#REF!="Yes","H",IF($B114="","",IF(AND($C114&lt;=#REF!,$D114&gt;=#REF!),IF($G114="","x","y"),"")))</f>
        <v>#REF!</v>
      </c>
      <c r="AK114" s="270" t="e">
        <f>IF(#REF!="Yes","H",IF($B114="","",IF(AND($C114&lt;=#REF!,$D114&gt;=#REF!),IF($G114="","x","y"),"")))</f>
        <v>#REF!</v>
      </c>
      <c r="AL114" s="270" t="e">
        <f>IF(#REF!="Yes","H",IF($B114="","",IF(AND($C114&lt;=#REF!,$D114&gt;=#REF!),IF($G114="","x","y"),"")))</f>
        <v>#REF!</v>
      </c>
      <c r="AM114" s="273" t="e">
        <f>IF(#REF!="Yes","H",IF($B114="","",IF(AND($C114&lt;=#REF!,$D114&gt;=#REF!),IF($G114="","x","y"),"")))</f>
        <v>#REF!</v>
      </c>
      <c r="AN114" s="274" t="e">
        <f>IF(#REF!="Yes","H",IF($B114="","",IF(AND($C114&lt;=#REF!,$D114&gt;=#REF!),IF($G114="","x","y"),"")))</f>
        <v>#REF!</v>
      </c>
      <c r="AO114" s="270" t="e">
        <f>IF(#REF!="Yes","H",IF($B114="","",IF(AND($C114&lt;=#REF!,$D114&gt;=#REF!),IF($G114="","x","y"),"")))</f>
        <v>#REF!</v>
      </c>
      <c r="AP114" s="270" t="e">
        <f>IF(#REF!="Yes","H",IF($B114="","",IF(AND($C114&lt;=#REF!,$D114&gt;=#REF!),IF($G114="","x","y"),"")))</f>
        <v>#REF!</v>
      </c>
      <c r="AQ114" s="270" t="e">
        <f>IF(#REF!="Yes","H",IF($B114="","",IF(AND($C114&lt;=#REF!,$D114&gt;=#REF!),IF($G114="","x","y"),"")))</f>
        <v>#REF!</v>
      </c>
      <c r="AR114" s="271" t="e">
        <f>IF(#REF!="Yes","H",IF($B114="","",IF(AND($C114&lt;=#REF!,$D114&gt;=#REF!),IF($G114="","x","y"),"")))</f>
        <v>#REF!</v>
      </c>
      <c r="AS114" s="272" t="e">
        <f>IF(#REF!="Yes","H",IF($B114="","",IF(AND($C114&lt;=#REF!,$D114&gt;=#REF!),IF($G114="","x","y"),"")))</f>
        <v>#REF!</v>
      </c>
      <c r="AT114" s="270" t="e">
        <f>IF(#REF!="Yes","H",IF($B114="","",IF(AND($C114&lt;=#REF!,$D114&gt;=#REF!),IF($G114="","x","y"),"")))</f>
        <v>#REF!</v>
      </c>
      <c r="AU114" s="270" t="e">
        <f>IF(#REF!="Yes","H",IF($B114="","",IF(AND($C114&lt;=#REF!,$D114&gt;=#REF!),IF($G114="","x","y"),"")))</f>
        <v>#REF!</v>
      </c>
      <c r="AV114" s="270" t="e">
        <f>IF(#REF!="Yes","H",IF($B114="","",IF(AND($C114&lt;=#REF!,$D114&gt;=#REF!),IF($G114="","x","y"),"")))</f>
        <v>#REF!</v>
      </c>
      <c r="AW114" s="273" t="e">
        <f>IF(#REF!="Yes","H",IF($B114="","",IF(AND($C114&lt;=#REF!,$D114&gt;=#REF!),IF($G114="","x","y"),"")))</f>
        <v>#REF!</v>
      </c>
      <c r="AX114" s="274" t="e">
        <f>IF(#REF!="Yes","H",IF($B114="","",IF(AND($C114&lt;=#REF!,$D114&gt;=#REF!),IF($G114="","x","y"),"")))</f>
        <v>#REF!</v>
      </c>
      <c r="AY114" s="270" t="e">
        <f>IF(#REF!="Yes","H",IF($B114="","",IF(AND($C114&lt;=#REF!,$D114&gt;=#REF!),IF($G114="","x","y"),"")))</f>
        <v>#REF!</v>
      </c>
      <c r="AZ114" s="270" t="e">
        <f>IF(#REF!="Yes","H",IF($B114="","",IF(AND($C114&lt;=#REF!,$D114&gt;=#REF!),IF($G114="","x","y"),"")))</f>
        <v>#REF!</v>
      </c>
      <c r="BA114" s="270" t="e">
        <f>IF(#REF!="Yes","H",IF($B114="","",IF(AND($C114&lt;=#REF!,$D114&gt;=#REF!),IF($G114="","x","y"),"")))</f>
        <v>#REF!</v>
      </c>
      <c r="BB114" s="271" t="e">
        <f>IF(#REF!="Yes","H",IF($B114="","",IF(AND($C114&lt;=#REF!,$D114&gt;=#REF!),IF($G114="","x","y"),"")))</f>
        <v>#REF!</v>
      </c>
      <c r="BC114" s="272" t="e">
        <f>IF(#REF!="Yes","H",IF($B114="","",IF(AND($C114&lt;=#REF!,$D114&gt;=#REF!),IF($G114="","x","y"),"")))</f>
        <v>#REF!</v>
      </c>
      <c r="BD114" s="270" t="e">
        <f>IF(#REF!="Yes","H",IF($B114="","",IF(AND($C114&lt;=#REF!,$D114&gt;=#REF!),IF($G114="","x","y"),"")))</f>
        <v>#REF!</v>
      </c>
      <c r="BE114" s="270" t="e">
        <f>IF(#REF!="Yes","H",IF($B114="","",IF(AND($C114&lt;=#REF!,$D114&gt;=#REF!),IF($G114="","x","y"),"")))</f>
        <v>#REF!</v>
      </c>
      <c r="BF114" s="270" t="e">
        <f>IF(#REF!="Yes","H",IF($B114="","",IF(AND($C114&lt;=#REF!,$D114&gt;=#REF!),IF($G114="","x","y"),"")))</f>
        <v>#REF!</v>
      </c>
      <c r="BG114" s="273" t="e">
        <f>IF(#REF!="Yes","H",IF($B114="","",IF(AND($C114&lt;=#REF!,$D114&gt;=#REF!),IF($G114="","x","y"),"")))</f>
        <v>#REF!</v>
      </c>
      <c r="BH114" s="274" t="e">
        <f>IF(#REF!="Yes","H",IF($B114="","",IF(AND($C114&lt;=#REF!,$D114&gt;=#REF!),IF($G114="","x","y"),"")))</f>
        <v>#REF!</v>
      </c>
      <c r="BI114" s="270" t="e">
        <f>IF(#REF!="Yes","H",IF($B114="","",IF(AND($C114&lt;=#REF!,$D114&gt;=#REF!),IF($G114="","x","y"),"")))</f>
        <v>#REF!</v>
      </c>
      <c r="BJ114" s="270" t="e">
        <f>IF(#REF!="Yes","H",IF($B114="","",IF(AND($C114&lt;=#REF!,$D114&gt;=#REF!),IF($G114="","x","y"),"")))</f>
        <v>#REF!</v>
      </c>
      <c r="BK114" s="270" t="e">
        <f>IF(#REF!="Yes","H",IF($B114="","",IF(AND($C114&lt;=#REF!,$D114&gt;=#REF!),IF($G114="","x","y"),"")))</f>
        <v>#REF!</v>
      </c>
      <c r="BL114" s="271" t="e">
        <f>IF(#REF!="Yes","H",IF($B114="","",IF(AND($C114&lt;=#REF!,$D114&gt;=#REF!),IF($G114="","x","y"),"")))</f>
        <v>#REF!</v>
      </c>
      <c r="BM114" s="272" t="e">
        <f>IF(#REF!="Yes","H",IF($B114="","",IF(AND($C114&lt;=#REF!,$D114&gt;=#REF!),IF($G114="","x","y"),"")))</f>
        <v>#REF!</v>
      </c>
      <c r="BN114" s="270" t="e">
        <f>IF(#REF!="Yes","H",IF($B114="","",IF(AND($C114&lt;=#REF!,$D114&gt;=#REF!),IF($G114="","x","y"),"")))</f>
        <v>#REF!</v>
      </c>
      <c r="BO114" s="270" t="e">
        <f>IF(#REF!="Yes","H",IF($B114="","",IF(AND($C114&lt;=#REF!,$D114&gt;=#REF!),IF($G114="","x","y"),"")))</f>
        <v>#REF!</v>
      </c>
      <c r="BP114" s="270" t="e">
        <f>IF(#REF!="Yes","H",IF($B114="","",IF(AND($C114&lt;=#REF!,$D114&gt;=#REF!),IF($G114="","x","y"),"")))</f>
        <v>#REF!</v>
      </c>
      <c r="BQ114" s="273" t="e">
        <f>IF(#REF!="Yes","H",IF($B114="","",IF(AND($C114&lt;=#REF!,$D114&gt;=#REF!),IF($G114="","x","y"),"")))</f>
        <v>#REF!</v>
      </c>
      <c r="BR114" s="274" t="e">
        <f>IF(#REF!="Yes","H",IF($B114="","",IF(AND($C114&lt;=#REF!,$D114&gt;=#REF!),IF($G114="","x","y"),"")))</f>
        <v>#REF!</v>
      </c>
      <c r="BS114" s="270" t="e">
        <f>IF(#REF!="Yes","H",IF($B114="","",IF(AND($C114&lt;=#REF!,$D114&gt;=#REF!),IF($G114="","x","y"),"")))</f>
        <v>#REF!</v>
      </c>
      <c r="BT114" s="270" t="e">
        <f>IF(#REF!="Yes","H",IF($B114="","",IF(AND($C114&lt;=#REF!,$D114&gt;=#REF!),IF($G114="","x","y"),"")))</f>
        <v>#REF!</v>
      </c>
      <c r="BU114" s="270" t="e">
        <f>IF(#REF!="Yes","H",IF($B114="","",IF(AND($C114&lt;=#REF!,$D114&gt;=#REF!),IF($G114="","x","y"),"")))</f>
        <v>#REF!</v>
      </c>
      <c r="BV114" s="271" t="e">
        <f>IF(#REF!="Yes","H",IF($B114="","",IF(AND($C114&lt;=#REF!,$D114&gt;=#REF!),IF($G114="","x","y"),"")))</f>
        <v>#REF!</v>
      </c>
      <c r="BW114" s="272" t="e">
        <f>IF(#REF!="Yes","H",IF($B114="","",IF(AND($C114&lt;=#REF!,$D114&gt;=#REF!),IF($G114="","x","y"),"")))</f>
        <v>#REF!</v>
      </c>
      <c r="BX114" s="270" t="e">
        <f>IF(#REF!="Yes","H",IF($B114="","",IF(AND($C114&lt;=#REF!,$D114&gt;=#REF!),IF($G114="","x","y"),"")))</f>
        <v>#REF!</v>
      </c>
      <c r="BY114" s="270" t="e">
        <f>IF(#REF!="Yes","H",IF($B114="","",IF(AND($C114&lt;=#REF!,$D114&gt;=#REF!),IF($G114="","x","y"),"")))</f>
        <v>#REF!</v>
      </c>
      <c r="BZ114" s="270" t="e">
        <f>IF(#REF!="Yes","H",IF($B114="","",IF(AND($C114&lt;=#REF!,$D114&gt;=#REF!),IF($G114="","x","y"),"")))</f>
        <v>#REF!</v>
      </c>
      <c r="CA114" s="273" t="e">
        <f>IF(#REF!="Yes","H",IF($B114="","",IF(AND($C114&lt;=#REF!,$D114&gt;=#REF!),IF($G114="","x","y"),"")))</f>
        <v>#REF!</v>
      </c>
    </row>
    <row r="115" spans="2:79" ht="15" customHeight="1">
      <c r="B115" s="145"/>
      <c r="C115" s="283"/>
      <c r="D115" s="284"/>
      <c r="E115" s="285"/>
      <c r="F115" s="209"/>
      <c r="G115" s="275"/>
      <c r="H115" s="209"/>
      <c r="I115" s="211"/>
      <c r="J115" s="269" t="e">
        <f>IF(#REF!="Yes","H",IF($B115="","",IF(AND($C115&lt;=#REF!,$D115&gt;=#REF!),IF($G115="","x","y"),"")))</f>
        <v>#REF!</v>
      </c>
      <c r="K115" s="270" t="e">
        <f>IF(#REF!="Yes","H",IF($B115="","",IF(AND($C115&lt;=#REF!,$D115&gt;=#REF!),IF($G115="","x","y"),"")))</f>
        <v>#REF!</v>
      </c>
      <c r="L115" s="270" t="e">
        <f>IF(#REF!="Yes","H",IF($B115="","",IF(AND($C115&lt;=#REF!,$D115&gt;=#REF!),IF($G115="","x","y"),"")))</f>
        <v>#REF!</v>
      </c>
      <c r="M115" s="270" t="e">
        <f>IF(#REF!="Yes","H",IF($B115="","",IF(AND($C115&lt;=#REF!,$D115&gt;=#REF!),IF($G115="","x","y"),"")))</f>
        <v>#REF!</v>
      </c>
      <c r="N115" s="271" t="e">
        <f>IF(#REF!="Yes","H",IF($B115="","",IF(AND($C115&lt;=#REF!,$D115&gt;=#REF!),IF($G115="","x","y"),"")))</f>
        <v>#REF!</v>
      </c>
      <c r="O115" s="272" t="e">
        <f>IF(#REF!="Yes","H",IF($B115="","",IF(AND($C115&lt;=#REF!,$D115&gt;=#REF!),IF($G115="","x","y"),"")))</f>
        <v>#REF!</v>
      </c>
      <c r="P115" s="270" t="e">
        <f>IF(#REF!="Yes","H",IF($B115="","",IF(AND($C115&lt;=#REF!,$D115&gt;=#REF!),IF($G115="","x","y"),"")))</f>
        <v>#REF!</v>
      </c>
      <c r="Q115" s="270" t="e">
        <f>IF(#REF!="Yes","H",IF($B115="","",IF(AND($C115&lt;=#REF!,$D115&gt;=#REF!),IF($G115="","x","y"),"")))</f>
        <v>#REF!</v>
      </c>
      <c r="R115" s="270" t="e">
        <f>IF(#REF!="Yes","H",IF($B115="","",IF(AND($C115&lt;=#REF!,$D115&gt;=#REF!),IF($G115="","x","y"),"")))</f>
        <v>#REF!</v>
      </c>
      <c r="S115" s="273" t="e">
        <f>IF(#REF!="Yes","H",IF($B115="","",IF(AND($C115&lt;=#REF!,$D115&gt;=#REF!),IF($G115="","x","y"),"")))</f>
        <v>#REF!</v>
      </c>
      <c r="T115" s="274" t="e">
        <f>IF(#REF!="Yes","H",IF($B115="","",IF(AND($C115&lt;=#REF!,$D115&gt;=#REF!),IF($G115="","x","y"),"")))</f>
        <v>#REF!</v>
      </c>
      <c r="U115" s="270" t="e">
        <f>IF(#REF!="Yes","H",IF($B115="","",IF(AND($C115&lt;=#REF!,$D115&gt;=#REF!),IF($G115="","x","y"),"")))</f>
        <v>#REF!</v>
      </c>
      <c r="V115" s="270" t="e">
        <f>IF(#REF!="Yes","H",IF($B115="","",IF(AND($C115&lt;=#REF!,$D115&gt;=#REF!),IF($G115="","x","y"),"")))</f>
        <v>#REF!</v>
      </c>
      <c r="W115" s="270" t="e">
        <f>IF(#REF!="Yes","H",IF($B115="","",IF(AND($C115&lt;=#REF!,$D115&gt;=#REF!),IF($G115="","x","y"),"")))</f>
        <v>#REF!</v>
      </c>
      <c r="X115" s="271" t="e">
        <f>IF(#REF!="Yes","H",IF($B115="","",IF(AND($C115&lt;=#REF!,$D115&gt;=#REF!),IF($G115="","x","y"),"")))</f>
        <v>#REF!</v>
      </c>
      <c r="Y115" s="272" t="e">
        <f>IF(#REF!="Yes","H",IF($B115="","",IF(AND($C115&lt;=#REF!,$D115&gt;=#REF!),IF($G115="","x","y"),"")))</f>
        <v>#REF!</v>
      </c>
      <c r="Z115" s="270" t="e">
        <f>IF(#REF!="Yes","H",IF($B115="","",IF(AND($C115&lt;=#REF!,$D115&gt;=#REF!),IF($G115="","x","y"),"")))</f>
        <v>#REF!</v>
      </c>
      <c r="AA115" s="270" t="e">
        <f>IF(#REF!="Yes","H",IF($B115="","",IF(AND($C115&lt;=#REF!,$D115&gt;=#REF!),IF($G115="","x","y"),"")))</f>
        <v>#REF!</v>
      </c>
      <c r="AB115" s="270" t="e">
        <f>IF(#REF!="Yes","H",IF($B115="","",IF(AND($C115&lt;=#REF!,$D115&gt;=#REF!),IF($G115="","x","y"),"")))</f>
        <v>#REF!</v>
      </c>
      <c r="AC115" s="273" t="e">
        <f>IF(#REF!="Yes","H",IF($B115="","",IF(AND($C115&lt;=#REF!,$D115&gt;=#REF!),IF($G115="","x","y"),"")))</f>
        <v>#REF!</v>
      </c>
      <c r="AD115" s="274" t="e">
        <f>IF(#REF!="Yes","H",IF($B115="","",IF(AND($C115&lt;=#REF!,$D115&gt;=#REF!),IF($G115="","x","y"),"")))</f>
        <v>#REF!</v>
      </c>
      <c r="AE115" s="270" t="e">
        <f>IF(#REF!="Yes","H",IF($B115="","",IF(AND($C115&lt;=#REF!,$D115&gt;=#REF!),IF($G115="","x","y"),"")))</f>
        <v>#REF!</v>
      </c>
      <c r="AF115" s="270" t="e">
        <f>IF(#REF!="Yes","H",IF($B115="","",IF(AND($C115&lt;=#REF!,$D115&gt;=#REF!),IF($G115="","x","y"),"")))</f>
        <v>#REF!</v>
      </c>
      <c r="AG115" s="270" t="e">
        <f>IF(#REF!="Yes","H",IF($B115="","",IF(AND($C115&lt;=#REF!,$D115&gt;=#REF!),IF($G115="","x","y"),"")))</f>
        <v>#REF!</v>
      </c>
      <c r="AH115" s="271" t="e">
        <f>IF(#REF!="Yes","H",IF($B115="","",IF(AND($C115&lt;=#REF!,$D115&gt;=#REF!),IF($G115="","x","y"),"")))</f>
        <v>#REF!</v>
      </c>
      <c r="AI115" s="272" t="e">
        <f>IF(#REF!="Yes","H",IF($B115="","",IF(AND($C115&lt;=#REF!,$D115&gt;=#REF!),IF($G115="","x","y"),"")))</f>
        <v>#REF!</v>
      </c>
      <c r="AJ115" s="270" t="e">
        <f>IF(#REF!="Yes","H",IF($B115="","",IF(AND($C115&lt;=#REF!,$D115&gt;=#REF!),IF($G115="","x","y"),"")))</f>
        <v>#REF!</v>
      </c>
      <c r="AK115" s="270" t="e">
        <f>IF(#REF!="Yes","H",IF($B115="","",IF(AND($C115&lt;=#REF!,$D115&gt;=#REF!),IF($G115="","x","y"),"")))</f>
        <v>#REF!</v>
      </c>
      <c r="AL115" s="270" t="e">
        <f>IF(#REF!="Yes","H",IF($B115="","",IF(AND($C115&lt;=#REF!,$D115&gt;=#REF!),IF($G115="","x","y"),"")))</f>
        <v>#REF!</v>
      </c>
      <c r="AM115" s="273" t="e">
        <f>IF(#REF!="Yes","H",IF($B115="","",IF(AND($C115&lt;=#REF!,$D115&gt;=#REF!),IF($G115="","x","y"),"")))</f>
        <v>#REF!</v>
      </c>
      <c r="AN115" s="274" t="e">
        <f>IF(#REF!="Yes","H",IF($B115="","",IF(AND($C115&lt;=#REF!,$D115&gt;=#REF!),IF($G115="","x","y"),"")))</f>
        <v>#REF!</v>
      </c>
      <c r="AO115" s="270" t="e">
        <f>IF(#REF!="Yes","H",IF($B115="","",IF(AND($C115&lt;=#REF!,$D115&gt;=#REF!),IF($G115="","x","y"),"")))</f>
        <v>#REF!</v>
      </c>
      <c r="AP115" s="270" t="e">
        <f>IF(#REF!="Yes","H",IF($B115="","",IF(AND($C115&lt;=#REF!,$D115&gt;=#REF!),IF($G115="","x","y"),"")))</f>
        <v>#REF!</v>
      </c>
      <c r="AQ115" s="270" t="e">
        <f>IF(#REF!="Yes","H",IF($B115="","",IF(AND($C115&lt;=#REF!,$D115&gt;=#REF!),IF($G115="","x","y"),"")))</f>
        <v>#REF!</v>
      </c>
      <c r="AR115" s="271" t="e">
        <f>IF(#REF!="Yes","H",IF($B115="","",IF(AND($C115&lt;=#REF!,$D115&gt;=#REF!),IF($G115="","x","y"),"")))</f>
        <v>#REF!</v>
      </c>
      <c r="AS115" s="272" t="e">
        <f>IF(#REF!="Yes","H",IF($B115="","",IF(AND($C115&lt;=#REF!,$D115&gt;=#REF!),IF($G115="","x","y"),"")))</f>
        <v>#REF!</v>
      </c>
      <c r="AT115" s="270" t="e">
        <f>IF(#REF!="Yes","H",IF($B115="","",IF(AND($C115&lt;=#REF!,$D115&gt;=#REF!),IF($G115="","x","y"),"")))</f>
        <v>#REF!</v>
      </c>
      <c r="AU115" s="270" t="e">
        <f>IF(#REF!="Yes","H",IF($B115="","",IF(AND($C115&lt;=#REF!,$D115&gt;=#REF!),IF($G115="","x","y"),"")))</f>
        <v>#REF!</v>
      </c>
      <c r="AV115" s="270" t="e">
        <f>IF(#REF!="Yes","H",IF($B115="","",IF(AND($C115&lt;=#REF!,$D115&gt;=#REF!),IF($G115="","x","y"),"")))</f>
        <v>#REF!</v>
      </c>
      <c r="AW115" s="273" t="e">
        <f>IF(#REF!="Yes","H",IF($B115="","",IF(AND($C115&lt;=#REF!,$D115&gt;=#REF!),IF($G115="","x","y"),"")))</f>
        <v>#REF!</v>
      </c>
      <c r="AX115" s="274" t="e">
        <f>IF(#REF!="Yes","H",IF($B115="","",IF(AND($C115&lt;=#REF!,$D115&gt;=#REF!),IF($G115="","x","y"),"")))</f>
        <v>#REF!</v>
      </c>
      <c r="AY115" s="270" t="e">
        <f>IF(#REF!="Yes","H",IF($B115="","",IF(AND($C115&lt;=#REF!,$D115&gt;=#REF!),IF($G115="","x","y"),"")))</f>
        <v>#REF!</v>
      </c>
      <c r="AZ115" s="270" t="e">
        <f>IF(#REF!="Yes","H",IF($B115="","",IF(AND($C115&lt;=#REF!,$D115&gt;=#REF!),IF($G115="","x","y"),"")))</f>
        <v>#REF!</v>
      </c>
      <c r="BA115" s="270" t="e">
        <f>IF(#REF!="Yes","H",IF($B115="","",IF(AND($C115&lt;=#REF!,$D115&gt;=#REF!),IF($G115="","x","y"),"")))</f>
        <v>#REF!</v>
      </c>
      <c r="BB115" s="271" t="e">
        <f>IF(#REF!="Yes","H",IF($B115="","",IF(AND($C115&lt;=#REF!,$D115&gt;=#REF!),IF($G115="","x","y"),"")))</f>
        <v>#REF!</v>
      </c>
      <c r="BC115" s="272" t="e">
        <f>IF(#REF!="Yes","H",IF($B115="","",IF(AND($C115&lt;=#REF!,$D115&gt;=#REF!),IF($G115="","x","y"),"")))</f>
        <v>#REF!</v>
      </c>
      <c r="BD115" s="270" t="e">
        <f>IF(#REF!="Yes","H",IF($B115="","",IF(AND($C115&lt;=#REF!,$D115&gt;=#REF!),IF($G115="","x","y"),"")))</f>
        <v>#REF!</v>
      </c>
      <c r="BE115" s="270" t="e">
        <f>IF(#REF!="Yes","H",IF($B115="","",IF(AND($C115&lt;=#REF!,$D115&gt;=#REF!),IF($G115="","x","y"),"")))</f>
        <v>#REF!</v>
      </c>
      <c r="BF115" s="270" t="e">
        <f>IF(#REF!="Yes","H",IF($B115="","",IF(AND($C115&lt;=#REF!,$D115&gt;=#REF!),IF($G115="","x","y"),"")))</f>
        <v>#REF!</v>
      </c>
      <c r="BG115" s="273" t="e">
        <f>IF(#REF!="Yes","H",IF($B115="","",IF(AND($C115&lt;=#REF!,$D115&gt;=#REF!),IF($G115="","x","y"),"")))</f>
        <v>#REF!</v>
      </c>
      <c r="BH115" s="274" t="e">
        <f>IF(#REF!="Yes","H",IF($B115="","",IF(AND($C115&lt;=#REF!,$D115&gt;=#REF!),IF($G115="","x","y"),"")))</f>
        <v>#REF!</v>
      </c>
      <c r="BI115" s="270" t="e">
        <f>IF(#REF!="Yes","H",IF($B115="","",IF(AND($C115&lt;=#REF!,$D115&gt;=#REF!),IF($G115="","x","y"),"")))</f>
        <v>#REF!</v>
      </c>
      <c r="BJ115" s="270" t="e">
        <f>IF(#REF!="Yes","H",IF($B115="","",IF(AND($C115&lt;=#REF!,$D115&gt;=#REF!),IF($G115="","x","y"),"")))</f>
        <v>#REF!</v>
      </c>
      <c r="BK115" s="270" t="e">
        <f>IF(#REF!="Yes","H",IF($B115="","",IF(AND($C115&lt;=#REF!,$D115&gt;=#REF!),IF($G115="","x","y"),"")))</f>
        <v>#REF!</v>
      </c>
      <c r="BL115" s="271" t="e">
        <f>IF(#REF!="Yes","H",IF($B115="","",IF(AND($C115&lt;=#REF!,$D115&gt;=#REF!),IF($G115="","x","y"),"")))</f>
        <v>#REF!</v>
      </c>
      <c r="BM115" s="272" t="e">
        <f>IF(#REF!="Yes","H",IF($B115="","",IF(AND($C115&lt;=#REF!,$D115&gt;=#REF!),IF($G115="","x","y"),"")))</f>
        <v>#REF!</v>
      </c>
      <c r="BN115" s="270" t="e">
        <f>IF(#REF!="Yes","H",IF($B115="","",IF(AND($C115&lt;=#REF!,$D115&gt;=#REF!),IF($G115="","x","y"),"")))</f>
        <v>#REF!</v>
      </c>
      <c r="BO115" s="270" t="e">
        <f>IF(#REF!="Yes","H",IF($B115="","",IF(AND($C115&lt;=#REF!,$D115&gt;=#REF!),IF($G115="","x","y"),"")))</f>
        <v>#REF!</v>
      </c>
      <c r="BP115" s="270" t="e">
        <f>IF(#REF!="Yes","H",IF($B115="","",IF(AND($C115&lt;=#REF!,$D115&gt;=#REF!),IF($G115="","x","y"),"")))</f>
        <v>#REF!</v>
      </c>
      <c r="BQ115" s="273" t="e">
        <f>IF(#REF!="Yes","H",IF($B115="","",IF(AND($C115&lt;=#REF!,$D115&gt;=#REF!),IF($G115="","x","y"),"")))</f>
        <v>#REF!</v>
      </c>
      <c r="BR115" s="274" t="e">
        <f>IF(#REF!="Yes","H",IF($B115="","",IF(AND($C115&lt;=#REF!,$D115&gt;=#REF!),IF($G115="","x","y"),"")))</f>
        <v>#REF!</v>
      </c>
      <c r="BS115" s="270" t="e">
        <f>IF(#REF!="Yes","H",IF($B115="","",IF(AND($C115&lt;=#REF!,$D115&gt;=#REF!),IF($G115="","x","y"),"")))</f>
        <v>#REF!</v>
      </c>
      <c r="BT115" s="270" t="e">
        <f>IF(#REF!="Yes","H",IF($B115="","",IF(AND($C115&lt;=#REF!,$D115&gt;=#REF!),IF($G115="","x","y"),"")))</f>
        <v>#REF!</v>
      </c>
      <c r="BU115" s="270" t="e">
        <f>IF(#REF!="Yes","H",IF($B115="","",IF(AND($C115&lt;=#REF!,$D115&gt;=#REF!),IF($G115="","x","y"),"")))</f>
        <v>#REF!</v>
      </c>
      <c r="BV115" s="271" t="e">
        <f>IF(#REF!="Yes","H",IF($B115="","",IF(AND($C115&lt;=#REF!,$D115&gt;=#REF!),IF($G115="","x","y"),"")))</f>
        <v>#REF!</v>
      </c>
      <c r="BW115" s="272" t="e">
        <f>IF(#REF!="Yes","H",IF($B115="","",IF(AND($C115&lt;=#REF!,$D115&gt;=#REF!),IF($G115="","x","y"),"")))</f>
        <v>#REF!</v>
      </c>
      <c r="BX115" s="270" t="e">
        <f>IF(#REF!="Yes","H",IF($B115="","",IF(AND($C115&lt;=#REF!,$D115&gt;=#REF!),IF($G115="","x","y"),"")))</f>
        <v>#REF!</v>
      </c>
      <c r="BY115" s="270" t="e">
        <f>IF(#REF!="Yes","H",IF($B115="","",IF(AND($C115&lt;=#REF!,$D115&gt;=#REF!),IF($G115="","x","y"),"")))</f>
        <v>#REF!</v>
      </c>
      <c r="BZ115" s="270" t="e">
        <f>IF(#REF!="Yes","H",IF($B115="","",IF(AND($C115&lt;=#REF!,$D115&gt;=#REF!),IF($G115="","x","y"),"")))</f>
        <v>#REF!</v>
      </c>
      <c r="CA115" s="273" t="e">
        <f>IF(#REF!="Yes","H",IF($B115="","",IF(AND($C115&lt;=#REF!,$D115&gt;=#REF!),IF($G115="","x","y"),"")))</f>
        <v>#REF!</v>
      </c>
    </row>
    <row r="116" spans="2:79" ht="15" customHeight="1">
      <c r="B116" s="145"/>
      <c r="C116" s="283"/>
      <c r="D116" s="284"/>
      <c r="E116" s="285"/>
      <c r="F116" s="209"/>
      <c r="G116" s="275"/>
      <c r="H116" s="209"/>
      <c r="I116" s="211"/>
      <c r="J116" s="269" t="e">
        <f>IF(#REF!="Yes","H",IF($B116="","",IF(AND($C116&lt;=#REF!,$D116&gt;=#REF!),IF($G116="","x","y"),"")))</f>
        <v>#REF!</v>
      </c>
      <c r="K116" s="270" t="e">
        <f>IF(#REF!="Yes","H",IF($B116="","",IF(AND($C116&lt;=#REF!,$D116&gt;=#REF!),IF($G116="","x","y"),"")))</f>
        <v>#REF!</v>
      </c>
      <c r="L116" s="270" t="e">
        <f>IF(#REF!="Yes","H",IF($B116="","",IF(AND($C116&lt;=#REF!,$D116&gt;=#REF!),IF($G116="","x","y"),"")))</f>
        <v>#REF!</v>
      </c>
      <c r="M116" s="270" t="e">
        <f>IF(#REF!="Yes","H",IF($B116="","",IF(AND($C116&lt;=#REF!,$D116&gt;=#REF!),IF($G116="","x","y"),"")))</f>
        <v>#REF!</v>
      </c>
      <c r="N116" s="271" t="e">
        <f>IF(#REF!="Yes","H",IF($B116="","",IF(AND($C116&lt;=#REF!,$D116&gt;=#REF!),IF($G116="","x","y"),"")))</f>
        <v>#REF!</v>
      </c>
      <c r="O116" s="272" t="e">
        <f>IF(#REF!="Yes","H",IF($B116="","",IF(AND($C116&lt;=#REF!,$D116&gt;=#REF!),IF($G116="","x","y"),"")))</f>
        <v>#REF!</v>
      </c>
      <c r="P116" s="270" t="e">
        <f>IF(#REF!="Yes","H",IF($B116="","",IF(AND($C116&lt;=#REF!,$D116&gt;=#REF!),IF($G116="","x","y"),"")))</f>
        <v>#REF!</v>
      </c>
      <c r="Q116" s="270" t="e">
        <f>IF(#REF!="Yes","H",IF($B116="","",IF(AND($C116&lt;=#REF!,$D116&gt;=#REF!),IF($G116="","x","y"),"")))</f>
        <v>#REF!</v>
      </c>
      <c r="R116" s="270" t="e">
        <f>IF(#REF!="Yes","H",IF($B116="","",IF(AND($C116&lt;=#REF!,$D116&gt;=#REF!),IF($G116="","x","y"),"")))</f>
        <v>#REF!</v>
      </c>
      <c r="S116" s="273" t="e">
        <f>IF(#REF!="Yes","H",IF($B116="","",IF(AND($C116&lt;=#REF!,$D116&gt;=#REF!),IF($G116="","x","y"),"")))</f>
        <v>#REF!</v>
      </c>
      <c r="T116" s="274" t="e">
        <f>IF(#REF!="Yes","H",IF($B116="","",IF(AND($C116&lt;=#REF!,$D116&gt;=#REF!),IF($G116="","x","y"),"")))</f>
        <v>#REF!</v>
      </c>
      <c r="U116" s="270" t="e">
        <f>IF(#REF!="Yes","H",IF($B116="","",IF(AND($C116&lt;=#REF!,$D116&gt;=#REF!),IF($G116="","x","y"),"")))</f>
        <v>#REF!</v>
      </c>
      <c r="V116" s="270" t="e">
        <f>IF(#REF!="Yes","H",IF($B116="","",IF(AND($C116&lt;=#REF!,$D116&gt;=#REF!),IF($G116="","x","y"),"")))</f>
        <v>#REF!</v>
      </c>
      <c r="W116" s="270" t="e">
        <f>IF(#REF!="Yes","H",IF($B116="","",IF(AND($C116&lt;=#REF!,$D116&gt;=#REF!),IF($G116="","x","y"),"")))</f>
        <v>#REF!</v>
      </c>
      <c r="X116" s="271" t="e">
        <f>IF(#REF!="Yes","H",IF($B116="","",IF(AND($C116&lt;=#REF!,$D116&gt;=#REF!),IF($G116="","x","y"),"")))</f>
        <v>#REF!</v>
      </c>
      <c r="Y116" s="272" t="e">
        <f>IF(#REF!="Yes","H",IF($B116="","",IF(AND($C116&lt;=#REF!,$D116&gt;=#REF!),IF($G116="","x","y"),"")))</f>
        <v>#REF!</v>
      </c>
      <c r="Z116" s="270" t="e">
        <f>IF(#REF!="Yes","H",IF($B116="","",IF(AND($C116&lt;=#REF!,$D116&gt;=#REF!),IF($G116="","x","y"),"")))</f>
        <v>#REF!</v>
      </c>
      <c r="AA116" s="270" t="e">
        <f>IF(#REF!="Yes","H",IF($B116="","",IF(AND($C116&lt;=#REF!,$D116&gt;=#REF!),IF($G116="","x","y"),"")))</f>
        <v>#REF!</v>
      </c>
      <c r="AB116" s="270" t="e">
        <f>IF(#REF!="Yes","H",IF($B116="","",IF(AND($C116&lt;=#REF!,$D116&gt;=#REF!),IF($G116="","x","y"),"")))</f>
        <v>#REF!</v>
      </c>
      <c r="AC116" s="273" t="e">
        <f>IF(#REF!="Yes","H",IF($B116="","",IF(AND($C116&lt;=#REF!,$D116&gt;=#REF!),IF($G116="","x","y"),"")))</f>
        <v>#REF!</v>
      </c>
      <c r="AD116" s="274" t="e">
        <f>IF(#REF!="Yes","H",IF($B116="","",IF(AND($C116&lt;=#REF!,$D116&gt;=#REF!),IF($G116="","x","y"),"")))</f>
        <v>#REF!</v>
      </c>
      <c r="AE116" s="270" t="e">
        <f>IF(#REF!="Yes","H",IF($B116="","",IF(AND($C116&lt;=#REF!,$D116&gt;=#REF!),IF($G116="","x","y"),"")))</f>
        <v>#REF!</v>
      </c>
      <c r="AF116" s="270" t="e">
        <f>IF(#REF!="Yes","H",IF($B116="","",IF(AND($C116&lt;=#REF!,$D116&gt;=#REF!),IF($G116="","x","y"),"")))</f>
        <v>#REF!</v>
      </c>
      <c r="AG116" s="270" t="e">
        <f>IF(#REF!="Yes","H",IF($B116="","",IF(AND($C116&lt;=#REF!,$D116&gt;=#REF!),IF($G116="","x","y"),"")))</f>
        <v>#REF!</v>
      </c>
      <c r="AH116" s="271" t="e">
        <f>IF(#REF!="Yes","H",IF($B116="","",IF(AND($C116&lt;=#REF!,$D116&gt;=#REF!),IF($G116="","x","y"),"")))</f>
        <v>#REF!</v>
      </c>
      <c r="AI116" s="272" t="e">
        <f>IF(#REF!="Yes","H",IF($B116="","",IF(AND($C116&lt;=#REF!,$D116&gt;=#REF!),IF($G116="","x","y"),"")))</f>
        <v>#REF!</v>
      </c>
      <c r="AJ116" s="270" t="e">
        <f>IF(#REF!="Yes","H",IF($B116="","",IF(AND($C116&lt;=#REF!,$D116&gt;=#REF!),IF($G116="","x","y"),"")))</f>
        <v>#REF!</v>
      </c>
      <c r="AK116" s="270" t="e">
        <f>IF(#REF!="Yes","H",IF($B116="","",IF(AND($C116&lt;=#REF!,$D116&gt;=#REF!),IF($G116="","x","y"),"")))</f>
        <v>#REF!</v>
      </c>
      <c r="AL116" s="270" t="e">
        <f>IF(#REF!="Yes","H",IF($B116="","",IF(AND($C116&lt;=#REF!,$D116&gt;=#REF!),IF($G116="","x","y"),"")))</f>
        <v>#REF!</v>
      </c>
      <c r="AM116" s="273" t="e">
        <f>IF(#REF!="Yes","H",IF($B116="","",IF(AND($C116&lt;=#REF!,$D116&gt;=#REF!),IF($G116="","x","y"),"")))</f>
        <v>#REF!</v>
      </c>
      <c r="AN116" s="274" t="e">
        <f>IF(#REF!="Yes","H",IF($B116="","",IF(AND($C116&lt;=#REF!,$D116&gt;=#REF!),IF($G116="","x","y"),"")))</f>
        <v>#REF!</v>
      </c>
      <c r="AO116" s="270" t="e">
        <f>IF(#REF!="Yes","H",IF($B116="","",IF(AND($C116&lt;=#REF!,$D116&gt;=#REF!),IF($G116="","x","y"),"")))</f>
        <v>#REF!</v>
      </c>
      <c r="AP116" s="270" t="e">
        <f>IF(#REF!="Yes","H",IF($B116="","",IF(AND($C116&lt;=#REF!,$D116&gt;=#REF!),IF($G116="","x","y"),"")))</f>
        <v>#REF!</v>
      </c>
      <c r="AQ116" s="270" t="e">
        <f>IF(#REF!="Yes","H",IF($B116="","",IF(AND($C116&lt;=#REF!,$D116&gt;=#REF!),IF($G116="","x","y"),"")))</f>
        <v>#REF!</v>
      </c>
      <c r="AR116" s="271" t="e">
        <f>IF(#REF!="Yes","H",IF($B116="","",IF(AND($C116&lt;=#REF!,$D116&gt;=#REF!),IF($G116="","x","y"),"")))</f>
        <v>#REF!</v>
      </c>
      <c r="AS116" s="272" t="e">
        <f>IF(#REF!="Yes","H",IF($B116="","",IF(AND($C116&lt;=#REF!,$D116&gt;=#REF!),IF($G116="","x","y"),"")))</f>
        <v>#REF!</v>
      </c>
      <c r="AT116" s="270" t="e">
        <f>IF(#REF!="Yes","H",IF($B116="","",IF(AND($C116&lt;=#REF!,$D116&gt;=#REF!),IF($G116="","x","y"),"")))</f>
        <v>#REF!</v>
      </c>
      <c r="AU116" s="270" t="e">
        <f>IF(#REF!="Yes","H",IF($B116="","",IF(AND($C116&lt;=#REF!,$D116&gt;=#REF!),IF($G116="","x","y"),"")))</f>
        <v>#REF!</v>
      </c>
      <c r="AV116" s="270" t="e">
        <f>IF(#REF!="Yes","H",IF($B116="","",IF(AND($C116&lt;=#REF!,$D116&gt;=#REF!),IF($G116="","x","y"),"")))</f>
        <v>#REF!</v>
      </c>
      <c r="AW116" s="273" t="e">
        <f>IF(#REF!="Yes","H",IF($B116="","",IF(AND($C116&lt;=#REF!,$D116&gt;=#REF!),IF($G116="","x","y"),"")))</f>
        <v>#REF!</v>
      </c>
      <c r="AX116" s="274" t="e">
        <f>IF(#REF!="Yes","H",IF($B116="","",IF(AND($C116&lt;=#REF!,$D116&gt;=#REF!),IF($G116="","x","y"),"")))</f>
        <v>#REF!</v>
      </c>
      <c r="AY116" s="270" t="e">
        <f>IF(#REF!="Yes","H",IF($B116="","",IF(AND($C116&lt;=#REF!,$D116&gt;=#REF!),IF($G116="","x","y"),"")))</f>
        <v>#REF!</v>
      </c>
      <c r="AZ116" s="270" t="e">
        <f>IF(#REF!="Yes","H",IF($B116="","",IF(AND($C116&lt;=#REF!,$D116&gt;=#REF!),IF($G116="","x","y"),"")))</f>
        <v>#REF!</v>
      </c>
      <c r="BA116" s="270" t="e">
        <f>IF(#REF!="Yes","H",IF($B116="","",IF(AND($C116&lt;=#REF!,$D116&gt;=#REF!),IF($G116="","x","y"),"")))</f>
        <v>#REF!</v>
      </c>
      <c r="BB116" s="271" t="e">
        <f>IF(#REF!="Yes","H",IF($B116="","",IF(AND($C116&lt;=#REF!,$D116&gt;=#REF!),IF($G116="","x","y"),"")))</f>
        <v>#REF!</v>
      </c>
      <c r="BC116" s="272" t="e">
        <f>IF(#REF!="Yes","H",IF($B116="","",IF(AND($C116&lt;=#REF!,$D116&gt;=#REF!),IF($G116="","x","y"),"")))</f>
        <v>#REF!</v>
      </c>
      <c r="BD116" s="270" t="e">
        <f>IF(#REF!="Yes","H",IF($B116="","",IF(AND($C116&lt;=#REF!,$D116&gt;=#REF!),IF($G116="","x","y"),"")))</f>
        <v>#REF!</v>
      </c>
      <c r="BE116" s="270" t="e">
        <f>IF(#REF!="Yes","H",IF($B116="","",IF(AND($C116&lt;=#REF!,$D116&gt;=#REF!),IF($G116="","x","y"),"")))</f>
        <v>#REF!</v>
      </c>
      <c r="BF116" s="270" t="e">
        <f>IF(#REF!="Yes","H",IF($B116="","",IF(AND($C116&lt;=#REF!,$D116&gt;=#REF!),IF($G116="","x","y"),"")))</f>
        <v>#REF!</v>
      </c>
      <c r="BG116" s="273" t="e">
        <f>IF(#REF!="Yes","H",IF($B116="","",IF(AND($C116&lt;=#REF!,$D116&gt;=#REF!),IF($G116="","x","y"),"")))</f>
        <v>#REF!</v>
      </c>
      <c r="BH116" s="274" t="e">
        <f>IF(#REF!="Yes","H",IF($B116="","",IF(AND($C116&lt;=#REF!,$D116&gt;=#REF!),IF($G116="","x","y"),"")))</f>
        <v>#REF!</v>
      </c>
      <c r="BI116" s="270" t="e">
        <f>IF(#REF!="Yes","H",IF($B116="","",IF(AND($C116&lt;=#REF!,$D116&gt;=#REF!),IF($G116="","x","y"),"")))</f>
        <v>#REF!</v>
      </c>
      <c r="BJ116" s="270" t="e">
        <f>IF(#REF!="Yes","H",IF($B116="","",IF(AND($C116&lt;=#REF!,$D116&gt;=#REF!),IF($G116="","x","y"),"")))</f>
        <v>#REF!</v>
      </c>
      <c r="BK116" s="270" t="e">
        <f>IF(#REF!="Yes","H",IF($B116="","",IF(AND($C116&lt;=#REF!,$D116&gt;=#REF!),IF($G116="","x","y"),"")))</f>
        <v>#REF!</v>
      </c>
      <c r="BL116" s="271" t="e">
        <f>IF(#REF!="Yes","H",IF($B116="","",IF(AND($C116&lt;=#REF!,$D116&gt;=#REF!),IF($G116="","x","y"),"")))</f>
        <v>#REF!</v>
      </c>
      <c r="BM116" s="272" t="e">
        <f>IF(#REF!="Yes","H",IF($B116="","",IF(AND($C116&lt;=#REF!,$D116&gt;=#REF!),IF($G116="","x","y"),"")))</f>
        <v>#REF!</v>
      </c>
      <c r="BN116" s="270" t="e">
        <f>IF(#REF!="Yes","H",IF($B116="","",IF(AND($C116&lt;=#REF!,$D116&gt;=#REF!),IF($G116="","x","y"),"")))</f>
        <v>#REF!</v>
      </c>
      <c r="BO116" s="270" t="e">
        <f>IF(#REF!="Yes","H",IF($B116="","",IF(AND($C116&lt;=#REF!,$D116&gt;=#REF!),IF($G116="","x","y"),"")))</f>
        <v>#REF!</v>
      </c>
      <c r="BP116" s="270" t="e">
        <f>IF(#REF!="Yes","H",IF($B116="","",IF(AND($C116&lt;=#REF!,$D116&gt;=#REF!),IF($G116="","x","y"),"")))</f>
        <v>#REF!</v>
      </c>
      <c r="BQ116" s="273" t="e">
        <f>IF(#REF!="Yes","H",IF($B116="","",IF(AND($C116&lt;=#REF!,$D116&gt;=#REF!),IF($G116="","x","y"),"")))</f>
        <v>#REF!</v>
      </c>
      <c r="BR116" s="274" t="e">
        <f>IF(#REF!="Yes","H",IF($B116="","",IF(AND($C116&lt;=#REF!,$D116&gt;=#REF!),IF($G116="","x","y"),"")))</f>
        <v>#REF!</v>
      </c>
      <c r="BS116" s="270" t="e">
        <f>IF(#REF!="Yes","H",IF($B116="","",IF(AND($C116&lt;=#REF!,$D116&gt;=#REF!),IF($G116="","x","y"),"")))</f>
        <v>#REF!</v>
      </c>
      <c r="BT116" s="270" t="e">
        <f>IF(#REF!="Yes","H",IF($B116="","",IF(AND($C116&lt;=#REF!,$D116&gt;=#REF!),IF($G116="","x","y"),"")))</f>
        <v>#REF!</v>
      </c>
      <c r="BU116" s="270" t="e">
        <f>IF(#REF!="Yes","H",IF($B116="","",IF(AND($C116&lt;=#REF!,$D116&gt;=#REF!),IF($G116="","x","y"),"")))</f>
        <v>#REF!</v>
      </c>
      <c r="BV116" s="271" t="e">
        <f>IF(#REF!="Yes","H",IF($B116="","",IF(AND($C116&lt;=#REF!,$D116&gt;=#REF!),IF($G116="","x","y"),"")))</f>
        <v>#REF!</v>
      </c>
      <c r="BW116" s="272" t="e">
        <f>IF(#REF!="Yes","H",IF($B116="","",IF(AND($C116&lt;=#REF!,$D116&gt;=#REF!),IF($G116="","x","y"),"")))</f>
        <v>#REF!</v>
      </c>
      <c r="BX116" s="270" t="e">
        <f>IF(#REF!="Yes","H",IF($B116="","",IF(AND($C116&lt;=#REF!,$D116&gt;=#REF!),IF($G116="","x","y"),"")))</f>
        <v>#REF!</v>
      </c>
      <c r="BY116" s="270" t="e">
        <f>IF(#REF!="Yes","H",IF($B116="","",IF(AND($C116&lt;=#REF!,$D116&gt;=#REF!),IF($G116="","x","y"),"")))</f>
        <v>#REF!</v>
      </c>
      <c r="BZ116" s="270" t="e">
        <f>IF(#REF!="Yes","H",IF($B116="","",IF(AND($C116&lt;=#REF!,$D116&gt;=#REF!),IF($G116="","x","y"),"")))</f>
        <v>#REF!</v>
      </c>
      <c r="CA116" s="273" t="e">
        <f>IF(#REF!="Yes","H",IF($B116="","",IF(AND($C116&lt;=#REF!,$D116&gt;=#REF!),IF($G116="","x","y"),"")))</f>
        <v>#REF!</v>
      </c>
    </row>
    <row r="117" spans="2:79" ht="15" customHeight="1">
      <c r="B117" s="145"/>
      <c r="C117" s="283"/>
      <c r="D117" s="284"/>
      <c r="E117" s="285"/>
      <c r="F117" s="209"/>
      <c r="G117" s="275"/>
      <c r="H117" s="209"/>
      <c r="I117" s="211"/>
      <c r="J117" s="269" t="e">
        <f>IF(#REF!="Yes","H",IF($B117="","",IF(AND($C117&lt;=#REF!,$D117&gt;=#REF!),IF($G117="","x","y"),"")))</f>
        <v>#REF!</v>
      </c>
      <c r="K117" s="270" t="e">
        <f>IF(#REF!="Yes","H",IF($B117="","",IF(AND($C117&lt;=#REF!,$D117&gt;=#REF!),IF($G117="","x","y"),"")))</f>
        <v>#REF!</v>
      </c>
      <c r="L117" s="270" t="e">
        <f>IF(#REF!="Yes","H",IF($B117="","",IF(AND($C117&lt;=#REF!,$D117&gt;=#REF!),IF($G117="","x","y"),"")))</f>
        <v>#REF!</v>
      </c>
      <c r="M117" s="270" t="e">
        <f>IF(#REF!="Yes","H",IF($B117="","",IF(AND($C117&lt;=#REF!,$D117&gt;=#REF!),IF($G117="","x","y"),"")))</f>
        <v>#REF!</v>
      </c>
      <c r="N117" s="271" t="e">
        <f>IF(#REF!="Yes","H",IF($B117="","",IF(AND($C117&lt;=#REF!,$D117&gt;=#REF!),IF($G117="","x","y"),"")))</f>
        <v>#REF!</v>
      </c>
      <c r="O117" s="272" t="e">
        <f>IF(#REF!="Yes","H",IF($B117="","",IF(AND($C117&lt;=#REF!,$D117&gt;=#REF!),IF($G117="","x","y"),"")))</f>
        <v>#REF!</v>
      </c>
      <c r="P117" s="270" t="e">
        <f>IF(#REF!="Yes","H",IF($B117="","",IF(AND($C117&lt;=#REF!,$D117&gt;=#REF!),IF($G117="","x","y"),"")))</f>
        <v>#REF!</v>
      </c>
      <c r="Q117" s="270" t="e">
        <f>IF(#REF!="Yes","H",IF($B117="","",IF(AND($C117&lt;=#REF!,$D117&gt;=#REF!),IF($G117="","x","y"),"")))</f>
        <v>#REF!</v>
      </c>
      <c r="R117" s="270" t="e">
        <f>IF(#REF!="Yes","H",IF($B117="","",IF(AND($C117&lt;=#REF!,$D117&gt;=#REF!),IF($G117="","x","y"),"")))</f>
        <v>#REF!</v>
      </c>
      <c r="S117" s="273" t="e">
        <f>IF(#REF!="Yes","H",IF($B117="","",IF(AND($C117&lt;=#REF!,$D117&gt;=#REF!),IF($G117="","x","y"),"")))</f>
        <v>#REF!</v>
      </c>
      <c r="T117" s="274" t="e">
        <f>IF(#REF!="Yes","H",IF($B117="","",IF(AND($C117&lt;=#REF!,$D117&gt;=#REF!),IF($G117="","x","y"),"")))</f>
        <v>#REF!</v>
      </c>
      <c r="U117" s="270" t="e">
        <f>IF(#REF!="Yes","H",IF($B117="","",IF(AND($C117&lt;=#REF!,$D117&gt;=#REF!),IF($G117="","x","y"),"")))</f>
        <v>#REF!</v>
      </c>
      <c r="V117" s="270" t="e">
        <f>IF(#REF!="Yes","H",IF($B117="","",IF(AND($C117&lt;=#REF!,$D117&gt;=#REF!),IF($G117="","x","y"),"")))</f>
        <v>#REF!</v>
      </c>
      <c r="W117" s="270" t="e">
        <f>IF(#REF!="Yes","H",IF($B117="","",IF(AND($C117&lt;=#REF!,$D117&gt;=#REF!),IF($G117="","x","y"),"")))</f>
        <v>#REF!</v>
      </c>
      <c r="X117" s="271" t="e">
        <f>IF(#REF!="Yes","H",IF($B117="","",IF(AND($C117&lt;=#REF!,$D117&gt;=#REF!),IF($G117="","x","y"),"")))</f>
        <v>#REF!</v>
      </c>
      <c r="Y117" s="272" t="e">
        <f>IF(#REF!="Yes","H",IF($B117="","",IF(AND($C117&lt;=#REF!,$D117&gt;=#REF!),IF($G117="","x","y"),"")))</f>
        <v>#REF!</v>
      </c>
      <c r="Z117" s="270" t="e">
        <f>IF(#REF!="Yes","H",IF($B117="","",IF(AND($C117&lt;=#REF!,$D117&gt;=#REF!),IF($G117="","x","y"),"")))</f>
        <v>#REF!</v>
      </c>
      <c r="AA117" s="270" t="e">
        <f>IF(#REF!="Yes","H",IF($B117="","",IF(AND($C117&lt;=#REF!,$D117&gt;=#REF!),IF($G117="","x","y"),"")))</f>
        <v>#REF!</v>
      </c>
      <c r="AB117" s="270" t="e">
        <f>IF(#REF!="Yes","H",IF($B117="","",IF(AND($C117&lt;=#REF!,$D117&gt;=#REF!),IF($G117="","x","y"),"")))</f>
        <v>#REF!</v>
      </c>
      <c r="AC117" s="273" t="e">
        <f>IF(#REF!="Yes","H",IF($B117="","",IF(AND($C117&lt;=#REF!,$D117&gt;=#REF!),IF($G117="","x","y"),"")))</f>
        <v>#REF!</v>
      </c>
      <c r="AD117" s="274" t="e">
        <f>IF(#REF!="Yes","H",IF($B117="","",IF(AND($C117&lt;=#REF!,$D117&gt;=#REF!),IF($G117="","x","y"),"")))</f>
        <v>#REF!</v>
      </c>
      <c r="AE117" s="270" t="e">
        <f>IF(#REF!="Yes","H",IF($B117="","",IF(AND($C117&lt;=#REF!,$D117&gt;=#REF!),IF($G117="","x","y"),"")))</f>
        <v>#REF!</v>
      </c>
      <c r="AF117" s="270" t="e">
        <f>IF(#REF!="Yes","H",IF($B117="","",IF(AND($C117&lt;=#REF!,$D117&gt;=#REF!),IF($G117="","x","y"),"")))</f>
        <v>#REF!</v>
      </c>
      <c r="AG117" s="270" t="e">
        <f>IF(#REF!="Yes","H",IF($B117="","",IF(AND($C117&lt;=#REF!,$D117&gt;=#REF!),IF($G117="","x","y"),"")))</f>
        <v>#REF!</v>
      </c>
      <c r="AH117" s="271" t="e">
        <f>IF(#REF!="Yes","H",IF($B117="","",IF(AND($C117&lt;=#REF!,$D117&gt;=#REF!),IF($G117="","x","y"),"")))</f>
        <v>#REF!</v>
      </c>
      <c r="AI117" s="272" t="e">
        <f>IF(#REF!="Yes","H",IF($B117="","",IF(AND($C117&lt;=#REF!,$D117&gt;=#REF!),IF($G117="","x","y"),"")))</f>
        <v>#REF!</v>
      </c>
      <c r="AJ117" s="270" t="e">
        <f>IF(#REF!="Yes","H",IF($B117="","",IF(AND($C117&lt;=#REF!,$D117&gt;=#REF!),IF($G117="","x","y"),"")))</f>
        <v>#REF!</v>
      </c>
      <c r="AK117" s="270" t="e">
        <f>IF(#REF!="Yes","H",IF($B117="","",IF(AND($C117&lt;=#REF!,$D117&gt;=#REF!),IF($G117="","x","y"),"")))</f>
        <v>#REF!</v>
      </c>
      <c r="AL117" s="270" t="e">
        <f>IF(#REF!="Yes","H",IF($B117="","",IF(AND($C117&lt;=#REF!,$D117&gt;=#REF!),IF($G117="","x","y"),"")))</f>
        <v>#REF!</v>
      </c>
      <c r="AM117" s="273" t="e">
        <f>IF(#REF!="Yes","H",IF($B117="","",IF(AND($C117&lt;=#REF!,$D117&gt;=#REF!),IF($G117="","x","y"),"")))</f>
        <v>#REF!</v>
      </c>
      <c r="AN117" s="274" t="e">
        <f>IF(#REF!="Yes","H",IF($B117="","",IF(AND($C117&lt;=#REF!,$D117&gt;=#REF!),IF($G117="","x","y"),"")))</f>
        <v>#REF!</v>
      </c>
      <c r="AO117" s="270" t="e">
        <f>IF(#REF!="Yes","H",IF($B117="","",IF(AND($C117&lt;=#REF!,$D117&gt;=#REF!),IF($G117="","x","y"),"")))</f>
        <v>#REF!</v>
      </c>
      <c r="AP117" s="270" t="e">
        <f>IF(#REF!="Yes","H",IF($B117="","",IF(AND($C117&lt;=#REF!,$D117&gt;=#REF!),IF($G117="","x","y"),"")))</f>
        <v>#REF!</v>
      </c>
      <c r="AQ117" s="270" t="e">
        <f>IF(#REF!="Yes","H",IF($B117="","",IF(AND($C117&lt;=#REF!,$D117&gt;=#REF!),IF($G117="","x","y"),"")))</f>
        <v>#REF!</v>
      </c>
      <c r="AR117" s="271" t="e">
        <f>IF(#REF!="Yes","H",IF($B117="","",IF(AND($C117&lt;=#REF!,$D117&gt;=#REF!),IF($G117="","x","y"),"")))</f>
        <v>#REF!</v>
      </c>
      <c r="AS117" s="272" t="e">
        <f>IF(#REF!="Yes","H",IF($B117="","",IF(AND($C117&lt;=#REF!,$D117&gt;=#REF!),IF($G117="","x","y"),"")))</f>
        <v>#REF!</v>
      </c>
      <c r="AT117" s="270" t="e">
        <f>IF(#REF!="Yes","H",IF($B117="","",IF(AND($C117&lt;=#REF!,$D117&gt;=#REF!),IF($G117="","x","y"),"")))</f>
        <v>#REF!</v>
      </c>
      <c r="AU117" s="270" t="e">
        <f>IF(#REF!="Yes","H",IF($B117="","",IF(AND($C117&lt;=#REF!,$D117&gt;=#REF!),IF($G117="","x","y"),"")))</f>
        <v>#REF!</v>
      </c>
      <c r="AV117" s="270" t="e">
        <f>IF(#REF!="Yes","H",IF($B117="","",IF(AND($C117&lt;=#REF!,$D117&gt;=#REF!),IF($G117="","x","y"),"")))</f>
        <v>#REF!</v>
      </c>
      <c r="AW117" s="273" t="e">
        <f>IF(#REF!="Yes","H",IF($B117="","",IF(AND($C117&lt;=#REF!,$D117&gt;=#REF!),IF($G117="","x","y"),"")))</f>
        <v>#REF!</v>
      </c>
      <c r="AX117" s="274" t="e">
        <f>IF(#REF!="Yes","H",IF($B117="","",IF(AND($C117&lt;=#REF!,$D117&gt;=#REF!),IF($G117="","x","y"),"")))</f>
        <v>#REF!</v>
      </c>
      <c r="AY117" s="270" t="e">
        <f>IF(#REF!="Yes","H",IF($B117="","",IF(AND($C117&lt;=#REF!,$D117&gt;=#REF!),IF($G117="","x","y"),"")))</f>
        <v>#REF!</v>
      </c>
      <c r="AZ117" s="270" t="e">
        <f>IF(#REF!="Yes","H",IF($B117="","",IF(AND($C117&lt;=#REF!,$D117&gt;=#REF!),IF($G117="","x","y"),"")))</f>
        <v>#REF!</v>
      </c>
      <c r="BA117" s="270" t="e">
        <f>IF(#REF!="Yes","H",IF($B117="","",IF(AND($C117&lt;=#REF!,$D117&gt;=#REF!),IF($G117="","x","y"),"")))</f>
        <v>#REF!</v>
      </c>
      <c r="BB117" s="271" t="e">
        <f>IF(#REF!="Yes","H",IF($B117="","",IF(AND($C117&lt;=#REF!,$D117&gt;=#REF!),IF($G117="","x","y"),"")))</f>
        <v>#REF!</v>
      </c>
      <c r="BC117" s="272" t="e">
        <f>IF(#REF!="Yes","H",IF($B117="","",IF(AND($C117&lt;=#REF!,$D117&gt;=#REF!),IF($G117="","x","y"),"")))</f>
        <v>#REF!</v>
      </c>
      <c r="BD117" s="270" t="e">
        <f>IF(#REF!="Yes","H",IF($B117="","",IF(AND($C117&lt;=#REF!,$D117&gt;=#REF!),IF($G117="","x","y"),"")))</f>
        <v>#REF!</v>
      </c>
      <c r="BE117" s="270" t="e">
        <f>IF(#REF!="Yes","H",IF($B117="","",IF(AND($C117&lt;=#REF!,$D117&gt;=#REF!),IF($G117="","x","y"),"")))</f>
        <v>#REF!</v>
      </c>
      <c r="BF117" s="270" t="e">
        <f>IF(#REF!="Yes","H",IF($B117="","",IF(AND($C117&lt;=#REF!,$D117&gt;=#REF!),IF($G117="","x","y"),"")))</f>
        <v>#REF!</v>
      </c>
      <c r="BG117" s="273" t="e">
        <f>IF(#REF!="Yes","H",IF($B117="","",IF(AND($C117&lt;=#REF!,$D117&gt;=#REF!),IF($G117="","x","y"),"")))</f>
        <v>#REF!</v>
      </c>
      <c r="BH117" s="274" t="e">
        <f>IF(#REF!="Yes","H",IF($B117="","",IF(AND($C117&lt;=#REF!,$D117&gt;=#REF!),IF($G117="","x","y"),"")))</f>
        <v>#REF!</v>
      </c>
      <c r="BI117" s="270" t="e">
        <f>IF(#REF!="Yes","H",IF($B117="","",IF(AND($C117&lt;=#REF!,$D117&gt;=#REF!),IF($G117="","x","y"),"")))</f>
        <v>#REF!</v>
      </c>
      <c r="BJ117" s="270" t="e">
        <f>IF(#REF!="Yes","H",IF($B117="","",IF(AND($C117&lt;=#REF!,$D117&gt;=#REF!),IF($G117="","x","y"),"")))</f>
        <v>#REF!</v>
      </c>
      <c r="BK117" s="270" t="e">
        <f>IF(#REF!="Yes","H",IF($B117="","",IF(AND($C117&lt;=#REF!,$D117&gt;=#REF!),IF($G117="","x","y"),"")))</f>
        <v>#REF!</v>
      </c>
      <c r="BL117" s="271" t="e">
        <f>IF(#REF!="Yes","H",IF($B117="","",IF(AND($C117&lt;=#REF!,$D117&gt;=#REF!),IF($G117="","x","y"),"")))</f>
        <v>#REF!</v>
      </c>
      <c r="BM117" s="272" t="e">
        <f>IF(#REF!="Yes","H",IF($B117="","",IF(AND($C117&lt;=#REF!,$D117&gt;=#REF!),IF($G117="","x","y"),"")))</f>
        <v>#REF!</v>
      </c>
      <c r="BN117" s="270" t="e">
        <f>IF(#REF!="Yes","H",IF($B117="","",IF(AND($C117&lt;=#REF!,$D117&gt;=#REF!),IF($G117="","x","y"),"")))</f>
        <v>#REF!</v>
      </c>
      <c r="BO117" s="270" t="e">
        <f>IF(#REF!="Yes","H",IF($B117="","",IF(AND($C117&lt;=#REF!,$D117&gt;=#REF!),IF($G117="","x","y"),"")))</f>
        <v>#REF!</v>
      </c>
      <c r="BP117" s="270" t="e">
        <f>IF(#REF!="Yes","H",IF($B117="","",IF(AND($C117&lt;=#REF!,$D117&gt;=#REF!),IF($G117="","x","y"),"")))</f>
        <v>#REF!</v>
      </c>
      <c r="BQ117" s="273" t="e">
        <f>IF(#REF!="Yes","H",IF($B117="","",IF(AND($C117&lt;=#REF!,$D117&gt;=#REF!),IF($G117="","x","y"),"")))</f>
        <v>#REF!</v>
      </c>
      <c r="BR117" s="274" t="e">
        <f>IF(#REF!="Yes","H",IF($B117="","",IF(AND($C117&lt;=#REF!,$D117&gt;=#REF!),IF($G117="","x","y"),"")))</f>
        <v>#REF!</v>
      </c>
      <c r="BS117" s="270" t="e">
        <f>IF(#REF!="Yes","H",IF($B117="","",IF(AND($C117&lt;=#REF!,$D117&gt;=#REF!),IF($G117="","x","y"),"")))</f>
        <v>#REF!</v>
      </c>
      <c r="BT117" s="270" t="e">
        <f>IF(#REF!="Yes","H",IF($B117="","",IF(AND($C117&lt;=#REF!,$D117&gt;=#REF!),IF($G117="","x","y"),"")))</f>
        <v>#REF!</v>
      </c>
      <c r="BU117" s="270" t="e">
        <f>IF(#REF!="Yes","H",IF($B117="","",IF(AND($C117&lt;=#REF!,$D117&gt;=#REF!),IF($G117="","x","y"),"")))</f>
        <v>#REF!</v>
      </c>
      <c r="BV117" s="271" t="e">
        <f>IF(#REF!="Yes","H",IF($B117="","",IF(AND($C117&lt;=#REF!,$D117&gt;=#REF!),IF($G117="","x","y"),"")))</f>
        <v>#REF!</v>
      </c>
      <c r="BW117" s="272" t="e">
        <f>IF(#REF!="Yes","H",IF($B117="","",IF(AND($C117&lt;=#REF!,$D117&gt;=#REF!),IF($G117="","x","y"),"")))</f>
        <v>#REF!</v>
      </c>
      <c r="BX117" s="270" t="e">
        <f>IF(#REF!="Yes","H",IF($B117="","",IF(AND($C117&lt;=#REF!,$D117&gt;=#REF!),IF($G117="","x","y"),"")))</f>
        <v>#REF!</v>
      </c>
      <c r="BY117" s="270" t="e">
        <f>IF(#REF!="Yes","H",IF($B117="","",IF(AND($C117&lt;=#REF!,$D117&gt;=#REF!),IF($G117="","x","y"),"")))</f>
        <v>#REF!</v>
      </c>
      <c r="BZ117" s="270" t="e">
        <f>IF(#REF!="Yes","H",IF($B117="","",IF(AND($C117&lt;=#REF!,$D117&gt;=#REF!),IF($G117="","x","y"),"")))</f>
        <v>#REF!</v>
      </c>
      <c r="CA117" s="273" t="e">
        <f>IF(#REF!="Yes","H",IF($B117="","",IF(AND($C117&lt;=#REF!,$D117&gt;=#REF!),IF($G117="","x","y"),"")))</f>
        <v>#REF!</v>
      </c>
    </row>
    <row r="118" spans="2:79" ht="15" customHeight="1">
      <c r="B118" s="145"/>
      <c r="C118" s="283"/>
      <c r="D118" s="284"/>
      <c r="E118" s="285"/>
      <c r="F118" s="209"/>
      <c r="G118" s="275"/>
      <c r="H118" s="209"/>
      <c r="I118" s="211"/>
      <c r="J118" s="269" t="e">
        <f>IF(#REF!="Yes","H",IF($B118="","",IF(AND($C118&lt;=#REF!,$D118&gt;=#REF!),IF($G118="","x","y"),"")))</f>
        <v>#REF!</v>
      </c>
      <c r="K118" s="270" t="e">
        <f>IF(#REF!="Yes","H",IF($B118="","",IF(AND($C118&lt;=#REF!,$D118&gt;=#REF!),IF($G118="","x","y"),"")))</f>
        <v>#REF!</v>
      </c>
      <c r="L118" s="270" t="e">
        <f>IF(#REF!="Yes","H",IF($B118="","",IF(AND($C118&lt;=#REF!,$D118&gt;=#REF!),IF($G118="","x","y"),"")))</f>
        <v>#REF!</v>
      </c>
      <c r="M118" s="270" t="e">
        <f>IF(#REF!="Yes","H",IF($B118="","",IF(AND($C118&lt;=#REF!,$D118&gt;=#REF!),IF($G118="","x","y"),"")))</f>
        <v>#REF!</v>
      </c>
      <c r="N118" s="271" t="e">
        <f>IF(#REF!="Yes","H",IF($B118="","",IF(AND($C118&lt;=#REF!,$D118&gt;=#REF!),IF($G118="","x","y"),"")))</f>
        <v>#REF!</v>
      </c>
      <c r="O118" s="272" t="e">
        <f>IF(#REF!="Yes","H",IF($B118="","",IF(AND($C118&lt;=#REF!,$D118&gt;=#REF!),IF($G118="","x","y"),"")))</f>
        <v>#REF!</v>
      </c>
      <c r="P118" s="270" t="e">
        <f>IF(#REF!="Yes","H",IF($B118="","",IF(AND($C118&lt;=#REF!,$D118&gt;=#REF!),IF($G118="","x","y"),"")))</f>
        <v>#REF!</v>
      </c>
      <c r="Q118" s="270" t="e">
        <f>IF(#REF!="Yes","H",IF($B118="","",IF(AND($C118&lt;=#REF!,$D118&gt;=#REF!),IF($G118="","x","y"),"")))</f>
        <v>#REF!</v>
      </c>
      <c r="R118" s="270" t="e">
        <f>IF(#REF!="Yes","H",IF($B118="","",IF(AND($C118&lt;=#REF!,$D118&gt;=#REF!),IF($G118="","x","y"),"")))</f>
        <v>#REF!</v>
      </c>
      <c r="S118" s="273" t="e">
        <f>IF(#REF!="Yes","H",IF($B118="","",IF(AND($C118&lt;=#REF!,$D118&gt;=#REF!),IF($G118="","x","y"),"")))</f>
        <v>#REF!</v>
      </c>
      <c r="T118" s="274" t="e">
        <f>IF(#REF!="Yes","H",IF($B118="","",IF(AND($C118&lt;=#REF!,$D118&gt;=#REF!),IF($G118="","x","y"),"")))</f>
        <v>#REF!</v>
      </c>
      <c r="U118" s="270" t="e">
        <f>IF(#REF!="Yes","H",IF($B118="","",IF(AND($C118&lt;=#REF!,$D118&gt;=#REF!),IF($G118="","x","y"),"")))</f>
        <v>#REF!</v>
      </c>
      <c r="V118" s="270" t="e">
        <f>IF(#REF!="Yes","H",IF($B118="","",IF(AND($C118&lt;=#REF!,$D118&gt;=#REF!),IF($G118="","x","y"),"")))</f>
        <v>#REF!</v>
      </c>
      <c r="W118" s="270" t="e">
        <f>IF(#REF!="Yes","H",IF($B118="","",IF(AND($C118&lt;=#REF!,$D118&gt;=#REF!),IF($G118="","x","y"),"")))</f>
        <v>#REF!</v>
      </c>
      <c r="X118" s="271" t="e">
        <f>IF(#REF!="Yes","H",IF($B118="","",IF(AND($C118&lt;=#REF!,$D118&gt;=#REF!),IF($G118="","x","y"),"")))</f>
        <v>#REF!</v>
      </c>
      <c r="Y118" s="272" t="e">
        <f>IF(#REF!="Yes","H",IF($B118="","",IF(AND($C118&lt;=#REF!,$D118&gt;=#REF!),IF($G118="","x","y"),"")))</f>
        <v>#REF!</v>
      </c>
      <c r="Z118" s="270" t="e">
        <f>IF(#REF!="Yes","H",IF($B118="","",IF(AND($C118&lt;=#REF!,$D118&gt;=#REF!),IF($G118="","x","y"),"")))</f>
        <v>#REF!</v>
      </c>
      <c r="AA118" s="270" t="e">
        <f>IF(#REF!="Yes","H",IF($B118="","",IF(AND($C118&lt;=#REF!,$D118&gt;=#REF!),IF($G118="","x","y"),"")))</f>
        <v>#REF!</v>
      </c>
      <c r="AB118" s="270" t="e">
        <f>IF(#REF!="Yes","H",IF($B118="","",IF(AND($C118&lt;=#REF!,$D118&gt;=#REF!),IF($G118="","x","y"),"")))</f>
        <v>#REF!</v>
      </c>
      <c r="AC118" s="273" t="e">
        <f>IF(#REF!="Yes","H",IF($B118="","",IF(AND($C118&lt;=#REF!,$D118&gt;=#REF!),IF($G118="","x","y"),"")))</f>
        <v>#REF!</v>
      </c>
      <c r="AD118" s="274" t="e">
        <f>IF(#REF!="Yes","H",IF($B118="","",IF(AND($C118&lt;=#REF!,$D118&gt;=#REF!),IF($G118="","x","y"),"")))</f>
        <v>#REF!</v>
      </c>
      <c r="AE118" s="270" t="e">
        <f>IF(#REF!="Yes","H",IF($B118="","",IF(AND($C118&lt;=#REF!,$D118&gt;=#REF!),IF($G118="","x","y"),"")))</f>
        <v>#REF!</v>
      </c>
      <c r="AF118" s="270" t="e">
        <f>IF(#REF!="Yes","H",IF($B118="","",IF(AND($C118&lt;=#REF!,$D118&gt;=#REF!),IF($G118="","x","y"),"")))</f>
        <v>#REF!</v>
      </c>
      <c r="AG118" s="270" t="e">
        <f>IF(#REF!="Yes","H",IF($B118="","",IF(AND($C118&lt;=#REF!,$D118&gt;=#REF!),IF($G118="","x","y"),"")))</f>
        <v>#REF!</v>
      </c>
      <c r="AH118" s="271" t="e">
        <f>IF(#REF!="Yes","H",IF($B118="","",IF(AND($C118&lt;=#REF!,$D118&gt;=#REF!),IF($G118="","x","y"),"")))</f>
        <v>#REF!</v>
      </c>
      <c r="AI118" s="272" t="e">
        <f>IF(#REF!="Yes","H",IF($B118="","",IF(AND($C118&lt;=#REF!,$D118&gt;=#REF!),IF($G118="","x","y"),"")))</f>
        <v>#REF!</v>
      </c>
      <c r="AJ118" s="270" t="e">
        <f>IF(#REF!="Yes","H",IF($B118="","",IF(AND($C118&lt;=#REF!,$D118&gt;=#REF!),IF($G118="","x","y"),"")))</f>
        <v>#REF!</v>
      </c>
      <c r="AK118" s="270" t="e">
        <f>IF(#REF!="Yes","H",IF($B118="","",IF(AND($C118&lt;=#REF!,$D118&gt;=#REF!),IF($G118="","x","y"),"")))</f>
        <v>#REF!</v>
      </c>
      <c r="AL118" s="270" t="e">
        <f>IF(#REF!="Yes","H",IF($B118="","",IF(AND($C118&lt;=#REF!,$D118&gt;=#REF!),IF($G118="","x","y"),"")))</f>
        <v>#REF!</v>
      </c>
      <c r="AM118" s="273" t="e">
        <f>IF(#REF!="Yes","H",IF($B118="","",IF(AND($C118&lt;=#REF!,$D118&gt;=#REF!),IF($G118="","x","y"),"")))</f>
        <v>#REF!</v>
      </c>
      <c r="AN118" s="274" t="e">
        <f>IF(#REF!="Yes","H",IF($B118="","",IF(AND($C118&lt;=#REF!,$D118&gt;=#REF!),IF($G118="","x","y"),"")))</f>
        <v>#REF!</v>
      </c>
      <c r="AO118" s="270" t="e">
        <f>IF(#REF!="Yes","H",IF($B118="","",IF(AND($C118&lt;=#REF!,$D118&gt;=#REF!),IF($G118="","x","y"),"")))</f>
        <v>#REF!</v>
      </c>
      <c r="AP118" s="270" t="e">
        <f>IF(#REF!="Yes","H",IF($B118="","",IF(AND($C118&lt;=#REF!,$D118&gt;=#REF!),IF($G118="","x","y"),"")))</f>
        <v>#REF!</v>
      </c>
      <c r="AQ118" s="270" t="e">
        <f>IF(#REF!="Yes","H",IF($B118="","",IF(AND($C118&lt;=#REF!,$D118&gt;=#REF!),IF($G118="","x","y"),"")))</f>
        <v>#REF!</v>
      </c>
      <c r="AR118" s="271" t="e">
        <f>IF(#REF!="Yes","H",IF($B118="","",IF(AND($C118&lt;=#REF!,$D118&gt;=#REF!),IF($G118="","x","y"),"")))</f>
        <v>#REF!</v>
      </c>
      <c r="AS118" s="272" t="e">
        <f>IF(#REF!="Yes","H",IF($B118="","",IF(AND($C118&lt;=#REF!,$D118&gt;=#REF!),IF($G118="","x","y"),"")))</f>
        <v>#REF!</v>
      </c>
      <c r="AT118" s="270" t="e">
        <f>IF(#REF!="Yes","H",IF($B118="","",IF(AND($C118&lt;=#REF!,$D118&gt;=#REF!),IF($G118="","x","y"),"")))</f>
        <v>#REF!</v>
      </c>
      <c r="AU118" s="270" t="e">
        <f>IF(#REF!="Yes","H",IF($B118="","",IF(AND($C118&lt;=#REF!,$D118&gt;=#REF!),IF($G118="","x","y"),"")))</f>
        <v>#REF!</v>
      </c>
      <c r="AV118" s="270" t="e">
        <f>IF(#REF!="Yes","H",IF($B118="","",IF(AND($C118&lt;=#REF!,$D118&gt;=#REF!),IF($G118="","x","y"),"")))</f>
        <v>#REF!</v>
      </c>
      <c r="AW118" s="273" t="e">
        <f>IF(#REF!="Yes","H",IF($B118="","",IF(AND($C118&lt;=#REF!,$D118&gt;=#REF!),IF($G118="","x","y"),"")))</f>
        <v>#REF!</v>
      </c>
      <c r="AX118" s="274" t="e">
        <f>IF(#REF!="Yes","H",IF($B118="","",IF(AND($C118&lt;=#REF!,$D118&gt;=#REF!),IF($G118="","x","y"),"")))</f>
        <v>#REF!</v>
      </c>
      <c r="AY118" s="270" t="e">
        <f>IF(#REF!="Yes","H",IF($B118="","",IF(AND($C118&lt;=#REF!,$D118&gt;=#REF!),IF($G118="","x","y"),"")))</f>
        <v>#REF!</v>
      </c>
      <c r="AZ118" s="270" t="e">
        <f>IF(#REF!="Yes","H",IF($B118="","",IF(AND($C118&lt;=#REF!,$D118&gt;=#REF!),IF($G118="","x","y"),"")))</f>
        <v>#REF!</v>
      </c>
      <c r="BA118" s="270" t="e">
        <f>IF(#REF!="Yes","H",IF($B118="","",IF(AND($C118&lt;=#REF!,$D118&gt;=#REF!),IF($G118="","x","y"),"")))</f>
        <v>#REF!</v>
      </c>
      <c r="BB118" s="271" t="e">
        <f>IF(#REF!="Yes","H",IF($B118="","",IF(AND($C118&lt;=#REF!,$D118&gt;=#REF!),IF($G118="","x","y"),"")))</f>
        <v>#REF!</v>
      </c>
      <c r="BC118" s="272" t="e">
        <f>IF(#REF!="Yes","H",IF($B118="","",IF(AND($C118&lt;=#REF!,$D118&gt;=#REF!),IF($G118="","x","y"),"")))</f>
        <v>#REF!</v>
      </c>
      <c r="BD118" s="270" t="e">
        <f>IF(#REF!="Yes","H",IF($B118="","",IF(AND($C118&lt;=#REF!,$D118&gt;=#REF!),IF($G118="","x","y"),"")))</f>
        <v>#REF!</v>
      </c>
      <c r="BE118" s="270" t="e">
        <f>IF(#REF!="Yes","H",IF($B118="","",IF(AND($C118&lt;=#REF!,$D118&gt;=#REF!),IF($G118="","x","y"),"")))</f>
        <v>#REF!</v>
      </c>
      <c r="BF118" s="270" t="e">
        <f>IF(#REF!="Yes","H",IF($B118="","",IF(AND($C118&lt;=#REF!,$D118&gt;=#REF!),IF($G118="","x","y"),"")))</f>
        <v>#REF!</v>
      </c>
      <c r="BG118" s="273" t="e">
        <f>IF(#REF!="Yes","H",IF($B118="","",IF(AND($C118&lt;=#REF!,$D118&gt;=#REF!),IF($G118="","x","y"),"")))</f>
        <v>#REF!</v>
      </c>
      <c r="BH118" s="274" t="e">
        <f>IF(#REF!="Yes","H",IF($B118="","",IF(AND($C118&lt;=#REF!,$D118&gt;=#REF!),IF($G118="","x","y"),"")))</f>
        <v>#REF!</v>
      </c>
      <c r="BI118" s="270" t="e">
        <f>IF(#REF!="Yes","H",IF($B118="","",IF(AND($C118&lt;=#REF!,$D118&gt;=#REF!),IF($G118="","x","y"),"")))</f>
        <v>#REF!</v>
      </c>
      <c r="BJ118" s="270" t="e">
        <f>IF(#REF!="Yes","H",IF($B118="","",IF(AND($C118&lt;=#REF!,$D118&gt;=#REF!),IF($G118="","x","y"),"")))</f>
        <v>#REF!</v>
      </c>
      <c r="BK118" s="270" t="e">
        <f>IF(#REF!="Yes","H",IF($B118="","",IF(AND($C118&lt;=#REF!,$D118&gt;=#REF!),IF($G118="","x","y"),"")))</f>
        <v>#REF!</v>
      </c>
      <c r="BL118" s="271" t="e">
        <f>IF(#REF!="Yes","H",IF($B118="","",IF(AND($C118&lt;=#REF!,$D118&gt;=#REF!),IF($G118="","x","y"),"")))</f>
        <v>#REF!</v>
      </c>
      <c r="BM118" s="272" t="e">
        <f>IF(#REF!="Yes","H",IF($B118="","",IF(AND($C118&lt;=#REF!,$D118&gt;=#REF!),IF($G118="","x","y"),"")))</f>
        <v>#REF!</v>
      </c>
      <c r="BN118" s="270" t="e">
        <f>IF(#REF!="Yes","H",IF($B118="","",IF(AND($C118&lt;=#REF!,$D118&gt;=#REF!),IF($G118="","x","y"),"")))</f>
        <v>#REF!</v>
      </c>
      <c r="BO118" s="270" t="e">
        <f>IF(#REF!="Yes","H",IF($B118="","",IF(AND($C118&lt;=#REF!,$D118&gt;=#REF!),IF($G118="","x","y"),"")))</f>
        <v>#REF!</v>
      </c>
      <c r="BP118" s="270" t="e">
        <f>IF(#REF!="Yes","H",IF($B118="","",IF(AND($C118&lt;=#REF!,$D118&gt;=#REF!),IF($G118="","x","y"),"")))</f>
        <v>#REF!</v>
      </c>
      <c r="BQ118" s="273" t="e">
        <f>IF(#REF!="Yes","H",IF($B118="","",IF(AND($C118&lt;=#REF!,$D118&gt;=#REF!),IF($G118="","x","y"),"")))</f>
        <v>#REF!</v>
      </c>
      <c r="BR118" s="274" t="e">
        <f>IF(#REF!="Yes","H",IF($B118="","",IF(AND($C118&lt;=#REF!,$D118&gt;=#REF!),IF($G118="","x","y"),"")))</f>
        <v>#REF!</v>
      </c>
      <c r="BS118" s="270" t="e">
        <f>IF(#REF!="Yes","H",IF($B118="","",IF(AND($C118&lt;=#REF!,$D118&gt;=#REF!),IF($G118="","x","y"),"")))</f>
        <v>#REF!</v>
      </c>
      <c r="BT118" s="270" t="e">
        <f>IF(#REF!="Yes","H",IF($B118="","",IF(AND($C118&lt;=#REF!,$D118&gt;=#REF!),IF($G118="","x","y"),"")))</f>
        <v>#REF!</v>
      </c>
      <c r="BU118" s="270" t="e">
        <f>IF(#REF!="Yes","H",IF($B118="","",IF(AND($C118&lt;=#REF!,$D118&gt;=#REF!),IF($G118="","x","y"),"")))</f>
        <v>#REF!</v>
      </c>
      <c r="BV118" s="271" t="e">
        <f>IF(#REF!="Yes","H",IF($B118="","",IF(AND($C118&lt;=#REF!,$D118&gt;=#REF!),IF($G118="","x","y"),"")))</f>
        <v>#REF!</v>
      </c>
      <c r="BW118" s="272" t="e">
        <f>IF(#REF!="Yes","H",IF($B118="","",IF(AND($C118&lt;=#REF!,$D118&gt;=#REF!),IF($G118="","x","y"),"")))</f>
        <v>#REF!</v>
      </c>
      <c r="BX118" s="270" t="e">
        <f>IF(#REF!="Yes","H",IF($B118="","",IF(AND($C118&lt;=#REF!,$D118&gt;=#REF!),IF($G118="","x","y"),"")))</f>
        <v>#REF!</v>
      </c>
      <c r="BY118" s="270" t="e">
        <f>IF(#REF!="Yes","H",IF($B118="","",IF(AND($C118&lt;=#REF!,$D118&gt;=#REF!),IF($G118="","x","y"),"")))</f>
        <v>#REF!</v>
      </c>
      <c r="BZ118" s="270" t="e">
        <f>IF(#REF!="Yes","H",IF($B118="","",IF(AND($C118&lt;=#REF!,$D118&gt;=#REF!),IF($G118="","x","y"),"")))</f>
        <v>#REF!</v>
      </c>
      <c r="CA118" s="273" t="e">
        <f>IF(#REF!="Yes","H",IF($B118="","",IF(AND($C118&lt;=#REF!,$D118&gt;=#REF!),IF($G118="","x","y"),"")))</f>
        <v>#REF!</v>
      </c>
    </row>
    <row r="119" spans="2:79" ht="15" customHeight="1">
      <c r="B119" s="145"/>
      <c r="C119" s="283"/>
      <c r="D119" s="284"/>
      <c r="E119" s="285"/>
      <c r="F119" s="209"/>
      <c r="G119" s="275"/>
      <c r="H119" s="209"/>
      <c r="I119" s="211"/>
      <c r="J119" s="269" t="e">
        <f>IF(#REF!="Yes","H",IF($B119="","",IF(AND($C119&lt;=#REF!,$D119&gt;=#REF!),IF($G119="","x","y"),"")))</f>
        <v>#REF!</v>
      </c>
      <c r="K119" s="270" t="e">
        <f>IF(#REF!="Yes","H",IF($B119="","",IF(AND($C119&lt;=#REF!,$D119&gt;=#REF!),IF($G119="","x","y"),"")))</f>
        <v>#REF!</v>
      </c>
      <c r="L119" s="270" t="e">
        <f>IF(#REF!="Yes","H",IF($B119="","",IF(AND($C119&lt;=#REF!,$D119&gt;=#REF!),IF($G119="","x","y"),"")))</f>
        <v>#REF!</v>
      </c>
      <c r="M119" s="270" t="e">
        <f>IF(#REF!="Yes","H",IF($B119="","",IF(AND($C119&lt;=#REF!,$D119&gt;=#REF!),IF($G119="","x","y"),"")))</f>
        <v>#REF!</v>
      </c>
      <c r="N119" s="271" t="e">
        <f>IF(#REF!="Yes","H",IF($B119="","",IF(AND($C119&lt;=#REF!,$D119&gt;=#REF!),IF($G119="","x","y"),"")))</f>
        <v>#REF!</v>
      </c>
      <c r="O119" s="272" t="e">
        <f>IF(#REF!="Yes","H",IF($B119="","",IF(AND($C119&lt;=#REF!,$D119&gt;=#REF!),IF($G119="","x","y"),"")))</f>
        <v>#REF!</v>
      </c>
      <c r="P119" s="270" t="e">
        <f>IF(#REF!="Yes","H",IF($B119="","",IF(AND($C119&lt;=#REF!,$D119&gt;=#REF!),IF($G119="","x","y"),"")))</f>
        <v>#REF!</v>
      </c>
      <c r="Q119" s="270" t="e">
        <f>IF(#REF!="Yes","H",IF($B119="","",IF(AND($C119&lt;=#REF!,$D119&gt;=#REF!),IF($G119="","x","y"),"")))</f>
        <v>#REF!</v>
      </c>
      <c r="R119" s="270" t="e">
        <f>IF(#REF!="Yes","H",IF($B119="","",IF(AND($C119&lt;=#REF!,$D119&gt;=#REF!),IF($G119="","x","y"),"")))</f>
        <v>#REF!</v>
      </c>
      <c r="S119" s="273" t="e">
        <f>IF(#REF!="Yes","H",IF($B119="","",IF(AND($C119&lt;=#REF!,$D119&gt;=#REF!),IF($G119="","x","y"),"")))</f>
        <v>#REF!</v>
      </c>
      <c r="T119" s="274" t="e">
        <f>IF(#REF!="Yes","H",IF($B119="","",IF(AND($C119&lt;=#REF!,$D119&gt;=#REF!),IF($G119="","x","y"),"")))</f>
        <v>#REF!</v>
      </c>
      <c r="U119" s="270" t="e">
        <f>IF(#REF!="Yes","H",IF($B119="","",IF(AND($C119&lt;=#REF!,$D119&gt;=#REF!),IF($G119="","x","y"),"")))</f>
        <v>#REF!</v>
      </c>
      <c r="V119" s="270" t="e">
        <f>IF(#REF!="Yes","H",IF($B119="","",IF(AND($C119&lt;=#REF!,$D119&gt;=#REF!),IF($G119="","x","y"),"")))</f>
        <v>#REF!</v>
      </c>
      <c r="W119" s="270" t="e">
        <f>IF(#REF!="Yes","H",IF($B119="","",IF(AND($C119&lt;=#REF!,$D119&gt;=#REF!),IF($G119="","x","y"),"")))</f>
        <v>#REF!</v>
      </c>
      <c r="X119" s="271" t="e">
        <f>IF(#REF!="Yes","H",IF($B119="","",IF(AND($C119&lt;=#REF!,$D119&gt;=#REF!),IF($G119="","x","y"),"")))</f>
        <v>#REF!</v>
      </c>
      <c r="Y119" s="272" t="e">
        <f>IF(#REF!="Yes","H",IF($B119="","",IF(AND($C119&lt;=#REF!,$D119&gt;=#REF!),IF($G119="","x","y"),"")))</f>
        <v>#REF!</v>
      </c>
      <c r="Z119" s="270" t="e">
        <f>IF(#REF!="Yes","H",IF($B119="","",IF(AND($C119&lt;=#REF!,$D119&gt;=#REF!),IF($G119="","x","y"),"")))</f>
        <v>#REF!</v>
      </c>
      <c r="AA119" s="270" t="e">
        <f>IF(#REF!="Yes","H",IF($B119="","",IF(AND($C119&lt;=#REF!,$D119&gt;=#REF!),IF($G119="","x","y"),"")))</f>
        <v>#REF!</v>
      </c>
      <c r="AB119" s="270" t="e">
        <f>IF(#REF!="Yes","H",IF($B119="","",IF(AND($C119&lt;=#REF!,$D119&gt;=#REF!),IF($G119="","x","y"),"")))</f>
        <v>#REF!</v>
      </c>
      <c r="AC119" s="273" t="e">
        <f>IF(#REF!="Yes","H",IF($B119="","",IF(AND($C119&lt;=#REF!,$D119&gt;=#REF!),IF($G119="","x","y"),"")))</f>
        <v>#REF!</v>
      </c>
      <c r="AD119" s="274" t="e">
        <f>IF(#REF!="Yes","H",IF($B119="","",IF(AND($C119&lt;=#REF!,$D119&gt;=#REF!),IF($G119="","x","y"),"")))</f>
        <v>#REF!</v>
      </c>
      <c r="AE119" s="270" t="e">
        <f>IF(#REF!="Yes","H",IF($B119="","",IF(AND($C119&lt;=#REF!,$D119&gt;=#REF!),IF($G119="","x","y"),"")))</f>
        <v>#REF!</v>
      </c>
      <c r="AF119" s="270" t="e">
        <f>IF(#REF!="Yes","H",IF($B119="","",IF(AND($C119&lt;=#REF!,$D119&gt;=#REF!),IF($G119="","x","y"),"")))</f>
        <v>#REF!</v>
      </c>
      <c r="AG119" s="270" t="e">
        <f>IF(#REF!="Yes","H",IF($B119="","",IF(AND($C119&lt;=#REF!,$D119&gt;=#REF!),IF($G119="","x","y"),"")))</f>
        <v>#REF!</v>
      </c>
      <c r="AH119" s="271" t="e">
        <f>IF(#REF!="Yes","H",IF($B119="","",IF(AND($C119&lt;=#REF!,$D119&gt;=#REF!),IF($G119="","x","y"),"")))</f>
        <v>#REF!</v>
      </c>
      <c r="AI119" s="272" t="e">
        <f>IF(#REF!="Yes","H",IF($B119="","",IF(AND($C119&lt;=#REF!,$D119&gt;=#REF!),IF($G119="","x","y"),"")))</f>
        <v>#REF!</v>
      </c>
      <c r="AJ119" s="270" t="e">
        <f>IF(#REF!="Yes","H",IF($B119="","",IF(AND($C119&lt;=#REF!,$D119&gt;=#REF!),IF($G119="","x","y"),"")))</f>
        <v>#REF!</v>
      </c>
      <c r="AK119" s="270" t="e">
        <f>IF(#REF!="Yes","H",IF($B119="","",IF(AND($C119&lt;=#REF!,$D119&gt;=#REF!),IF($G119="","x","y"),"")))</f>
        <v>#REF!</v>
      </c>
      <c r="AL119" s="270" t="e">
        <f>IF(#REF!="Yes","H",IF($B119="","",IF(AND($C119&lt;=#REF!,$D119&gt;=#REF!),IF($G119="","x","y"),"")))</f>
        <v>#REF!</v>
      </c>
      <c r="AM119" s="273" t="e">
        <f>IF(#REF!="Yes","H",IF($B119="","",IF(AND($C119&lt;=#REF!,$D119&gt;=#REF!),IF($G119="","x","y"),"")))</f>
        <v>#REF!</v>
      </c>
      <c r="AN119" s="274" t="e">
        <f>IF(#REF!="Yes","H",IF($B119="","",IF(AND($C119&lt;=#REF!,$D119&gt;=#REF!),IF($G119="","x","y"),"")))</f>
        <v>#REF!</v>
      </c>
      <c r="AO119" s="270" t="e">
        <f>IF(#REF!="Yes","H",IF($B119="","",IF(AND($C119&lt;=#REF!,$D119&gt;=#REF!),IF($G119="","x","y"),"")))</f>
        <v>#REF!</v>
      </c>
      <c r="AP119" s="270" t="e">
        <f>IF(#REF!="Yes","H",IF($B119="","",IF(AND($C119&lt;=#REF!,$D119&gt;=#REF!),IF($G119="","x","y"),"")))</f>
        <v>#REF!</v>
      </c>
      <c r="AQ119" s="270" t="e">
        <f>IF(#REF!="Yes","H",IF($B119="","",IF(AND($C119&lt;=#REF!,$D119&gt;=#REF!),IF($G119="","x","y"),"")))</f>
        <v>#REF!</v>
      </c>
      <c r="AR119" s="271" t="e">
        <f>IF(#REF!="Yes","H",IF($B119="","",IF(AND($C119&lt;=#REF!,$D119&gt;=#REF!),IF($G119="","x","y"),"")))</f>
        <v>#REF!</v>
      </c>
      <c r="AS119" s="272" t="e">
        <f>IF(#REF!="Yes","H",IF($B119="","",IF(AND($C119&lt;=#REF!,$D119&gt;=#REF!),IF($G119="","x","y"),"")))</f>
        <v>#REF!</v>
      </c>
      <c r="AT119" s="270" t="e">
        <f>IF(#REF!="Yes","H",IF($B119="","",IF(AND($C119&lt;=#REF!,$D119&gt;=#REF!),IF($G119="","x","y"),"")))</f>
        <v>#REF!</v>
      </c>
      <c r="AU119" s="270" t="e">
        <f>IF(#REF!="Yes","H",IF($B119="","",IF(AND($C119&lt;=#REF!,$D119&gt;=#REF!),IF($G119="","x","y"),"")))</f>
        <v>#REF!</v>
      </c>
      <c r="AV119" s="270" t="e">
        <f>IF(#REF!="Yes","H",IF($B119="","",IF(AND($C119&lt;=#REF!,$D119&gt;=#REF!),IF($G119="","x","y"),"")))</f>
        <v>#REF!</v>
      </c>
      <c r="AW119" s="273" t="e">
        <f>IF(#REF!="Yes","H",IF($B119="","",IF(AND($C119&lt;=#REF!,$D119&gt;=#REF!),IF($G119="","x","y"),"")))</f>
        <v>#REF!</v>
      </c>
      <c r="AX119" s="274" t="e">
        <f>IF(#REF!="Yes","H",IF($B119="","",IF(AND($C119&lt;=#REF!,$D119&gt;=#REF!),IF($G119="","x","y"),"")))</f>
        <v>#REF!</v>
      </c>
      <c r="AY119" s="270" t="e">
        <f>IF(#REF!="Yes","H",IF($B119="","",IF(AND($C119&lt;=#REF!,$D119&gt;=#REF!),IF($G119="","x","y"),"")))</f>
        <v>#REF!</v>
      </c>
      <c r="AZ119" s="270" t="e">
        <f>IF(#REF!="Yes","H",IF($B119="","",IF(AND($C119&lt;=#REF!,$D119&gt;=#REF!),IF($G119="","x","y"),"")))</f>
        <v>#REF!</v>
      </c>
      <c r="BA119" s="270" t="e">
        <f>IF(#REF!="Yes","H",IF($B119="","",IF(AND($C119&lt;=#REF!,$D119&gt;=#REF!),IF($G119="","x","y"),"")))</f>
        <v>#REF!</v>
      </c>
      <c r="BB119" s="271" t="e">
        <f>IF(#REF!="Yes","H",IF($B119="","",IF(AND($C119&lt;=#REF!,$D119&gt;=#REF!),IF($G119="","x","y"),"")))</f>
        <v>#REF!</v>
      </c>
      <c r="BC119" s="272" t="e">
        <f>IF(#REF!="Yes","H",IF($B119="","",IF(AND($C119&lt;=#REF!,$D119&gt;=#REF!),IF($G119="","x","y"),"")))</f>
        <v>#REF!</v>
      </c>
      <c r="BD119" s="270" t="e">
        <f>IF(#REF!="Yes","H",IF($B119="","",IF(AND($C119&lt;=#REF!,$D119&gt;=#REF!),IF($G119="","x","y"),"")))</f>
        <v>#REF!</v>
      </c>
      <c r="BE119" s="270" t="e">
        <f>IF(#REF!="Yes","H",IF($B119="","",IF(AND($C119&lt;=#REF!,$D119&gt;=#REF!),IF($G119="","x","y"),"")))</f>
        <v>#REF!</v>
      </c>
      <c r="BF119" s="270" t="e">
        <f>IF(#REF!="Yes","H",IF($B119="","",IF(AND($C119&lt;=#REF!,$D119&gt;=#REF!),IF($G119="","x","y"),"")))</f>
        <v>#REF!</v>
      </c>
      <c r="BG119" s="273" t="e">
        <f>IF(#REF!="Yes","H",IF($B119="","",IF(AND($C119&lt;=#REF!,$D119&gt;=#REF!),IF($G119="","x","y"),"")))</f>
        <v>#REF!</v>
      </c>
      <c r="BH119" s="274" t="e">
        <f>IF(#REF!="Yes","H",IF($B119="","",IF(AND($C119&lt;=#REF!,$D119&gt;=#REF!),IF($G119="","x","y"),"")))</f>
        <v>#REF!</v>
      </c>
      <c r="BI119" s="270" t="e">
        <f>IF(#REF!="Yes","H",IF($B119="","",IF(AND($C119&lt;=#REF!,$D119&gt;=#REF!),IF($G119="","x","y"),"")))</f>
        <v>#REF!</v>
      </c>
      <c r="BJ119" s="270" t="e">
        <f>IF(#REF!="Yes","H",IF($B119="","",IF(AND($C119&lt;=#REF!,$D119&gt;=#REF!),IF($G119="","x","y"),"")))</f>
        <v>#REF!</v>
      </c>
      <c r="BK119" s="270" t="e">
        <f>IF(#REF!="Yes","H",IF($B119="","",IF(AND($C119&lt;=#REF!,$D119&gt;=#REF!),IF($G119="","x","y"),"")))</f>
        <v>#REF!</v>
      </c>
      <c r="BL119" s="271" t="e">
        <f>IF(#REF!="Yes","H",IF($B119="","",IF(AND($C119&lt;=#REF!,$D119&gt;=#REF!),IF($G119="","x","y"),"")))</f>
        <v>#REF!</v>
      </c>
      <c r="BM119" s="272" t="e">
        <f>IF(#REF!="Yes","H",IF($B119="","",IF(AND($C119&lt;=#REF!,$D119&gt;=#REF!),IF($G119="","x","y"),"")))</f>
        <v>#REF!</v>
      </c>
      <c r="BN119" s="270" t="e">
        <f>IF(#REF!="Yes","H",IF($B119="","",IF(AND($C119&lt;=#REF!,$D119&gt;=#REF!),IF($G119="","x","y"),"")))</f>
        <v>#REF!</v>
      </c>
      <c r="BO119" s="270" t="e">
        <f>IF(#REF!="Yes","H",IF($B119="","",IF(AND($C119&lt;=#REF!,$D119&gt;=#REF!),IF($G119="","x","y"),"")))</f>
        <v>#REF!</v>
      </c>
      <c r="BP119" s="270" t="e">
        <f>IF(#REF!="Yes","H",IF($B119="","",IF(AND($C119&lt;=#REF!,$D119&gt;=#REF!),IF($G119="","x","y"),"")))</f>
        <v>#REF!</v>
      </c>
      <c r="BQ119" s="273" t="e">
        <f>IF(#REF!="Yes","H",IF($B119="","",IF(AND($C119&lt;=#REF!,$D119&gt;=#REF!),IF($G119="","x","y"),"")))</f>
        <v>#REF!</v>
      </c>
      <c r="BR119" s="274" t="e">
        <f>IF(#REF!="Yes","H",IF($B119="","",IF(AND($C119&lt;=#REF!,$D119&gt;=#REF!),IF($G119="","x","y"),"")))</f>
        <v>#REF!</v>
      </c>
      <c r="BS119" s="270" t="e">
        <f>IF(#REF!="Yes","H",IF($B119="","",IF(AND($C119&lt;=#REF!,$D119&gt;=#REF!),IF($G119="","x","y"),"")))</f>
        <v>#REF!</v>
      </c>
      <c r="BT119" s="270" t="e">
        <f>IF(#REF!="Yes","H",IF($B119="","",IF(AND($C119&lt;=#REF!,$D119&gt;=#REF!),IF($G119="","x","y"),"")))</f>
        <v>#REF!</v>
      </c>
      <c r="BU119" s="270" t="e">
        <f>IF(#REF!="Yes","H",IF($B119="","",IF(AND($C119&lt;=#REF!,$D119&gt;=#REF!),IF($G119="","x","y"),"")))</f>
        <v>#REF!</v>
      </c>
      <c r="BV119" s="271" t="e">
        <f>IF(#REF!="Yes","H",IF($B119="","",IF(AND($C119&lt;=#REF!,$D119&gt;=#REF!),IF($G119="","x","y"),"")))</f>
        <v>#REF!</v>
      </c>
      <c r="BW119" s="272" t="e">
        <f>IF(#REF!="Yes","H",IF($B119="","",IF(AND($C119&lt;=#REF!,$D119&gt;=#REF!),IF($G119="","x","y"),"")))</f>
        <v>#REF!</v>
      </c>
      <c r="BX119" s="270" t="e">
        <f>IF(#REF!="Yes","H",IF($B119="","",IF(AND($C119&lt;=#REF!,$D119&gt;=#REF!),IF($G119="","x","y"),"")))</f>
        <v>#REF!</v>
      </c>
      <c r="BY119" s="270" t="e">
        <f>IF(#REF!="Yes","H",IF($B119="","",IF(AND($C119&lt;=#REF!,$D119&gt;=#REF!),IF($G119="","x","y"),"")))</f>
        <v>#REF!</v>
      </c>
      <c r="BZ119" s="270" t="e">
        <f>IF(#REF!="Yes","H",IF($B119="","",IF(AND($C119&lt;=#REF!,$D119&gt;=#REF!),IF($G119="","x","y"),"")))</f>
        <v>#REF!</v>
      </c>
      <c r="CA119" s="273" t="e">
        <f>IF(#REF!="Yes","H",IF($B119="","",IF(AND($C119&lt;=#REF!,$D119&gt;=#REF!),IF($G119="","x","y"),"")))</f>
        <v>#REF!</v>
      </c>
    </row>
    <row r="120" spans="2:79" ht="15" customHeight="1">
      <c r="B120" s="145"/>
      <c r="C120" s="283"/>
      <c r="D120" s="284"/>
      <c r="E120" s="285"/>
      <c r="F120" s="209"/>
      <c r="G120" s="275"/>
      <c r="H120" s="209"/>
      <c r="I120" s="211"/>
      <c r="J120" s="269" t="e">
        <f>IF(#REF!="Yes","H",IF($B120="","",IF(AND($C120&lt;=#REF!,$D120&gt;=#REF!),IF($G120="","x","y"),"")))</f>
        <v>#REF!</v>
      </c>
      <c r="K120" s="270" t="e">
        <f>IF(#REF!="Yes","H",IF($B120="","",IF(AND($C120&lt;=#REF!,$D120&gt;=#REF!),IF($G120="","x","y"),"")))</f>
        <v>#REF!</v>
      </c>
      <c r="L120" s="270" t="e">
        <f>IF(#REF!="Yes","H",IF($B120="","",IF(AND($C120&lt;=#REF!,$D120&gt;=#REF!),IF($G120="","x","y"),"")))</f>
        <v>#REF!</v>
      </c>
      <c r="M120" s="270" t="e">
        <f>IF(#REF!="Yes","H",IF($B120="","",IF(AND($C120&lt;=#REF!,$D120&gt;=#REF!),IF($G120="","x","y"),"")))</f>
        <v>#REF!</v>
      </c>
      <c r="N120" s="271" t="e">
        <f>IF(#REF!="Yes","H",IF($B120="","",IF(AND($C120&lt;=#REF!,$D120&gt;=#REF!),IF($G120="","x","y"),"")))</f>
        <v>#REF!</v>
      </c>
      <c r="O120" s="272" t="e">
        <f>IF(#REF!="Yes","H",IF($B120="","",IF(AND($C120&lt;=#REF!,$D120&gt;=#REF!),IF($G120="","x","y"),"")))</f>
        <v>#REF!</v>
      </c>
      <c r="P120" s="270" t="e">
        <f>IF(#REF!="Yes","H",IF($B120="","",IF(AND($C120&lt;=#REF!,$D120&gt;=#REF!),IF($G120="","x","y"),"")))</f>
        <v>#REF!</v>
      </c>
      <c r="Q120" s="270" t="e">
        <f>IF(#REF!="Yes","H",IF($B120="","",IF(AND($C120&lt;=#REF!,$D120&gt;=#REF!),IF($G120="","x","y"),"")))</f>
        <v>#REF!</v>
      </c>
      <c r="R120" s="270" t="e">
        <f>IF(#REF!="Yes","H",IF($B120="","",IF(AND($C120&lt;=#REF!,$D120&gt;=#REF!),IF($G120="","x","y"),"")))</f>
        <v>#REF!</v>
      </c>
      <c r="S120" s="273" t="e">
        <f>IF(#REF!="Yes","H",IF($B120="","",IF(AND($C120&lt;=#REF!,$D120&gt;=#REF!),IF($G120="","x","y"),"")))</f>
        <v>#REF!</v>
      </c>
      <c r="T120" s="274" t="e">
        <f>IF(#REF!="Yes","H",IF($B120="","",IF(AND($C120&lt;=#REF!,$D120&gt;=#REF!),IF($G120="","x","y"),"")))</f>
        <v>#REF!</v>
      </c>
      <c r="U120" s="270" t="e">
        <f>IF(#REF!="Yes","H",IF($B120="","",IF(AND($C120&lt;=#REF!,$D120&gt;=#REF!),IF($G120="","x","y"),"")))</f>
        <v>#REF!</v>
      </c>
      <c r="V120" s="270" t="e">
        <f>IF(#REF!="Yes","H",IF($B120="","",IF(AND($C120&lt;=#REF!,$D120&gt;=#REF!),IF($G120="","x","y"),"")))</f>
        <v>#REF!</v>
      </c>
      <c r="W120" s="270" t="e">
        <f>IF(#REF!="Yes","H",IF($B120="","",IF(AND($C120&lt;=#REF!,$D120&gt;=#REF!),IF($G120="","x","y"),"")))</f>
        <v>#REF!</v>
      </c>
      <c r="X120" s="271" t="e">
        <f>IF(#REF!="Yes","H",IF($B120="","",IF(AND($C120&lt;=#REF!,$D120&gt;=#REF!),IF($G120="","x","y"),"")))</f>
        <v>#REF!</v>
      </c>
      <c r="Y120" s="272" t="e">
        <f>IF(#REF!="Yes","H",IF($B120="","",IF(AND($C120&lt;=#REF!,$D120&gt;=#REF!),IF($G120="","x","y"),"")))</f>
        <v>#REF!</v>
      </c>
      <c r="Z120" s="270" t="e">
        <f>IF(#REF!="Yes","H",IF($B120="","",IF(AND($C120&lt;=#REF!,$D120&gt;=#REF!),IF($G120="","x","y"),"")))</f>
        <v>#REF!</v>
      </c>
      <c r="AA120" s="270" t="e">
        <f>IF(#REF!="Yes","H",IF($B120="","",IF(AND($C120&lt;=#REF!,$D120&gt;=#REF!),IF($G120="","x","y"),"")))</f>
        <v>#REF!</v>
      </c>
      <c r="AB120" s="270" t="e">
        <f>IF(#REF!="Yes","H",IF($B120="","",IF(AND($C120&lt;=#REF!,$D120&gt;=#REF!),IF($G120="","x","y"),"")))</f>
        <v>#REF!</v>
      </c>
      <c r="AC120" s="273" t="e">
        <f>IF(#REF!="Yes","H",IF($B120="","",IF(AND($C120&lt;=#REF!,$D120&gt;=#REF!),IF($G120="","x","y"),"")))</f>
        <v>#REF!</v>
      </c>
      <c r="AD120" s="274" t="e">
        <f>IF(#REF!="Yes","H",IF($B120="","",IF(AND($C120&lt;=#REF!,$D120&gt;=#REF!),IF($G120="","x","y"),"")))</f>
        <v>#REF!</v>
      </c>
      <c r="AE120" s="270" t="e">
        <f>IF(#REF!="Yes","H",IF($B120="","",IF(AND($C120&lt;=#REF!,$D120&gt;=#REF!),IF($G120="","x","y"),"")))</f>
        <v>#REF!</v>
      </c>
      <c r="AF120" s="270" t="e">
        <f>IF(#REF!="Yes","H",IF($B120="","",IF(AND($C120&lt;=#REF!,$D120&gt;=#REF!),IF($G120="","x","y"),"")))</f>
        <v>#REF!</v>
      </c>
      <c r="AG120" s="270" t="e">
        <f>IF(#REF!="Yes","H",IF($B120="","",IF(AND($C120&lt;=#REF!,$D120&gt;=#REF!),IF($G120="","x","y"),"")))</f>
        <v>#REF!</v>
      </c>
      <c r="AH120" s="271" t="e">
        <f>IF(#REF!="Yes","H",IF($B120="","",IF(AND($C120&lt;=#REF!,$D120&gt;=#REF!),IF($G120="","x","y"),"")))</f>
        <v>#REF!</v>
      </c>
      <c r="AI120" s="272" t="e">
        <f>IF(#REF!="Yes","H",IF($B120="","",IF(AND($C120&lt;=#REF!,$D120&gt;=#REF!),IF($G120="","x","y"),"")))</f>
        <v>#REF!</v>
      </c>
      <c r="AJ120" s="270" t="e">
        <f>IF(#REF!="Yes","H",IF($B120="","",IF(AND($C120&lt;=#REF!,$D120&gt;=#REF!),IF($G120="","x","y"),"")))</f>
        <v>#REF!</v>
      </c>
      <c r="AK120" s="270" t="e">
        <f>IF(#REF!="Yes","H",IF($B120="","",IF(AND($C120&lt;=#REF!,$D120&gt;=#REF!),IF($G120="","x","y"),"")))</f>
        <v>#REF!</v>
      </c>
      <c r="AL120" s="270" t="e">
        <f>IF(#REF!="Yes","H",IF($B120="","",IF(AND($C120&lt;=#REF!,$D120&gt;=#REF!),IF($G120="","x","y"),"")))</f>
        <v>#REF!</v>
      </c>
      <c r="AM120" s="273" t="e">
        <f>IF(#REF!="Yes","H",IF($B120="","",IF(AND($C120&lt;=#REF!,$D120&gt;=#REF!),IF($G120="","x","y"),"")))</f>
        <v>#REF!</v>
      </c>
      <c r="AN120" s="274" t="e">
        <f>IF(#REF!="Yes","H",IF($B120="","",IF(AND($C120&lt;=#REF!,$D120&gt;=#REF!),IF($G120="","x","y"),"")))</f>
        <v>#REF!</v>
      </c>
      <c r="AO120" s="270" t="e">
        <f>IF(#REF!="Yes","H",IF($B120="","",IF(AND($C120&lt;=#REF!,$D120&gt;=#REF!),IF($G120="","x","y"),"")))</f>
        <v>#REF!</v>
      </c>
      <c r="AP120" s="270" t="e">
        <f>IF(#REF!="Yes","H",IF($B120="","",IF(AND($C120&lt;=#REF!,$D120&gt;=#REF!),IF($G120="","x","y"),"")))</f>
        <v>#REF!</v>
      </c>
      <c r="AQ120" s="270" t="e">
        <f>IF(#REF!="Yes","H",IF($B120="","",IF(AND($C120&lt;=#REF!,$D120&gt;=#REF!),IF($G120="","x","y"),"")))</f>
        <v>#REF!</v>
      </c>
      <c r="AR120" s="271" t="e">
        <f>IF(#REF!="Yes","H",IF($B120="","",IF(AND($C120&lt;=#REF!,$D120&gt;=#REF!),IF($G120="","x","y"),"")))</f>
        <v>#REF!</v>
      </c>
      <c r="AS120" s="272" t="e">
        <f>IF(#REF!="Yes","H",IF($B120="","",IF(AND($C120&lt;=#REF!,$D120&gt;=#REF!),IF($G120="","x","y"),"")))</f>
        <v>#REF!</v>
      </c>
      <c r="AT120" s="270" t="e">
        <f>IF(#REF!="Yes","H",IF($B120="","",IF(AND($C120&lt;=#REF!,$D120&gt;=#REF!),IF($G120="","x","y"),"")))</f>
        <v>#REF!</v>
      </c>
      <c r="AU120" s="270" t="e">
        <f>IF(#REF!="Yes","H",IF($B120="","",IF(AND($C120&lt;=#REF!,$D120&gt;=#REF!),IF($G120="","x","y"),"")))</f>
        <v>#REF!</v>
      </c>
      <c r="AV120" s="270" t="e">
        <f>IF(#REF!="Yes","H",IF($B120="","",IF(AND($C120&lt;=#REF!,$D120&gt;=#REF!),IF($G120="","x","y"),"")))</f>
        <v>#REF!</v>
      </c>
      <c r="AW120" s="273" t="e">
        <f>IF(#REF!="Yes","H",IF($B120="","",IF(AND($C120&lt;=#REF!,$D120&gt;=#REF!),IF($G120="","x","y"),"")))</f>
        <v>#REF!</v>
      </c>
      <c r="AX120" s="274" t="e">
        <f>IF(#REF!="Yes","H",IF($B120="","",IF(AND($C120&lt;=#REF!,$D120&gt;=#REF!),IF($G120="","x","y"),"")))</f>
        <v>#REF!</v>
      </c>
      <c r="AY120" s="270" t="e">
        <f>IF(#REF!="Yes","H",IF($B120="","",IF(AND($C120&lt;=#REF!,$D120&gt;=#REF!),IF($G120="","x","y"),"")))</f>
        <v>#REF!</v>
      </c>
      <c r="AZ120" s="270" t="e">
        <f>IF(#REF!="Yes","H",IF($B120="","",IF(AND($C120&lt;=#REF!,$D120&gt;=#REF!),IF($G120="","x","y"),"")))</f>
        <v>#REF!</v>
      </c>
      <c r="BA120" s="270" t="e">
        <f>IF(#REF!="Yes","H",IF($B120="","",IF(AND($C120&lt;=#REF!,$D120&gt;=#REF!),IF($G120="","x","y"),"")))</f>
        <v>#REF!</v>
      </c>
      <c r="BB120" s="271" t="e">
        <f>IF(#REF!="Yes","H",IF($B120="","",IF(AND($C120&lt;=#REF!,$D120&gt;=#REF!),IF($G120="","x","y"),"")))</f>
        <v>#REF!</v>
      </c>
      <c r="BC120" s="272" t="e">
        <f>IF(#REF!="Yes","H",IF($B120="","",IF(AND($C120&lt;=#REF!,$D120&gt;=#REF!),IF($G120="","x","y"),"")))</f>
        <v>#REF!</v>
      </c>
      <c r="BD120" s="270" t="e">
        <f>IF(#REF!="Yes","H",IF($B120="","",IF(AND($C120&lt;=#REF!,$D120&gt;=#REF!),IF($G120="","x","y"),"")))</f>
        <v>#REF!</v>
      </c>
      <c r="BE120" s="270" t="e">
        <f>IF(#REF!="Yes","H",IF($B120="","",IF(AND($C120&lt;=#REF!,$D120&gt;=#REF!),IF($G120="","x","y"),"")))</f>
        <v>#REF!</v>
      </c>
      <c r="BF120" s="270" t="e">
        <f>IF(#REF!="Yes","H",IF($B120="","",IF(AND($C120&lt;=#REF!,$D120&gt;=#REF!),IF($G120="","x","y"),"")))</f>
        <v>#REF!</v>
      </c>
      <c r="BG120" s="273" t="e">
        <f>IF(#REF!="Yes","H",IF($B120="","",IF(AND($C120&lt;=#REF!,$D120&gt;=#REF!),IF($G120="","x","y"),"")))</f>
        <v>#REF!</v>
      </c>
      <c r="BH120" s="274" t="e">
        <f>IF(#REF!="Yes","H",IF($B120="","",IF(AND($C120&lt;=#REF!,$D120&gt;=#REF!),IF($G120="","x","y"),"")))</f>
        <v>#REF!</v>
      </c>
      <c r="BI120" s="270" t="e">
        <f>IF(#REF!="Yes","H",IF($B120="","",IF(AND($C120&lt;=#REF!,$D120&gt;=#REF!),IF($G120="","x","y"),"")))</f>
        <v>#REF!</v>
      </c>
      <c r="BJ120" s="270" t="e">
        <f>IF(#REF!="Yes","H",IF($B120="","",IF(AND($C120&lt;=#REF!,$D120&gt;=#REF!),IF($G120="","x","y"),"")))</f>
        <v>#REF!</v>
      </c>
      <c r="BK120" s="270" t="e">
        <f>IF(#REF!="Yes","H",IF($B120="","",IF(AND($C120&lt;=#REF!,$D120&gt;=#REF!),IF($G120="","x","y"),"")))</f>
        <v>#REF!</v>
      </c>
      <c r="BL120" s="271" t="e">
        <f>IF(#REF!="Yes","H",IF($B120="","",IF(AND($C120&lt;=#REF!,$D120&gt;=#REF!),IF($G120="","x","y"),"")))</f>
        <v>#REF!</v>
      </c>
      <c r="BM120" s="272" t="e">
        <f>IF(#REF!="Yes","H",IF($B120="","",IF(AND($C120&lt;=#REF!,$D120&gt;=#REF!),IF($G120="","x","y"),"")))</f>
        <v>#REF!</v>
      </c>
      <c r="BN120" s="270" t="e">
        <f>IF(#REF!="Yes","H",IF($B120="","",IF(AND($C120&lt;=#REF!,$D120&gt;=#REF!),IF($G120="","x","y"),"")))</f>
        <v>#REF!</v>
      </c>
      <c r="BO120" s="270" t="e">
        <f>IF(#REF!="Yes","H",IF($B120="","",IF(AND($C120&lt;=#REF!,$D120&gt;=#REF!),IF($G120="","x","y"),"")))</f>
        <v>#REF!</v>
      </c>
      <c r="BP120" s="270" t="e">
        <f>IF(#REF!="Yes","H",IF($B120="","",IF(AND($C120&lt;=#REF!,$D120&gt;=#REF!),IF($G120="","x","y"),"")))</f>
        <v>#REF!</v>
      </c>
      <c r="BQ120" s="273" t="e">
        <f>IF(#REF!="Yes","H",IF($B120="","",IF(AND($C120&lt;=#REF!,$D120&gt;=#REF!),IF($G120="","x","y"),"")))</f>
        <v>#REF!</v>
      </c>
      <c r="BR120" s="274" t="e">
        <f>IF(#REF!="Yes","H",IF($B120="","",IF(AND($C120&lt;=#REF!,$D120&gt;=#REF!),IF($G120="","x","y"),"")))</f>
        <v>#REF!</v>
      </c>
      <c r="BS120" s="270" t="e">
        <f>IF(#REF!="Yes","H",IF($B120="","",IF(AND($C120&lt;=#REF!,$D120&gt;=#REF!),IF($G120="","x","y"),"")))</f>
        <v>#REF!</v>
      </c>
      <c r="BT120" s="270" t="e">
        <f>IF(#REF!="Yes","H",IF($B120="","",IF(AND($C120&lt;=#REF!,$D120&gt;=#REF!),IF($G120="","x","y"),"")))</f>
        <v>#REF!</v>
      </c>
      <c r="BU120" s="270" t="e">
        <f>IF(#REF!="Yes","H",IF($B120="","",IF(AND($C120&lt;=#REF!,$D120&gt;=#REF!),IF($G120="","x","y"),"")))</f>
        <v>#REF!</v>
      </c>
      <c r="BV120" s="271" t="e">
        <f>IF(#REF!="Yes","H",IF($B120="","",IF(AND($C120&lt;=#REF!,$D120&gt;=#REF!),IF($G120="","x","y"),"")))</f>
        <v>#REF!</v>
      </c>
      <c r="BW120" s="272" t="e">
        <f>IF(#REF!="Yes","H",IF($B120="","",IF(AND($C120&lt;=#REF!,$D120&gt;=#REF!),IF($G120="","x","y"),"")))</f>
        <v>#REF!</v>
      </c>
      <c r="BX120" s="270" t="e">
        <f>IF(#REF!="Yes","H",IF($B120="","",IF(AND($C120&lt;=#REF!,$D120&gt;=#REF!),IF($G120="","x","y"),"")))</f>
        <v>#REF!</v>
      </c>
      <c r="BY120" s="270" t="e">
        <f>IF(#REF!="Yes","H",IF($B120="","",IF(AND($C120&lt;=#REF!,$D120&gt;=#REF!),IF($G120="","x","y"),"")))</f>
        <v>#REF!</v>
      </c>
      <c r="BZ120" s="270" t="e">
        <f>IF(#REF!="Yes","H",IF($B120="","",IF(AND($C120&lt;=#REF!,$D120&gt;=#REF!),IF($G120="","x","y"),"")))</f>
        <v>#REF!</v>
      </c>
      <c r="CA120" s="273" t="e">
        <f>IF(#REF!="Yes","H",IF($B120="","",IF(AND($C120&lt;=#REF!,$D120&gt;=#REF!),IF($G120="","x","y"),"")))</f>
        <v>#REF!</v>
      </c>
    </row>
    <row r="121" spans="2:79" ht="15" customHeight="1" thickBot="1">
      <c r="B121" s="146"/>
      <c r="C121" s="147"/>
      <c r="D121" s="148"/>
      <c r="E121" s="148"/>
      <c r="F121" s="149"/>
      <c r="G121" s="150"/>
      <c r="H121" s="209"/>
      <c r="I121" s="151"/>
      <c r="J121" s="286" t="e">
        <f>IF(#REF!="Yes","H",IF($B121="","",IF(AND($C121&lt;=#REF!,$D121&gt;=#REF!),IF($G121="","x","y"),"")))</f>
        <v>#REF!</v>
      </c>
      <c r="K121" s="287" t="e">
        <f>IF(#REF!="Yes","H",IF($B121="","",IF(AND($C121&lt;=#REF!,$D121&gt;=#REF!),IF($G121="","x","y"),"")))</f>
        <v>#REF!</v>
      </c>
      <c r="L121" s="287" t="e">
        <f>IF(#REF!="Yes","H",IF($B121="","",IF(AND($C121&lt;=#REF!,$D121&gt;=#REF!),IF($G121="","x","y"),"")))</f>
        <v>#REF!</v>
      </c>
      <c r="M121" s="287" t="e">
        <f>IF(#REF!="Yes","H",IF($B121="","",IF(AND($C121&lt;=#REF!,$D121&gt;=#REF!),IF($G121="","x","y"),"")))</f>
        <v>#REF!</v>
      </c>
      <c r="N121" s="288" t="e">
        <f>IF(#REF!="Yes","H",IF($B121="","",IF(AND($C121&lt;=#REF!,$D121&gt;=#REF!),IF($G121="","x","y"),"")))</f>
        <v>#REF!</v>
      </c>
      <c r="O121" s="289" t="e">
        <f>IF(#REF!="Yes","H",IF($B121="","",IF(AND($C121&lt;=#REF!,$D121&gt;=#REF!),IF($G121="","x","y"),"")))</f>
        <v>#REF!</v>
      </c>
      <c r="P121" s="287" t="e">
        <f>IF(#REF!="Yes","H",IF($B121="","",IF(AND($C121&lt;=#REF!,$D121&gt;=#REF!),IF($G121="","x","y"),"")))</f>
        <v>#REF!</v>
      </c>
      <c r="Q121" s="287" t="e">
        <f>IF(#REF!="Yes","H",IF($B121="","",IF(AND($C121&lt;=#REF!,$D121&gt;=#REF!),IF($G121="","x","y"),"")))</f>
        <v>#REF!</v>
      </c>
      <c r="R121" s="287" t="e">
        <f>IF(#REF!="Yes","H",IF($B121="","",IF(AND($C121&lt;=#REF!,$D121&gt;=#REF!),IF($G121="","x","y"),"")))</f>
        <v>#REF!</v>
      </c>
      <c r="S121" s="290" t="e">
        <f>IF(#REF!="Yes","H",IF($B121="","",IF(AND($C121&lt;=#REF!,$D121&gt;=#REF!),IF($G121="","x","y"),"")))</f>
        <v>#REF!</v>
      </c>
      <c r="T121" s="291" t="e">
        <f>IF(#REF!="Yes","H",IF($B121="","",IF(AND($C121&lt;=#REF!,$D121&gt;=#REF!),IF($G121="","x","y"),"")))</f>
        <v>#REF!</v>
      </c>
      <c r="U121" s="287" t="e">
        <f>IF(#REF!="Yes","H",IF($B121="","",IF(AND($C121&lt;=#REF!,$D121&gt;=#REF!),IF($G121="","x","y"),"")))</f>
        <v>#REF!</v>
      </c>
      <c r="V121" s="287" t="e">
        <f>IF(#REF!="Yes","H",IF($B121="","",IF(AND($C121&lt;=#REF!,$D121&gt;=#REF!),IF($G121="","x","y"),"")))</f>
        <v>#REF!</v>
      </c>
      <c r="W121" s="287" t="e">
        <f>IF(#REF!="Yes","H",IF($B121="","",IF(AND($C121&lt;=#REF!,$D121&gt;=#REF!),IF($G121="","x","y"),"")))</f>
        <v>#REF!</v>
      </c>
      <c r="X121" s="288" t="e">
        <f>IF(#REF!="Yes","H",IF($B121="","",IF(AND($C121&lt;=#REF!,$D121&gt;=#REF!),IF($G121="","x","y"),"")))</f>
        <v>#REF!</v>
      </c>
      <c r="Y121" s="289" t="e">
        <f>IF(#REF!="Yes","H",IF($B121="","",IF(AND($C121&lt;=#REF!,$D121&gt;=#REF!),IF($G121="","x","y"),"")))</f>
        <v>#REF!</v>
      </c>
      <c r="Z121" s="287" t="e">
        <f>IF(#REF!="Yes","H",IF($B121="","",IF(AND($C121&lt;=#REF!,$D121&gt;=#REF!),IF($G121="","x","y"),"")))</f>
        <v>#REF!</v>
      </c>
      <c r="AA121" s="287" t="e">
        <f>IF(#REF!="Yes","H",IF($B121="","",IF(AND($C121&lt;=#REF!,$D121&gt;=#REF!),IF($G121="","x","y"),"")))</f>
        <v>#REF!</v>
      </c>
      <c r="AB121" s="287" t="e">
        <f>IF(#REF!="Yes","H",IF($B121="","",IF(AND($C121&lt;=#REF!,$D121&gt;=#REF!),IF($G121="","x","y"),"")))</f>
        <v>#REF!</v>
      </c>
      <c r="AC121" s="290" t="e">
        <f>IF(#REF!="Yes","H",IF($B121="","",IF(AND($C121&lt;=#REF!,$D121&gt;=#REF!),IF($G121="","x","y"),"")))</f>
        <v>#REF!</v>
      </c>
      <c r="AD121" s="291" t="e">
        <f>IF(#REF!="Yes","H",IF($B121="","",IF(AND($C121&lt;=#REF!,$D121&gt;=#REF!),IF($G121="","x","y"),"")))</f>
        <v>#REF!</v>
      </c>
      <c r="AE121" s="287" t="e">
        <f>IF(#REF!="Yes","H",IF($B121="","",IF(AND($C121&lt;=#REF!,$D121&gt;=#REF!),IF($G121="","x","y"),"")))</f>
        <v>#REF!</v>
      </c>
      <c r="AF121" s="287" t="e">
        <f>IF(#REF!="Yes","H",IF($B121="","",IF(AND($C121&lt;=#REF!,$D121&gt;=#REF!),IF($G121="","x","y"),"")))</f>
        <v>#REF!</v>
      </c>
      <c r="AG121" s="287" t="e">
        <f>IF(#REF!="Yes","H",IF($B121="","",IF(AND($C121&lt;=#REF!,$D121&gt;=#REF!),IF($G121="","x","y"),"")))</f>
        <v>#REF!</v>
      </c>
      <c r="AH121" s="288" t="e">
        <f>IF(#REF!="Yes","H",IF($B121="","",IF(AND($C121&lt;=#REF!,$D121&gt;=#REF!),IF($G121="","x","y"),"")))</f>
        <v>#REF!</v>
      </c>
      <c r="AI121" s="289" t="e">
        <f>IF(#REF!="Yes","H",IF($B121="","",IF(AND($C121&lt;=#REF!,$D121&gt;=#REF!),IF($G121="","x","y"),"")))</f>
        <v>#REF!</v>
      </c>
      <c r="AJ121" s="287" t="e">
        <f>IF(#REF!="Yes","H",IF($B121="","",IF(AND($C121&lt;=#REF!,$D121&gt;=#REF!),IF($G121="","x","y"),"")))</f>
        <v>#REF!</v>
      </c>
      <c r="AK121" s="287" t="e">
        <f>IF(#REF!="Yes","H",IF($B121="","",IF(AND($C121&lt;=#REF!,$D121&gt;=#REF!),IF($G121="","x","y"),"")))</f>
        <v>#REF!</v>
      </c>
      <c r="AL121" s="287" t="e">
        <f>IF(#REF!="Yes","H",IF($B121="","",IF(AND($C121&lt;=#REF!,$D121&gt;=#REF!),IF($G121="","x","y"),"")))</f>
        <v>#REF!</v>
      </c>
      <c r="AM121" s="290" t="e">
        <f>IF(#REF!="Yes","H",IF($B121="","",IF(AND($C121&lt;=#REF!,$D121&gt;=#REF!),IF($G121="","x","y"),"")))</f>
        <v>#REF!</v>
      </c>
      <c r="AN121" s="291" t="e">
        <f>IF(#REF!="Yes","H",IF($B121="","",IF(AND($C121&lt;=#REF!,$D121&gt;=#REF!),IF($G121="","x","y"),"")))</f>
        <v>#REF!</v>
      </c>
      <c r="AO121" s="287" t="e">
        <f>IF(#REF!="Yes","H",IF($B121="","",IF(AND($C121&lt;=#REF!,$D121&gt;=#REF!),IF($G121="","x","y"),"")))</f>
        <v>#REF!</v>
      </c>
      <c r="AP121" s="287" t="e">
        <f>IF(#REF!="Yes","H",IF($B121="","",IF(AND($C121&lt;=#REF!,$D121&gt;=#REF!),IF($G121="","x","y"),"")))</f>
        <v>#REF!</v>
      </c>
      <c r="AQ121" s="287" t="e">
        <f>IF(#REF!="Yes","H",IF($B121="","",IF(AND($C121&lt;=#REF!,$D121&gt;=#REF!),IF($G121="","x","y"),"")))</f>
        <v>#REF!</v>
      </c>
      <c r="AR121" s="288" t="e">
        <f>IF(#REF!="Yes","H",IF($B121="","",IF(AND($C121&lt;=#REF!,$D121&gt;=#REF!),IF($G121="","x","y"),"")))</f>
        <v>#REF!</v>
      </c>
      <c r="AS121" s="289" t="e">
        <f>IF(#REF!="Yes","H",IF($B121="","",IF(AND($C121&lt;=#REF!,$D121&gt;=#REF!),IF($G121="","x","y"),"")))</f>
        <v>#REF!</v>
      </c>
      <c r="AT121" s="287" t="e">
        <f>IF(#REF!="Yes","H",IF($B121="","",IF(AND($C121&lt;=#REF!,$D121&gt;=#REF!),IF($G121="","x","y"),"")))</f>
        <v>#REF!</v>
      </c>
      <c r="AU121" s="287" t="e">
        <f>IF(#REF!="Yes","H",IF($B121="","",IF(AND($C121&lt;=#REF!,$D121&gt;=#REF!),IF($G121="","x","y"),"")))</f>
        <v>#REF!</v>
      </c>
      <c r="AV121" s="287" t="e">
        <f>IF(#REF!="Yes","H",IF($B121="","",IF(AND($C121&lt;=#REF!,$D121&gt;=#REF!),IF($G121="","x","y"),"")))</f>
        <v>#REF!</v>
      </c>
      <c r="AW121" s="290" t="e">
        <f>IF(#REF!="Yes","H",IF($B121="","",IF(AND($C121&lt;=#REF!,$D121&gt;=#REF!),IF($G121="","x","y"),"")))</f>
        <v>#REF!</v>
      </c>
      <c r="AX121" s="291" t="e">
        <f>IF(#REF!="Yes","H",IF($B121="","",IF(AND($C121&lt;=#REF!,$D121&gt;=#REF!),IF($G121="","x","y"),"")))</f>
        <v>#REF!</v>
      </c>
      <c r="AY121" s="287" t="e">
        <f>IF(#REF!="Yes","H",IF($B121="","",IF(AND($C121&lt;=#REF!,$D121&gt;=#REF!),IF($G121="","x","y"),"")))</f>
        <v>#REF!</v>
      </c>
      <c r="AZ121" s="287" t="e">
        <f>IF(#REF!="Yes","H",IF($B121="","",IF(AND($C121&lt;=#REF!,$D121&gt;=#REF!),IF($G121="","x","y"),"")))</f>
        <v>#REF!</v>
      </c>
      <c r="BA121" s="287" t="e">
        <f>IF(#REF!="Yes","H",IF($B121="","",IF(AND($C121&lt;=#REF!,$D121&gt;=#REF!),IF($G121="","x","y"),"")))</f>
        <v>#REF!</v>
      </c>
      <c r="BB121" s="288" t="e">
        <f>IF(#REF!="Yes","H",IF($B121="","",IF(AND($C121&lt;=#REF!,$D121&gt;=#REF!),IF($G121="","x","y"),"")))</f>
        <v>#REF!</v>
      </c>
      <c r="BC121" s="289" t="e">
        <f>IF(#REF!="Yes","H",IF($B121="","",IF(AND($C121&lt;=#REF!,$D121&gt;=#REF!),IF($G121="","x","y"),"")))</f>
        <v>#REF!</v>
      </c>
      <c r="BD121" s="287" t="e">
        <f>IF(#REF!="Yes","H",IF($B121="","",IF(AND($C121&lt;=#REF!,$D121&gt;=#REF!),IF($G121="","x","y"),"")))</f>
        <v>#REF!</v>
      </c>
      <c r="BE121" s="287" t="e">
        <f>IF(#REF!="Yes","H",IF($B121="","",IF(AND($C121&lt;=#REF!,$D121&gt;=#REF!),IF($G121="","x","y"),"")))</f>
        <v>#REF!</v>
      </c>
      <c r="BF121" s="287" t="e">
        <f>IF(#REF!="Yes","H",IF($B121="","",IF(AND($C121&lt;=#REF!,$D121&gt;=#REF!),IF($G121="","x","y"),"")))</f>
        <v>#REF!</v>
      </c>
      <c r="BG121" s="290" t="e">
        <f>IF(#REF!="Yes","H",IF($B121="","",IF(AND($C121&lt;=#REF!,$D121&gt;=#REF!),IF($G121="","x","y"),"")))</f>
        <v>#REF!</v>
      </c>
      <c r="BH121" s="291" t="e">
        <f>IF(#REF!="Yes","H",IF($B121="","",IF(AND($C121&lt;=#REF!,$D121&gt;=#REF!),IF($G121="","x","y"),"")))</f>
        <v>#REF!</v>
      </c>
      <c r="BI121" s="287" t="e">
        <f>IF(#REF!="Yes","H",IF($B121="","",IF(AND($C121&lt;=#REF!,$D121&gt;=#REF!),IF($G121="","x","y"),"")))</f>
        <v>#REF!</v>
      </c>
      <c r="BJ121" s="287" t="e">
        <f>IF(#REF!="Yes","H",IF($B121="","",IF(AND($C121&lt;=#REF!,$D121&gt;=#REF!),IF($G121="","x","y"),"")))</f>
        <v>#REF!</v>
      </c>
      <c r="BK121" s="287" t="e">
        <f>IF(#REF!="Yes","H",IF($B121="","",IF(AND($C121&lt;=#REF!,$D121&gt;=#REF!),IF($G121="","x","y"),"")))</f>
        <v>#REF!</v>
      </c>
      <c r="BL121" s="288" t="e">
        <f>IF(#REF!="Yes","H",IF($B121="","",IF(AND($C121&lt;=#REF!,$D121&gt;=#REF!),IF($G121="","x","y"),"")))</f>
        <v>#REF!</v>
      </c>
      <c r="BM121" s="289" t="e">
        <f>IF(#REF!="Yes","H",IF($B121="","",IF(AND($C121&lt;=#REF!,$D121&gt;=#REF!),IF($G121="","x","y"),"")))</f>
        <v>#REF!</v>
      </c>
      <c r="BN121" s="287" t="e">
        <f>IF(#REF!="Yes","H",IF($B121="","",IF(AND($C121&lt;=#REF!,$D121&gt;=#REF!),IF($G121="","x","y"),"")))</f>
        <v>#REF!</v>
      </c>
      <c r="BO121" s="287" t="e">
        <f>IF(#REF!="Yes","H",IF($B121="","",IF(AND($C121&lt;=#REF!,$D121&gt;=#REF!),IF($G121="","x","y"),"")))</f>
        <v>#REF!</v>
      </c>
      <c r="BP121" s="287" t="e">
        <f>IF(#REF!="Yes","H",IF($B121="","",IF(AND($C121&lt;=#REF!,$D121&gt;=#REF!),IF($G121="","x","y"),"")))</f>
        <v>#REF!</v>
      </c>
      <c r="BQ121" s="290" t="e">
        <f>IF(#REF!="Yes","H",IF($B121="","",IF(AND($C121&lt;=#REF!,$D121&gt;=#REF!),IF($G121="","x","y"),"")))</f>
        <v>#REF!</v>
      </c>
      <c r="BR121" s="291" t="e">
        <f>IF(#REF!="Yes","H",IF($B121="","",IF(AND($C121&lt;=#REF!,$D121&gt;=#REF!),IF($G121="","x","y"),"")))</f>
        <v>#REF!</v>
      </c>
      <c r="BS121" s="287" t="e">
        <f>IF(#REF!="Yes","H",IF($B121="","",IF(AND($C121&lt;=#REF!,$D121&gt;=#REF!),IF($G121="","x","y"),"")))</f>
        <v>#REF!</v>
      </c>
      <c r="BT121" s="287" t="e">
        <f>IF(#REF!="Yes","H",IF($B121="","",IF(AND($C121&lt;=#REF!,$D121&gt;=#REF!),IF($G121="","x","y"),"")))</f>
        <v>#REF!</v>
      </c>
      <c r="BU121" s="287" t="e">
        <f>IF(#REF!="Yes","H",IF($B121="","",IF(AND($C121&lt;=#REF!,$D121&gt;=#REF!),IF($G121="","x","y"),"")))</f>
        <v>#REF!</v>
      </c>
      <c r="BV121" s="288" t="e">
        <f>IF(#REF!="Yes","H",IF($B121="","",IF(AND($C121&lt;=#REF!,$D121&gt;=#REF!),IF($G121="","x","y"),"")))</f>
        <v>#REF!</v>
      </c>
      <c r="BW121" s="289" t="e">
        <f>IF(#REF!="Yes","H",IF($B121="","",IF(AND($C121&lt;=#REF!,$D121&gt;=#REF!),IF($G121="","x","y"),"")))</f>
        <v>#REF!</v>
      </c>
      <c r="BX121" s="287" t="e">
        <f>IF(#REF!="Yes","H",IF($B121="","",IF(AND($C121&lt;=#REF!,$D121&gt;=#REF!),IF($G121="","x","y"),"")))</f>
        <v>#REF!</v>
      </c>
      <c r="BY121" s="287" t="e">
        <f>IF(#REF!="Yes","H",IF($B121="","",IF(AND($C121&lt;=#REF!,$D121&gt;=#REF!),IF($G121="","x","y"),"")))</f>
        <v>#REF!</v>
      </c>
      <c r="BZ121" s="287" t="e">
        <f>IF(#REF!="Yes","H",IF($B121="","",IF(AND($C121&lt;=#REF!,$D121&gt;=#REF!),IF($G121="","x","y"),"")))</f>
        <v>#REF!</v>
      </c>
      <c r="CA121" s="290" t="e">
        <f>IF(#REF!="Yes","H",IF($B121="","",IF(AND($C121&lt;=#REF!,$D121&gt;=#REF!),IF($G121="","x","y"),"")))</f>
        <v>#REF!</v>
      </c>
    </row>
    <row r="122" spans="2:79">
      <c r="B122" s="152"/>
      <c r="H122" s="292"/>
    </row>
    <row r="123" spans="2:79">
      <c r="B123" s="152"/>
      <c r="H123" s="292"/>
    </row>
    <row r="124" spans="2:79">
      <c r="B124" s="152"/>
      <c r="H124" s="292"/>
    </row>
    <row r="125" spans="2:79">
      <c r="B125" s="152"/>
      <c r="H125" s="292"/>
    </row>
    <row r="126" spans="2:79">
      <c r="B126" s="152"/>
      <c r="H126" s="292"/>
    </row>
    <row r="127" spans="2:79">
      <c r="B127" s="152"/>
      <c r="H127" s="292"/>
    </row>
    <row r="128" spans="2:79">
      <c r="B128" s="152"/>
      <c r="H128" s="292"/>
    </row>
    <row r="129" spans="2:2">
      <c r="B129" s="152"/>
    </row>
    <row r="130" spans="2:2">
      <c r="B130" s="152"/>
    </row>
    <row r="131" spans="2:2">
      <c r="B131" s="152"/>
    </row>
    <row r="132" spans="2:2">
      <c r="B132" s="152"/>
    </row>
    <row r="133" spans="2:2">
      <c r="B133" s="152"/>
    </row>
    <row r="134" spans="2:2">
      <c r="B134" s="152"/>
    </row>
    <row r="135" spans="2:2">
      <c r="B135" s="152"/>
    </row>
    <row r="136" spans="2:2">
      <c r="B136" s="152"/>
    </row>
    <row r="137" spans="2:2">
      <c r="B137" s="152"/>
    </row>
    <row r="138" spans="2:2">
      <c r="B138" s="152"/>
    </row>
    <row r="139" spans="2:2">
      <c r="B139" s="152"/>
    </row>
    <row r="140" spans="2:2">
      <c r="B140" s="152"/>
    </row>
    <row r="141" spans="2:2">
      <c r="B141" s="152"/>
    </row>
    <row r="142" spans="2:2">
      <c r="B142" s="152"/>
    </row>
    <row r="143" spans="2:2">
      <c r="B143" s="152"/>
    </row>
    <row r="144" spans="2:2">
      <c r="B144" s="152"/>
    </row>
    <row r="145" spans="2:2">
      <c r="B145" s="152"/>
    </row>
    <row r="146" spans="2:2">
      <c r="B146" s="152"/>
    </row>
    <row r="147" spans="2:2">
      <c r="B147" s="152"/>
    </row>
    <row r="148" spans="2:2">
      <c r="B148" s="152"/>
    </row>
    <row r="149" spans="2:2">
      <c r="B149" s="152"/>
    </row>
    <row r="150" spans="2:2">
      <c r="B150" s="152"/>
    </row>
    <row r="151" spans="2:2">
      <c r="B151" s="152"/>
    </row>
    <row r="152" spans="2:2">
      <c r="B152" s="152"/>
    </row>
    <row r="153" spans="2:2">
      <c r="B153" s="152"/>
    </row>
    <row r="154" spans="2:2">
      <c r="B154" s="152"/>
    </row>
    <row r="155" spans="2:2">
      <c r="B155" s="152"/>
    </row>
    <row r="156" spans="2:2">
      <c r="B156" s="152"/>
    </row>
    <row r="157" spans="2:2">
      <c r="B157" s="152"/>
    </row>
    <row r="158" spans="2:2">
      <c r="B158" s="152"/>
    </row>
    <row r="159" spans="2:2">
      <c r="B159" s="152"/>
    </row>
    <row r="160" spans="2:2">
      <c r="B160" s="152"/>
    </row>
    <row r="161" spans="2:2">
      <c r="B161" s="152"/>
    </row>
    <row r="162" spans="2:2">
      <c r="B162" s="152"/>
    </row>
    <row r="163" spans="2:2">
      <c r="B163" s="152"/>
    </row>
    <row r="164" spans="2:2">
      <c r="B164" s="152"/>
    </row>
    <row r="165" spans="2:2">
      <c r="B165" s="152"/>
    </row>
    <row r="166" spans="2:2">
      <c r="B166" s="152"/>
    </row>
    <row r="167" spans="2:2">
      <c r="B167" s="152"/>
    </row>
    <row r="168" spans="2:2">
      <c r="B168" s="152"/>
    </row>
    <row r="169" spans="2:2">
      <c r="B169" s="152"/>
    </row>
    <row r="170" spans="2:2">
      <c r="B170" s="152"/>
    </row>
    <row r="171" spans="2:2">
      <c r="B171" s="152"/>
    </row>
    <row r="172" spans="2:2">
      <c r="B172" s="152"/>
    </row>
    <row r="173" spans="2:2">
      <c r="B173" s="152"/>
    </row>
    <row r="174" spans="2:2">
      <c r="B174" s="152"/>
    </row>
    <row r="175" spans="2:2">
      <c r="B175" s="152"/>
    </row>
    <row r="176" spans="2:2">
      <c r="B176" s="152"/>
    </row>
    <row r="177" spans="2:2">
      <c r="B177" s="152"/>
    </row>
    <row r="178" spans="2:2">
      <c r="B178" s="152"/>
    </row>
    <row r="179" spans="2:2">
      <c r="B179" s="152"/>
    </row>
    <row r="180" spans="2:2">
      <c r="B180" s="152"/>
    </row>
    <row r="181" spans="2:2">
      <c r="B181" s="152"/>
    </row>
    <row r="182" spans="2:2">
      <c r="B182" s="152"/>
    </row>
    <row r="183" spans="2:2">
      <c r="B183" s="152"/>
    </row>
    <row r="184" spans="2:2">
      <c r="B184" s="152"/>
    </row>
    <row r="185" spans="2:2">
      <c r="B185" s="152"/>
    </row>
    <row r="186" spans="2:2">
      <c r="B186" s="152"/>
    </row>
    <row r="187" spans="2:2">
      <c r="B187" s="152"/>
    </row>
    <row r="188" spans="2:2">
      <c r="B188" s="152"/>
    </row>
    <row r="189" spans="2:2">
      <c r="B189" s="152"/>
    </row>
    <row r="190" spans="2:2">
      <c r="B190" s="152"/>
    </row>
    <row r="191" spans="2:2">
      <c r="B191" s="152"/>
    </row>
    <row r="192" spans="2:2">
      <c r="B192" s="152"/>
    </row>
    <row r="193" spans="2:2">
      <c r="B193" s="152"/>
    </row>
    <row r="194" spans="2:2">
      <c r="B194" s="152"/>
    </row>
    <row r="195" spans="2:2">
      <c r="B195" s="152"/>
    </row>
    <row r="196" spans="2:2">
      <c r="B196" s="152"/>
    </row>
    <row r="197" spans="2:2">
      <c r="B197" s="152"/>
    </row>
    <row r="198" spans="2:2">
      <c r="B198" s="152"/>
    </row>
    <row r="199" spans="2:2">
      <c r="B199" s="152"/>
    </row>
    <row r="200" spans="2:2">
      <c r="B200" s="152"/>
    </row>
    <row r="201" spans="2:2">
      <c r="B201" s="152"/>
    </row>
    <row r="202" spans="2:2">
      <c r="B202" s="152"/>
    </row>
    <row r="203" spans="2:2">
      <c r="B203" s="152"/>
    </row>
    <row r="204" spans="2:2">
      <c r="B204" s="152"/>
    </row>
    <row r="205" spans="2:2">
      <c r="B205" s="152"/>
    </row>
    <row r="206" spans="2:2">
      <c r="B206" s="152"/>
    </row>
    <row r="207" spans="2:2">
      <c r="B207" s="152"/>
    </row>
    <row r="208" spans="2:2">
      <c r="B208" s="152"/>
    </row>
    <row r="209" spans="2:2">
      <c r="B209" s="152"/>
    </row>
    <row r="210" spans="2:2">
      <c r="B210" s="152"/>
    </row>
    <row r="211" spans="2:2">
      <c r="B211" s="152"/>
    </row>
  </sheetData>
  <sheetProtection formatCells="0" formatColumns="0" formatRows="0"/>
  <protectedRanges>
    <protectedRange sqref="I17:I121" name="Comments"/>
    <protectedRange sqref="B112:I121 I20 H17:I19 F17:G20 G21:I21 G24:I111 H22:I23" name="Task Names and Dates"/>
    <protectedRange sqref="B101:B108" name="Task Names and Dates_1_2"/>
    <protectedRange sqref="B91:B94" name="Task Names and Dates_1_3"/>
    <protectedRange sqref="B95:B99 B90" name="Task Names and Dates_1_6_2"/>
    <protectedRange sqref="C90:D99" name="Task Names and Dates_1_1_2"/>
    <protectedRange sqref="C100:D100" name="Task Names and Dates_1_1_7_1_1"/>
    <protectedRange sqref="E51 E85:E89 E27:E32" name="Task Names and Dates_1_1"/>
    <protectedRange sqref="C51:D51 C85:D88" name="Task Names and Dates_1_1_1"/>
    <protectedRange sqref="C27:D32 C89:D89" name="Task Names and Dates_1_1_7_1"/>
    <protectedRange sqref="B17:B18" name="Task Names and Dates_1_4_1"/>
    <protectedRange sqref="C17:D20" name="Task Names and Dates_1_1_3_1"/>
    <protectedRange sqref="E17:E21" name="Task Names and Dates_1_5_1"/>
    <protectedRange sqref="C22:C24 C21:D21" name="Task Names and Dates_1_1_3_2"/>
    <protectedRange sqref="D22:D24 C25:D26" name="Task Names and Dates_1_1_1_2_1"/>
    <protectedRange sqref="E22:E26" name="Task Names and Dates_1_7_1"/>
    <protectedRange sqref="C33:D36" name="Task Names and Dates_1_1_3_3"/>
    <protectedRange sqref="E33:E37" name="Task Names and Dates_1_8_1"/>
    <protectedRange sqref="E44:E48" name="Task Names and Dates_1_14"/>
    <protectedRange sqref="C37:D50" name="Task Names and Dates_1_1_3_4"/>
    <protectedRange sqref="B37" name="Task Names and Dates_1_6_3_1"/>
    <protectedRange sqref="E38:E40" name="Task Names and Dates_1_9_1"/>
    <protectedRange sqref="E41:E43" name="Task Names and Dates_1_10_1"/>
    <protectedRange sqref="E49" name="Task Names and Dates_1_11_1"/>
    <protectedRange sqref="E50" name="Task Names and Dates_1_12_1"/>
    <protectedRange sqref="E52" name="Task Names and Dates_1_15"/>
    <protectedRange sqref="B54 B63 B81" name="Task Names and Dates_1_4_4"/>
    <protectedRange sqref="C52:D52" name="Task Names and Dates_1_1_3_5"/>
    <protectedRange sqref="B72" name="Task Names and Dates_1_6_3_2"/>
    <protectedRange sqref="C53:D84" name="Task Names and Dates_1_1_3_5_1"/>
    <protectedRange sqref="E53:E84" name="Task Names and Dates_1_13_1_1"/>
    <protectedRange sqref="B22 B35" name="Task Names and Dates_1"/>
    <protectedRange sqref="B19:B21" name="Task Names and Dates_1_4_1_1"/>
    <protectedRange sqref="B36 B23:B34" name="Task Names and Dates_1_4_2"/>
    <protectedRange sqref="B38:B40 B43 B46 B49" name="Task Names and Dates_1_4_2_3"/>
    <protectedRange sqref="B50:B53" name="Task Names and Dates_1_4_4_1"/>
    <protectedRange sqref="B41:B42 B44:B45 B47:B48" name="Task Names and Dates_1_6_3_2_1"/>
    <protectedRange sqref="B55:B62" name="Task Names and Dates_1_4_4_2"/>
    <protectedRange sqref="B64:B71" name="Task Names and Dates_1_4_4_3"/>
    <protectedRange sqref="B73:B80" name="Task Names and Dates_1_4_4_4"/>
    <protectedRange sqref="B82:B89" name="Task Names and Dates_1_4_4_5"/>
  </protectedRanges>
  <mergeCells count="45">
    <mergeCell ref="J8:Z8"/>
    <mergeCell ref="O2:Z2"/>
    <mergeCell ref="J4:Z4"/>
    <mergeCell ref="K5:Z5"/>
    <mergeCell ref="K6:Z6"/>
    <mergeCell ref="K7:Z7"/>
    <mergeCell ref="K9:Z9"/>
    <mergeCell ref="K10:Z10"/>
    <mergeCell ref="B12:I13"/>
    <mergeCell ref="J12:N13"/>
    <mergeCell ref="O12:S13"/>
    <mergeCell ref="T12:X13"/>
    <mergeCell ref="Y12:AC13"/>
    <mergeCell ref="G14:G16"/>
    <mergeCell ref="AD12:AH13"/>
    <mergeCell ref="AI12:AM13"/>
    <mergeCell ref="AN12:AR13"/>
    <mergeCell ref="AS12:AW13"/>
    <mergeCell ref="AD14:AH14"/>
    <mergeCell ref="I14:I16"/>
    <mergeCell ref="J14:N14"/>
    <mergeCell ref="O14:S14"/>
    <mergeCell ref="T14:X14"/>
    <mergeCell ref="Y14:AC14"/>
    <mergeCell ref="H14:H16"/>
    <mergeCell ref="B14:B16"/>
    <mergeCell ref="C14:C16"/>
    <mergeCell ref="D14:D16"/>
    <mergeCell ref="E14:E16"/>
    <mergeCell ref="F14:F16"/>
    <mergeCell ref="BH12:BL13"/>
    <mergeCell ref="BM12:BQ13"/>
    <mergeCell ref="BR12:BV13"/>
    <mergeCell ref="BW12:CA13"/>
    <mergeCell ref="AX12:BB13"/>
    <mergeCell ref="BC12:BG13"/>
    <mergeCell ref="BM14:BQ14"/>
    <mergeCell ref="BR14:BV14"/>
    <mergeCell ref="BW14:CA14"/>
    <mergeCell ref="AI14:AM14"/>
    <mergeCell ref="AN14:AR14"/>
    <mergeCell ref="AS14:AW14"/>
    <mergeCell ref="AX14:BB14"/>
    <mergeCell ref="BC14:BG14"/>
    <mergeCell ref="BH14:BL14"/>
  </mergeCells>
  <conditionalFormatting sqref="A17:A18 F17:H19 F17:G20">
    <cfRule type="cellIs" dxfId="23" priority="1" stopIfTrue="1" operator="equal">
      <formula>"x"</formula>
    </cfRule>
    <cfRule type="cellIs" dxfId="22" priority="2" stopIfTrue="1" operator="equal">
      <formula>"H"</formula>
    </cfRule>
  </conditionalFormatting>
  <conditionalFormatting sqref="G1:H1 G3:H11 G14:G16 G21:H21 H22:H23 G24:H65547">
    <cfRule type="cellIs" dxfId="21" priority="5" stopIfTrue="1" operator="greaterThan">
      <formula>$D1</formula>
    </cfRule>
    <cfRule type="cellIs" dxfId="20" priority="6" stopIfTrue="1" operator="equal">
      <formula>$D1</formula>
    </cfRule>
    <cfRule type="cellIs" dxfId="19" priority="7" stopIfTrue="1" operator="between">
      <formula>0.1</formula>
      <formula>$D1-0.000001</formula>
    </cfRule>
  </conditionalFormatting>
  <conditionalFormatting sqref="J17:CA121">
    <cfRule type="cellIs" dxfId="18" priority="9" stopIfTrue="1" operator="equal">
      <formula>"x"</formula>
    </cfRule>
    <cfRule type="cellIs" dxfId="17" priority="10" stopIfTrue="1" operator="equal">
      <formula>"y"</formula>
    </cfRule>
  </conditionalFormatting>
  <conditionalFormatting sqref="J17:GO121">
    <cfRule type="cellIs" dxfId="16" priority="3" stopIfTrue="1" operator="equal">
      <formula>"H"</formula>
    </cfRule>
  </conditionalFormatting>
  <conditionalFormatting sqref="CB17:GO121">
    <cfRule type="cellIs" dxfId="15" priority="4" stopIfTrue="1" operator="equal">
      <formula>"z"</formula>
    </cfRule>
  </conditionalFormatting>
  <dataValidations count="3">
    <dataValidation type="list" allowBlank="1" showInputMessage="1" showErrorMessage="1" errorTitle="Must use drop down menu." error="The name must be selected from the drop down menu, otherwise reporting errors will occur. To add additional names or groups to the drop down menu, enter new items on Tab 1 in the project team table." sqref="E112:E120" xr:uid="{00000000-0002-0000-0500-000000000000}">
      <formula1>Team</formula1>
    </dataValidation>
    <dataValidation type="date" operator="greaterThanOrEqual" allowBlank="1" showInputMessage="1" showErrorMessage="1" errorTitle="Incorrect Date" error="The Estimated Completion Date must be equal to or later than than the Estimated Start Date." sqref="E121 D112:D121 G27:I34" xr:uid="{00000000-0002-0000-0500-000001000000}">
      <formula1>$C27</formula1>
    </dataValidation>
    <dataValidation type="list" allowBlank="1" showInputMessage="1" showErrorMessage="1" sqref="E22:E88" xr:uid="{00000000-0002-0000-0500-000002000000}">
      <formula1>Team</formula1>
    </dataValidation>
  </dataValidations>
  <hyperlinks>
    <hyperlink ref="O2:Z2" location="Index!A1" display="Return to the Index" xr:uid="{00000000-0004-0000-0500-000000000000}"/>
  </hyperlinks>
  <pageMargins left="0.27" right="0.23" top="0.45" bottom="1" header="0.39" footer="0.5"/>
  <pageSetup scale="28"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90" zoomScaleNormal="90" workbookViewId="0">
      <selection activeCell="C7" sqref="C7"/>
    </sheetView>
  </sheetViews>
  <sheetFormatPr defaultColWidth="8.88671875" defaultRowHeight="17.399999999999999"/>
  <cols>
    <col min="1" max="1" width="3" style="121" bestFit="1" customWidth="1"/>
    <col min="2" max="2" width="14" style="121" bestFit="1" customWidth="1"/>
    <col min="3" max="3" width="42.88671875" style="122" customWidth="1"/>
    <col min="4" max="4" width="28.88671875" style="121" bestFit="1" customWidth="1"/>
    <col min="5" max="5" width="12.109375" style="121" bestFit="1" customWidth="1"/>
    <col min="6" max="6" width="8.44140625" style="121" bestFit="1" customWidth="1"/>
    <col min="7" max="7" width="10" style="121" bestFit="1" customWidth="1"/>
    <col min="8" max="8" width="64.109375" style="121" bestFit="1" customWidth="1"/>
    <col min="9" max="9" width="11.88671875" style="121" bestFit="1" customWidth="1"/>
    <col min="10" max="10" width="8.88671875" style="121"/>
    <col min="11" max="11" width="14.109375" style="121" customWidth="1"/>
    <col min="12" max="16384" width="8.88671875" style="121"/>
  </cols>
  <sheetData>
    <row r="1" spans="1:11" s="86" customFormat="1" ht="34.5" customHeight="1">
      <c r="A1" s="123" t="s">
        <v>314</v>
      </c>
      <c r="B1" s="123"/>
      <c r="C1" s="124"/>
      <c r="D1" s="119"/>
      <c r="E1" s="119"/>
      <c r="F1" s="119"/>
      <c r="G1" s="119"/>
      <c r="H1" s="120"/>
      <c r="I1" s="119"/>
      <c r="J1" s="119"/>
      <c r="K1" s="119" t="s">
        <v>273</v>
      </c>
    </row>
    <row r="2" spans="1:11" ht="14.4" customHeight="1">
      <c r="A2" s="446"/>
      <c r="B2" s="446"/>
      <c r="C2" s="447"/>
      <c r="D2" s="447"/>
      <c r="E2" s="447"/>
      <c r="F2" s="447"/>
      <c r="G2" s="446"/>
      <c r="H2" s="446"/>
      <c r="I2" s="125"/>
      <c r="J2" s="125"/>
      <c r="K2" s="125"/>
    </row>
    <row r="3" spans="1:11" ht="19.8">
      <c r="A3" s="293" t="s">
        <v>98</v>
      </c>
      <c r="B3" s="294" t="s">
        <v>315</v>
      </c>
      <c r="C3" s="295" t="s">
        <v>316</v>
      </c>
      <c r="D3" s="296" t="s">
        <v>317</v>
      </c>
      <c r="E3" s="293" t="s">
        <v>318</v>
      </c>
      <c r="F3" s="293" t="s">
        <v>319</v>
      </c>
      <c r="G3" s="293" t="s">
        <v>320</v>
      </c>
      <c r="H3" s="296" t="s">
        <v>321</v>
      </c>
      <c r="I3" s="297" t="s">
        <v>322</v>
      </c>
      <c r="J3" s="297" t="s">
        <v>21</v>
      </c>
      <c r="K3" s="294" t="s">
        <v>323</v>
      </c>
    </row>
    <row r="4" spans="1:11">
      <c r="A4" s="298"/>
      <c r="B4" s="299"/>
      <c r="C4" s="300"/>
      <c r="D4" s="301"/>
      <c r="E4" s="302"/>
      <c r="F4" s="302"/>
      <c r="G4" s="302"/>
      <c r="H4" s="303"/>
      <c r="I4" s="304"/>
      <c r="J4" s="304"/>
      <c r="K4" s="299"/>
    </row>
    <row r="5" spans="1:11">
      <c r="A5" s="298"/>
      <c r="B5" s="299"/>
      <c r="C5" s="300"/>
      <c r="D5" s="303"/>
      <c r="E5" s="302"/>
      <c r="F5" s="302"/>
      <c r="G5" s="302"/>
      <c r="H5" s="305"/>
      <c r="I5" s="304"/>
      <c r="J5" s="304"/>
      <c r="K5" s="306"/>
    </row>
    <row r="6" spans="1:11">
      <c r="A6" s="298"/>
      <c r="B6" s="299"/>
      <c r="C6" s="300"/>
      <c r="D6" s="303"/>
      <c r="E6" s="302"/>
      <c r="F6" s="302"/>
      <c r="G6" s="302"/>
      <c r="H6" s="305"/>
      <c r="I6" s="304"/>
      <c r="J6" s="304"/>
      <c r="K6" s="299"/>
    </row>
    <row r="7" spans="1:11">
      <c r="A7" s="298"/>
      <c r="B7" s="299"/>
      <c r="C7" s="300"/>
      <c r="D7" s="303"/>
      <c r="E7" s="302"/>
      <c r="F7" s="302"/>
      <c r="G7" s="302"/>
      <c r="H7" s="305"/>
      <c r="I7" s="304"/>
      <c r="J7" s="304"/>
      <c r="K7" s="306"/>
    </row>
    <row r="8" spans="1:11">
      <c r="A8" s="298"/>
      <c r="B8" s="299"/>
      <c r="C8" s="300"/>
      <c r="D8" s="303"/>
      <c r="E8" s="302"/>
      <c r="F8" s="302"/>
      <c r="G8" s="302"/>
      <c r="H8" s="305"/>
      <c r="I8" s="304"/>
      <c r="J8" s="304"/>
      <c r="K8" s="306"/>
    </row>
    <row r="9" spans="1:11">
      <c r="A9" s="298"/>
      <c r="B9" s="299"/>
      <c r="C9" s="300"/>
      <c r="D9" s="303"/>
      <c r="E9" s="302"/>
      <c r="F9" s="302"/>
      <c r="G9" s="302"/>
      <c r="H9" s="305"/>
      <c r="I9" s="304"/>
      <c r="J9" s="304"/>
      <c r="K9" s="306"/>
    </row>
    <row r="10" spans="1:11">
      <c r="A10" s="298"/>
      <c r="B10" s="299"/>
      <c r="C10" s="300"/>
      <c r="D10" s="305"/>
      <c r="E10" s="302"/>
      <c r="F10" s="302"/>
      <c r="G10" s="302"/>
      <c r="H10" s="305"/>
      <c r="I10" s="304"/>
      <c r="J10" s="304"/>
      <c r="K10" s="306"/>
    </row>
    <row r="11" spans="1:11">
      <c r="A11" s="298"/>
      <c r="B11" s="299"/>
      <c r="C11" s="300"/>
      <c r="D11" s="303"/>
      <c r="E11" s="302"/>
      <c r="F11" s="302"/>
      <c r="G11" s="302"/>
      <c r="H11" s="305"/>
      <c r="I11" s="304"/>
      <c r="J11" s="304"/>
      <c r="K11" s="306"/>
    </row>
    <row r="12" spans="1:11">
      <c r="A12" s="298"/>
      <c r="B12" s="299"/>
      <c r="C12" s="300"/>
      <c r="D12" s="305"/>
      <c r="E12" s="302"/>
      <c r="F12" s="302"/>
      <c r="G12" s="302"/>
      <c r="H12" s="303"/>
      <c r="I12" s="304"/>
      <c r="J12" s="304"/>
      <c r="K12" s="299"/>
    </row>
    <row r="13" spans="1:11">
      <c r="A13" s="298"/>
      <c r="B13" s="299"/>
      <c r="C13" s="300"/>
      <c r="D13" s="305"/>
      <c r="E13" s="302"/>
      <c r="F13" s="302"/>
      <c r="G13" s="302"/>
      <c r="H13" s="303"/>
      <c r="I13" s="304"/>
      <c r="J13" s="304"/>
      <c r="K13" s="299"/>
    </row>
    <row r="14" spans="1:11">
      <c r="A14" s="298"/>
      <c r="B14" s="299"/>
      <c r="C14" s="300"/>
      <c r="D14" s="303"/>
      <c r="E14" s="302"/>
      <c r="F14" s="302"/>
      <c r="G14" s="302"/>
      <c r="H14" s="305"/>
      <c r="I14" s="304"/>
      <c r="J14" s="304"/>
      <c r="K14" s="299"/>
    </row>
    <row r="15" spans="1:11">
      <c r="A15" s="298"/>
      <c r="B15" s="299"/>
      <c r="C15" s="300"/>
      <c r="D15" s="305"/>
      <c r="E15" s="302"/>
      <c r="F15" s="302"/>
      <c r="G15" s="302"/>
      <c r="H15" s="305"/>
      <c r="I15" s="304"/>
      <c r="J15" s="304"/>
      <c r="K15" s="306"/>
    </row>
    <row r="16" spans="1:11">
      <c r="A16" s="298"/>
      <c r="B16" s="299"/>
      <c r="C16" s="300"/>
      <c r="D16" s="301"/>
      <c r="E16" s="302"/>
      <c r="F16" s="302"/>
      <c r="G16" s="302"/>
      <c r="H16" s="303"/>
      <c r="I16" s="304"/>
      <c r="J16" s="304"/>
      <c r="K16" s="299"/>
    </row>
    <row r="17" spans="1:11">
      <c r="A17" s="298"/>
      <c r="B17" s="299"/>
      <c r="C17" s="300"/>
      <c r="D17" s="303"/>
      <c r="E17" s="302"/>
      <c r="F17" s="302"/>
      <c r="G17" s="302"/>
      <c r="H17" s="305"/>
      <c r="I17" s="304"/>
      <c r="J17" s="304"/>
      <c r="K17" s="306"/>
    </row>
    <row r="18" spans="1:11">
      <c r="A18" s="298"/>
      <c r="B18" s="299"/>
      <c r="C18" s="300"/>
      <c r="D18" s="303"/>
      <c r="E18" s="302"/>
      <c r="F18" s="302"/>
      <c r="G18" s="302"/>
      <c r="H18" s="305"/>
      <c r="I18" s="304"/>
      <c r="J18" s="304"/>
      <c r="K18" s="299"/>
    </row>
    <row r="19" spans="1:11">
      <c r="A19" s="298"/>
      <c r="B19" s="299"/>
      <c r="C19" s="300"/>
      <c r="D19" s="303"/>
      <c r="E19" s="302"/>
      <c r="F19" s="302"/>
      <c r="G19" s="302"/>
      <c r="H19" s="305"/>
      <c r="I19" s="304"/>
      <c r="J19" s="304"/>
      <c r="K19" s="299"/>
    </row>
    <row r="20" spans="1:11">
      <c r="A20" s="298"/>
      <c r="B20" s="299"/>
      <c r="C20" s="300"/>
      <c r="D20" s="305"/>
      <c r="E20" s="302"/>
      <c r="F20" s="302"/>
      <c r="G20" s="302"/>
      <c r="H20" s="305"/>
      <c r="I20" s="304"/>
      <c r="J20" s="304"/>
      <c r="K20" s="299"/>
    </row>
    <row r="21" spans="1:11">
      <c r="A21" s="298"/>
      <c r="B21" s="299"/>
      <c r="C21" s="300"/>
      <c r="D21" s="305"/>
      <c r="E21" s="302"/>
      <c r="F21" s="302"/>
      <c r="G21" s="302"/>
      <c r="H21" s="305"/>
      <c r="I21" s="304"/>
      <c r="J21" s="304"/>
      <c r="K21" s="306"/>
    </row>
    <row r="22" spans="1:11">
      <c r="A22" s="298"/>
      <c r="B22" s="299"/>
      <c r="C22" s="300"/>
      <c r="D22" s="303"/>
      <c r="E22" s="302"/>
      <c r="F22" s="302"/>
      <c r="G22" s="302"/>
      <c r="H22" s="305"/>
      <c r="I22" s="304"/>
      <c r="J22" s="304"/>
      <c r="K22" s="306"/>
    </row>
    <row r="23" spans="1:11">
      <c r="A23" s="298"/>
      <c r="B23" s="299"/>
      <c r="C23" s="300"/>
      <c r="D23" s="303"/>
      <c r="E23" s="302"/>
      <c r="F23" s="302"/>
      <c r="G23" s="302"/>
      <c r="H23" s="305"/>
      <c r="I23" s="304"/>
      <c r="J23" s="304"/>
      <c r="K23" s="306"/>
    </row>
    <row r="24" spans="1:11">
      <c r="A24" s="298"/>
      <c r="B24" s="299"/>
      <c r="C24" s="300"/>
      <c r="D24" s="301"/>
      <c r="E24" s="302"/>
      <c r="F24" s="302"/>
      <c r="G24" s="302"/>
      <c r="H24" s="303"/>
      <c r="I24" s="304"/>
      <c r="J24" s="304"/>
      <c r="K24" s="299"/>
    </row>
  </sheetData>
  <mergeCells count="3">
    <mergeCell ref="A2:B2"/>
    <mergeCell ref="C2:F2"/>
    <mergeCell ref="G2:H2"/>
  </mergeCells>
  <conditionalFormatting sqref="G4:G24">
    <cfRule type="cellIs" dxfId="14" priority="1" operator="between">
      <formula>1</formula>
      <formula>8</formula>
    </cfRule>
    <cfRule type="cellIs" dxfId="13" priority="2" operator="between">
      <formula>9</formula>
      <formula>14</formula>
    </cfRule>
    <cfRule type="cellIs" dxfId="12" priority="3" operator="greaterThan">
      <formula>14</formula>
    </cfRule>
  </conditionalFormatting>
  <dataValidations disablePrompts="1" count="2">
    <dataValidation allowBlank="1" showInputMessage="1" showErrorMessage="1" errorTitle="Status" error="Please enter either Open or Closed." sqref="J21:J23 J17 J15 J3 J5:J12" xr:uid="{00000000-0002-0000-0600-000000000000}"/>
    <dataValidation type="list" allowBlank="1" showInputMessage="1" showErrorMessage="1" errorTitle="Status" error="Please enter either Open or Closed." sqref="J18:J20 J24 J16 J4 J13:J14" xr:uid="{00000000-0002-0000-0600-000001000000}">
      <formula1>Status1</formula1>
    </dataValidation>
  </dataValidations>
  <hyperlinks>
    <hyperlink ref="K1" location="Index!A1" display="Return to the Index" xr:uid="{00000000-0004-0000-0600-000000000000}"/>
  </hyperlinks>
  <pageMargins left="0.7" right="0.7" top="0.75" bottom="0.75" header="0.3" footer="0.3"/>
  <pageSetup paperSize="9" scale="41"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zoomScale="90" zoomScaleNormal="90" workbookViewId="0">
      <selection activeCell="D9" sqref="D9"/>
    </sheetView>
  </sheetViews>
  <sheetFormatPr defaultColWidth="8.88671875" defaultRowHeight="14.4"/>
  <cols>
    <col min="1" max="1" width="5.44140625" style="24" customWidth="1"/>
    <col min="2" max="2" width="11.44140625" style="24" bestFit="1" customWidth="1"/>
    <col min="3" max="3" width="71.109375" style="26" customWidth="1"/>
    <col min="4" max="4" width="27.88671875" style="24" customWidth="1"/>
    <col min="5" max="5" width="20.109375" style="24" customWidth="1"/>
    <col min="6" max="6" width="32.5546875" style="24" customWidth="1"/>
    <col min="7" max="7" width="9.88671875" style="25" bestFit="1" customWidth="1"/>
    <col min="8" max="16384" width="8.88671875" style="24"/>
  </cols>
  <sheetData>
    <row r="1" spans="1:7" ht="22.8">
      <c r="A1" s="2" t="s">
        <v>324</v>
      </c>
      <c r="B1" s="2"/>
      <c r="C1" s="21"/>
      <c r="D1" s="22"/>
      <c r="E1" s="22"/>
      <c r="F1" s="22"/>
      <c r="G1" s="22" t="s">
        <v>273</v>
      </c>
    </row>
    <row r="2" spans="1:7">
      <c r="A2" s="448"/>
      <c r="B2" s="448"/>
      <c r="C2" s="448"/>
      <c r="D2" s="448"/>
      <c r="E2" s="448"/>
      <c r="F2" s="27"/>
      <c r="G2" s="23"/>
    </row>
    <row r="3" spans="1:7">
      <c r="A3" s="307" t="s">
        <v>325</v>
      </c>
      <c r="B3" s="308" t="s">
        <v>315</v>
      </c>
      <c r="C3" s="309" t="s">
        <v>326</v>
      </c>
      <c r="D3" s="309" t="s">
        <v>327</v>
      </c>
      <c r="E3" s="309" t="s">
        <v>328</v>
      </c>
      <c r="F3" s="309" t="s">
        <v>329</v>
      </c>
      <c r="G3" s="310" t="s">
        <v>21</v>
      </c>
    </row>
    <row r="4" spans="1:7" s="29" customFormat="1" ht="13.8">
      <c r="A4" s="311"/>
      <c r="B4" s="312"/>
      <c r="C4" s="313"/>
      <c r="D4" s="313"/>
      <c r="E4" s="313"/>
      <c r="F4" s="313"/>
      <c r="G4" s="314"/>
    </row>
    <row r="5" spans="1:7" s="29" customFormat="1" ht="13.8">
      <c r="A5" s="311"/>
      <c r="B5" s="312"/>
      <c r="C5" s="313"/>
      <c r="D5" s="313"/>
      <c r="E5" s="313"/>
      <c r="F5" s="313"/>
      <c r="G5" s="314"/>
    </row>
    <row r="6" spans="1:7" s="29" customFormat="1" ht="13.8">
      <c r="A6" s="311"/>
      <c r="B6" s="312"/>
      <c r="C6" s="313"/>
      <c r="D6" s="313"/>
      <c r="E6" s="313"/>
      <c r="F6" s="313"/>
      <c r="G6" s="314"/>
    </row>
    <row r="7" spans="1:7" s="29" customFormat="1" ht="13.8">
      <c r="A7" s="311"/>
      <c r="B7" s="312"/>
      <c r="C7" s="313"/>
      <c r="D7" s="313"/>
      <c r="E7" s="313"/>
      <c r="F7" s="313"/>
      <c r="G7" s="314"/>
    </row>
    <row r="8" spans="1:7" s="29" customFormat="1" ht="13.8">
      <c r="A8" s="311"/>
      <c r="B8" s="312"/>
      <c r="C8" s="313"/>
      <c r="D8" s="313"/>
      <c r="E8" s="313"/>
      <c r="F8" s="313"/>
      <c r="G8" s="314"/>
    </row>
    <row r="9" spans="1:7" s="29" customFormat="1" ht="14.4" customHeight="1">
      <c r="A9" s="311"/>
      <c r="B9" s="312"/>
      <c r="C9" s="313"/>
      <c r="D9" s="313"/>
      <c r="E9" s="313"/>
      <c r="F9" s="313"/>
      <c r="G9" s="314"/>
    </row>
    <row r="10" spans="1:7" s="29" customFormat="1" ht="13.8">
      <c r="A10" s="311"/>
      <c r="B10" s="312"/>
      <c r="C10" s="313"/>
      <c r="D10" s="313"/>
      <c r="E10" s="313"/>
      <c r="F10" s="313"/>
      <c r="G10" s="314"/>
    </row>
    <row r="11" spans="1:7" s="29" customFormat="1" ht="13.8">
      <c r="A11" s="315"/>
      <c r="B11" s="316"/>
      <c r="C11" s="317"/>
      <c r="D11" s="317"/>
      <c r="E11" s="317"/>
      <c r="F11" s="317"/>
      <c r="G11" s="318"/>
    </row>
    <row r="12" spans="1:7" s="29" customFormat="1" ht="13.8">
      <c r="A12" s="315"/>
      <c r="B12" s="316"/>
      <c r="C12" s="317"/>
      <c r="D12" s="317"/>
      <c r="E12" s="317"/>
      <c r="F12" s="317"/>
      <c r="G12" s="318"/>
    </row>
    <row r="13" spans="1:7" s="29" customFormat="1" ht="13.8">
      <c r="A13" s="315"/>
      <c r="B13" s="316"/>
      <c r="C13" s="317"/>
      <c r="D13" s="317"/>
      <c r="E13" s="317"/>
      <c r="F13" s="317"/>
      <c r="G13" s="318"/>
    </row>
    <row r="14" spans="1:7" s="29" customFormat="1" ht="13.8">
      <c r="A14" s="315"/>
      <c r="B14" s="319"/>
      <c r="C14" s="317"/>
      <c r="D14" s="319"/>
      <c r="E14" s="319"/>
      <c r="F14" s="319"/>
      <c r="G14" s="318"/>
    </row>
  </sheetData>
  <mergeCells count="2">
    <mergeCell ref="A2:B2"/>
    <mergeCell ref="C2:E2"/>
  </mergeCells>
  <dataValidations count="2">
    <dataValidation allowBlank="1" showInputMessage="1" showErrorMessage="1" errorTitle="Status" error="Please enter either Open or Closed." sqref="G3" xr:uid="{00000000-0002-0000-0700-000000000000}"/>
    <dataValidation type="list" allowBlank="1" showInputMessage="1" showErrorMessage="1" errorTitle="Status" error="Please enter either Open or Closed." sqref="G4:G14" xr:uid="{00000000-0002-0000-0700-000001000000}">
      <formula1>Status</formula1>
    </dataValidation>
  </dataValidations>
  <hyperlinks>
    <hyperlink ref="G1" location="Index!A1" display="Return to the Index" xr:uid="{00000000-0004-0000-0700-000000000000}"/>
  </hyperlinks>
  <pageMargins left="0.7" right="0.7" top="0.75" bottom="0.75" header="0.3" footer="0.3"/>
  <pageSetup paperSize="9" scale="63"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
  <sheetViews>
    <sheetView tabSelected="1" workbookViewId="0">
      <selection activeCell="G17" sqref="G17"/>
    </sheetView>
  </sheetViews>
  <sheetFormatPr defaultColWidth="8.88671875" defaultRowHeight="14.4"/>
  <cols>
    <col min="1" max="1" width="8.88671875" style="24"/>
    <col min="2" max="2" width="11.44140625" style="24" bestFit="1" customWidth="1"/>
    <col min="3" max="3" width="29" style="24" customWidth="1"/>
    <col min="4" max="4" width="35.44140625" style="24" customWidth="1"/>
    <col min="5" max="5" width="13.88671875" style="24" customWidth="1"/>
    <col min="6" max="6" width="21.88671875" style="24" customWidth="1"/>
    <col min="7" max="7" width="10.109375" style="24" bestFit="1" customWidth="1"/>
    <col min="8" max="8" width="6.44140625" style="24" bestFit="1" customWidth="1"/>
    <col min="9" max="9" width="14.33203125" style="24" customWidth="1"/>
    <col min="10" max="16384" width="8.88671875" style="24"/>
  </cols>
  <sheetData>
    <row r="1" spans="1:9" ht="22.8">
      <c r="A1" s="2" t="s">
        <v>330</v>
      </c>
      <c r="B1" s="2"/>
      <c r="C1" s="2"/>
      <c r="D1" s="22"/>
      <c r="E1" s="22"/>
      <c r="F1" s="22"/>
      <c r="G1" s="22"/>
      <c r="H1" s="22" t="s">
        <v>273</v>
      </c>
      <c r="I1" s="22"/>
    </row>
    <row r="2" spans="1:9">
      <c r="A2" s="448"/>
      <c r="B2" s="448"/>
      <c r="C2" s="448"/>
      <c r="D2" s="448"/>
      <c r="E2" s="448"/>
      <c r="F2" s="27"/>
      <c r="G2" s="23"/>
      <c r="H2" s="23"/>
      <c r="I2" s="23"/>
    </row>
    <row r="3" spans="1:9">
      <c r="A3" s="229" t="s">
        <v>98</v>
      </c>
      <c r="B3" s="230" t="s">
        <v>315</v>
      </c>
      <c r="C3" s="231" t="s">
        <v>331</v>
      </c>
      <c r="D3" s="231" t="s">
        <v>332</v>
      </c>
      <c r="E3" s="231" t="s">
        <v>319</v>
      </c>
      <c r="F3" s="231" t="s">
        <v>333</v>
      </c>
      <c r="G3" s="231" t="s">
        <v>322</v>
      </c>
      <c r="H3" s="232" t="s">
        <v>21</v>
      </c>
      <c r="I3" s="232" t="s">
        <v>334</v>
      </c>
    </row>
    <row r="4" spans="1:9" ht="18">
      <c r="A4" s="315"/>
      <c r="B4" s="316"/>
      <c r="C4" s="300"/>
      <c r="D4" s="304"/>
      <c r="E4" s="304"/>
      <c r="F4" s="304"/>
      <c r="G4" s="316"/>
      <c r="H4" s="320"/>
      <c r="I4" s="320"/>
    </row>
    <row r="5" spans="1:9" ht="18">
      <c r="A5" s="315"/>
      <c r="B5" s="316"/>
      <c r="C5" s="300"/>
      <c r="D5" s="304"/>
      <c r="E5" s="304"/>
      <c r="F5" s="304"/>
      <c r="G5" s="316"/>
      <c r="H5" s="320"/>
      <c r="I5" s="320"/>
    </row>
    <row r="6" spans="1:9" ht="18">
      <c r="A6" s="315"/>
      <c r="B6" s="316"/>
      <c r="C6" s="300"/>
      <c r="D6" s="304"/>
      <c r="E6" s="304"/>
      <c r="F6" s="304"/>
      <c r="G6" s="316"/>
      <c r="H6" s="320"/>
      <c r="I6" s="320"/>
    </row>
    <row r="7" spans="1:9" ht="18">
      <c r="A7" s="315"/>
      <c r="B7" s="316"/>
      <c r="C7" s="300"/>
      <c r="D7" s="304"/>
      <c r="E7" s="304"/>
      <c r="F7" s="304"/>
      <c r="G7" s="316"/>
      <c r="H7" s="321"/>
      <c r="I7" s="321"/>
    </row>
    <row r="8" spans="1:9" ht="18">
      <c r="A8" s="315"/>
      <c r="B8" s="316"/>
      <c r="C8" s="303"/>
      <c r="D8" s="304"/>
      <c r="E8" s="304"/>
      <c r="F8" s="304"/>
      <c r="G8" s="316"/>
      <c r="H8" s="322"/>
      <c r="I8" s="322"/>
    </row>
    <row r="9" spans="1:9">
      <c r="A9" s="315"/>
      <c r="B9" s="316"/>
      <c r="C9" s="317"/>
      <c r="D9" s="318"/>
      <c r="E9" s="318"/>
      <c r="F9" s="318"/>
      <c r="G9" s="316"/>
      <c r="H9" s="322"/>
      <c r="I9" s="322"/>
    </row>
    <row r="10" spans="1:9">
      <c r="A10" s="315"/>
      <c r="B10" s="316"/>
      <c r="C10" s="323"/>
      <c r="D10" s="318"/>
      <c r="E10" s="318"/>
      <c r="F10" s="318"/>
      <c r="G10" s="316"/>
      <c r="H10" s="320"/>
      <c r="I10" s="320"/>
    </row>
    <row r="11" spans="1:9">
      <c r="A11" s="315"/>
      <c r="B11" s="316"/>
      <c r="C11" s="323"/>
      <c r="D11" s="318"/>
      <c r="E11" s="318"/>
      <c r="F11" s="318"/>
      <c r="G11" s="316"/>
      <c r="H11" s="320"/>
      <c r="I11" s="320"/>
    </row>
    <row r="12" spans="1:9">
      <c r="A12" s="315"/>
      <c r="B12" s="316"/>
      <c r="C12" s="323"/>
      <c r="D12" s="318"/>
      <c r="E12" s="318"/>
      <c r="F12" s="318"/>
      <c r="G12" s="316"/>
      <c r="H12" s="320"/>
      <c r="I12" s="320"/>
    </row>
    <row r="13" spans="1:9">
      <c r="A13" s="315"/>
      <c r="B13" s="316"/>
      <c r="C13" s="323"/>
      <c r="D13" s="318"/>
      <c r="E13" s="318"/>
      <c r="F13" s="318"/>
      <c r="G13" s="316"/>
      <c r="H13" s="320"/>
      <c r="I13" s="320"/>
    </row>
  </sheetData>
  <mergeCells count="2">
    <mergeCell ref="A2:B2"/>
    <mergeCell ref="C2:E2"/>
  </mergeCells>
  <conditionalFormatting sqref="E4:E13">
    <cfRule type="cellIs" dxfId="11" priority="1" operator="equal">
      <formula>"High"</formula>
    </cfRule>
    <cfRule type="cellIs" dxfId="10" priority="2" operator="equal">
      <formula>"Medium"</formula>
    </cfRule>
    <cfRule type="cellIs" dxfId="9" priority="3" operator="equal">
      <formula>"Low"</formula>
    </cfRule>
  </conditionalFormatting>
  <conditionalFormatting sqref="E3:G3">
    <cfRule type="cellIs" dxfId="8" priority="4" operator="equal">
      <formula>"Low"</formula>
    </cfRule>
    <cfRule type="cellIs" dxfId="7" priority="5" operator="equal">
      <formula>"Medium"</formula>
    </cfRule>
    <cfRule type="cellIs" dxfId="6" priority="6" operator="equal">
      <formula>"High"</formula>
    </cfRule>
  </conditionalFormatting>
  <dataValidations count="5">
    <dataValidation type="list" allowBlank="1" showInputMessage="1" showErrorMessage="1" errorTitle="Status" error="Please enter either Open or Closed." sqref="F4:F13" xr:uid="{EFF26879-2EDE-42D4-894D-8CDF99334AB4}">
      <formula1>Status</formula1>
    </dataValidation>
    <dataValidation allowBlank="1" showInputMessage="1" showErrorMessage="1" errorTitle="Status" error="Please enter either Open or Closed." sqref="H3" xr:uid="{00000000-0002-0000-0800-000001000000}"/>
    <dataValidation allowBlank="1" showInputMessage="1" showErrorMessage="1" errorTitle="Priority" error="Please enter either High, Medium or Low." sqref="F3" xr:uid="{00000000-0002-0000-0800-000003000000}"/>
    <dataValidation allowBlank="1" showInputMessage="1" showErrorMessage="1" errorTitle="Impact" error="Please enter either High, Medium or Low." sqref="E3" xr:uid="{00000000-0002-0000-0800-000005000000}"/>
    <dataValidation type="list" allowBlank="1" showInputMessage="1" showErrorMessage="1" errorTitle="Importance" error="Please enter either High, Medium or Low." sqref="E4:E11" xr:uid="{9EC38F4D-2F71-4E8B-B1A6-861DFC68F47A}">
      <formula1>Importance</formula1>
    </dataValidation>
  </dataValidations>
  <hyperlinks>
    <hyperlink ref="H1" location="Index!A1" display="Return to the Index" xr:uid="{00000000-0004-0000-0800-000000000000}"/>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3"/>
  <sheetViews>
    <sheetView zoomScale="90" zoomScaleNormal="90" workbookViewId="0">
      <selection activeCell="A4" sqref="A4:H13"/>
    </sheetView>
  </sheetViews>
  <sheetFormatPr defaultColWidth="8.88671875" defaultRowHeight="14.4"/>
  <cols>
    <col min="1" max="1" width="3.109375" style="24" bestFit="1" customWidth="1"/>
    <col min="2" max="2" width="11.44140625" style="24" bestFit="1" customWidth="1"/>
    <col min="3" max="3" width="52.88671875" style="24" bestFit="1" customWidth="1"/>
    <col min="4" max="4" width="17.88671875" style="25" customWidth="1"/>
    <col min="5" max="5" width="11.109375" style="24" bestFit="1" customWidth="1"/>
    <col min="6" max="6" width="6.44140625" style="24" bestFit="1" customWidth="1"/>
    <col min="7" max="7" width="13.109375" style="24" bestFit="1" customWidth="1"/>
    <col min="8" max="8" width="43.88671875" style="24" customWidth="1"/>
    <col min="9" max="16384" width="8.88671875" style="24"/>
  </cols>
  <sheetData>
    <row r="1" spans="1:8" ht="22.8">
      <c r="A1" s="2" t="s">
        <v>335</v>
      </c>
      <c r="B1" s="2"/>
      <c r="C1" s="2"/>
      <c r="D1" s="28"/>
      <c r="E1" s="22"/>
      <c r="F1" s="22"/>
      <c r="G1" s="22"/>
      <c r="H1" s="22" t="s">
        <v>273</v>
      </c>
    </row>
    <row r="2" spans="1:8">
      <c r="A2" s="448"/>
      <c r="B2" s="448"/>
      <c r="C2" s="448"/>
      <c r="D2" s="448"/>
      <c r="E2" s="27"/>
      <c r="F2" s="23"/>
      <c r="G2" s="23"/>
      <c r="H2" s="23"/>
    </row>
    <row r="3" spans="1:8">
      <c r="A3" s="324" t="s">
        <v>98</v>
      </c>
      <c r="B3" s="325" t="s">
        <v>315</v>
      </c>
      <c r="C3" s="326" t="s">
        <v>336</v>
      </c>
      <c r="D3" s="327" t="s">
        <v>322</v>
      </c>
      <c r="E3" s="328" t="s">
        <v>319</v>
      </c>
      <c r="F3" s="328" t="s">
        <v>21</v>
      </c>
      <c r="G3" s="325" t="s">
        <v>337</v>
      </c>
      <c r="H3" s="325" t="s">
        <v>22</v>
      </c>
    </row>
    <row r="4" spans="1:8" ht="18">
      <c r="A4" s="315"/>
      <c r="B4" s="316"/>
      <c r="C4" s="300"/>
      <c r="D4" s="304"/>
      <c r="E4" s="304"/>
      <c r="F4" s="304"/>
      <c r="G4" s="316"/>
      <c r="H4" s="320"/>
    </row>
    <row r="5" spans="1:8" ht="18">
      <c r="A5" s="315"/>
      <c r="B5" s="316"/>
      <c r="C5" s="300"/>
      <c r="D5" s="304"/>
      <c r="E5" s="304"/>
      <c r="F5" s="304"/>
      <c r="G5" s="316"/>
      <c r="H5" s="320"/>
    </row>
    <row r="6" spans="1:8" ht="18">
      <c r="A6" s="315"/>
      <c r="B6" s="316"/>
      <c r="C6" s="300"/>
      <c r="D6" s="304"/>
      <c r="E6" s="304"/>
      <c r="F6" s="304"/>
      <c r="G6" s="316"/>
      <c r="H6" s="320"/>
    </row>
    <row r="7" spans="1:8" ht="18">
      <c r="A7" s="315"/>
      <c r="B7" s="316"/>
      <c r="C7" s="300"/>
      <c r="D7" s="304"/>
      <c r="E7" s="304"/>
      <c r="F7" s="304"/>
      <c r="G7" s="316"/>
      <c r="H7" s="321"/>
    </row>
    <row r="8" spans="1:8" ht="18">
      <c r="A8" s="315"/>
      <c r="B8" s="316"/>
      <c r="C8" s="303"/>
      <c r="D8" s="304"/>
      <c r="E8" s="304"/>
      <c r="F8" s="304"/>
      <c r="G8" s="316"/>
      <c r="H8" s="322"/>
    </row>
    <row r="9" spans="1:8">
      <c r="A9" s="315"/>
      <c r="B9" s="316"/>
      <c r="C9" s="317"/>
      <c r="D9" s="318"/>
      <c r="E9" s="318"/>
      <c r="F9" s="318"/>
      <c r="G9" s="316"/>
      <c r="H9" s="322"/>
    </row>
    <row r="10" spans="1:8">
      <c r="A10" s="315"/>
      <c r="B10" s="316"/>
      <c r="C10" s="323"/>
      <c r="D10" s="318"/>
      <c r="E10" s="318"/>
      <c r="F10" s="318"/>
      <c r="G10" s="316"/>
      <c r="H10" s="320"/>
    </row>
    <row r="11" spans="1:8">
      <c r="A11" s="315"/>
      <c r="B11" s="316"/>
      <c r="C11" s="323"/>
      <c r="D11" s="318"/>
      <c r="E11" s="318"/>
      <c r="F11" s="318"/>
      <c r="G11" s="316"/>
      <c r="H11" s="320"/>
    </row>
    <row r="12" spans="1:8">
      <c r="A12" s="315"/>
      <c r="B12" s="316"/>
      <c r="C12" s="323"/>
      <c r="D12" s="318"/>
      <c r="E12" s="318"/>
      <c r="F12" s="318"/>
      <c r="G12" s="316"/>
      <c r="H12" s="320"/>
    </row>
    <row r="13" spans="1:8">
      <c r="A13" s="315"/>
      <c r="B13" s="316"/>
      <c r="C13" s="323"/>
      <c r="D13" s="318"/>
      <c r="E13" s="318"/>
      <c r="F13" s="318"/>
      <c r="G13" s="316"/>
      <c r="H13" s="320"/>
    </row>
  </sheetData>
  <mergeCells count="2">
    <mergeCell ref="A2:B2"/>
    <mergeCell ref="C2:D2"/>
  </mergeCells>
  <conditionalFormatting sqref="E3:E13">
    <cfRule type="cellIs" dxfId="5" priority="7" operator="equal">
      <formula>"High"</formula>
    </cfRule>
    <cfRule type="cellIs" dxfId="4" priority="8" operator="equal">
      <formula>"Medium"</formula>
    </cfRule>
    <cfRule type="cellIs" dxfId="3" priority="9" operator="equal">
      <formula>"Low"</formula>
    </cfRule>
  </conditionalFormatting>
  <dataValidations count="4">
    <dataValidation allowBlank="1" showInputMessage="1" showErrorMessage="1" errorTitle="Status" error="Please enter either Open or Closed." sqref="F3" xr:uid="{00000000-0002-0000-0900-000000000000}"/>
    <dataValidation allowBlank="1" showInputMessage="1" showErrorMessage="1" errorTitle="Importance" error="Please enter either High, Medium or Low." sqref="E3" xr:uid="{00000000-0002-0000-0900-000001000000}"/>
    <dataValidation type="list" allowBlank="1" showInputMessage="1" showErrorMessage="1" errorTitle="Importance" error="Please enter either High, Medium or Low." sqref="E4:E11" xr:uid="{00000000-0002-0000-0900-000002000000}">
      <formula1>Importance</formula1>
    </dataValidation>
    <dataValidation type="list" allowBlank="1" showInputMessage="1" showErrorMessage="1" errorTitle="Status" error="Please enter either Open or Closed." sqref="F4:F13" xr:uid="{00000000-0002-0000-0900-000003000000}">
      <formula1>Status</formula1>
    </dataValidation>
  </dataValidations>
  <hyperlinks>
    <hyperlink ref="H1" location="Index!A1" display="Return to the Index" xr:uid="{00000000-0004-0000-0900-000000000000}"/>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
  <sheetViews>
    <sheetView showGridLines="0" zoomScale="70" zoomScaleNormal="70" workbookViewId="0">
      <pane xSplit="5" ySplit="5" topLeftCell="F9" activePane="bottomRight" state="frozen"/>
      <selection pane="topRight" activeCell="F1" sqref="F1"/>
      <selection pane="bottomLeft" activeCell="A6" sqref="A6"/>
      <selection pane="bottomRight" activeCell="E9" sqref="E9"/>
    </sheetView>
  </sheetViews>
  <sheetFormatPr defaultColWidth="44.88671875" defaultRowHeight="14.4"/>
  <cols>
    <col min="1" max="1" width="6" style="25" bestFit="1" customWidth="1"/>
    <col min="2" max="2" width="10.109375" style="24" bestFit="1" customWidth="1"/>
    <col min="3" max="3" width="14.44140625" style="24" bestFit="1" customWidth="1"/>
    <col min="4" max="4" width="31.6640625" style="24" customWidth="1"/>
    <col min="5" max="5" width="29.44140625" style="24" customWidth="1"/>
    <col min="6" max="6" width="80.88671875" style="26" customWidth="1"/>
    <col min="7" max="7" width="16.88671875" style="33" customWidth="1"/>
    <col min="8" max="8" width="13.88671875" style="34" bestFit="1" customWidth="1"/>
    <col min="9" max="9" width="11.44140625" style="34" bestFit="1" customWidth="1"/>
    <col min="10" max="10" width="11.88671875" style="34" bestFit="1" customWidth="1"/>
    <col min="11" max="11" width="61.109375" style="26" customWidth="1"/>
    <col min="12" max="16384" width="44.88671875" style="24"/>
  </cols>
  <sheetData>
    <row r="1" spans="1:11" ht="22.8">
      <c r="A1" s="2" t="s">
        <v>338</v>
      </c>
      <c r="B1" s="2"/>
      <c r="C1" s="2"/>
      <c r="D1" s="2"/>
      <c r="E1" s="22"/>
      <c r="F1" s="22"/>
      <c r="G1" s="32"/>
      <c r="H1" s="28"/>
      <c r="I1" s="28"/>
      <c r="J1" s="28"/>
      <c r="K1" s="30" t="s">
        <v>273</v>
      </c>
    </row>
    <row r="2" spans="1:11">
      <c r="A2" s="448"/>
      <c r="B2" s="448"/>
      <c r="C2" s="448"/>
      <c r="D2" s="448"/>
      <c r="E2" s="448"/>
      <c r="F2" s="448"/>
      <c r="G2" s="23"/>
      <c r="H2" s="23"/>
      <c r="I2" s="23"/>
      <c r="J2" s="23"/>
      <c r="K2" s="23"/>
    </row>
    <row r="3" spans="1:11" ht="43.2">
      <c r="A3" s="329" t="s">
        <v>339</v>
      </c>
      <c r="B3" s="329" t="s">
        <v>85</v>
      </c>
      <c r="C3" s="329" t="s">
        <v>340</v>
      </c>
      <c r="D3" s="329" t="s">
        <v>341</v>
      </c>
      <c r="E3" s="329" t="s">
        <v>342</v>
      </c>
      <c r="F3" s="329" t="s">
        <v>38</v>
      </c>
      <c r="G3" s="329" t="s">
        <v>343</v>
      </c>
      <c r="H3" s="329" t="s">
        <v>20</v>
      </c>
      <c r="I3" s="329" t="s">
        <v>337</v>
      </c>
      <c r="J3" s="329" t="s">
        <v>21</v>
      </c>
      <c r="K3" s="329" t="s">
        <v>344</v>
      </c>
    </row>
    <row r="4" spans="1:11">
      <c r="A4" s="330"/>
      <c r="B4" s="331"/>
      <c r="C4" s="330"/>
      <c r="D4" s="330"/>
      <c r="E4" s="330"/>
      <c r="F4" s="332"/>
      <c r="G4" s="330"/>
      <c r="H4" s="330"/>
      <c r="I4" s="330"/>
      <c r="J4" s="330"/>
      <c r="K4" s="330"/>
    </row>
    <row r="5" spans="1:11">
      <c r="A5" s="333"/>
      <c r="B5" s="334"/>
      <c r="C5" s="335"/>
      <c r="D5" s="335"/>
      <c r="E5" s="335"/>
      <c r="F5" s="336"/>
      <c r="G5" s="337"/>
      <c r="H5" s="337"/>
      <c r="I5" s="334"/>
      <c r="J5" s="337"/>
      <c r="K5" s="338"/>
    </row>
    <row r="6" spans="1:11">
      <c r="A6" s="333"/>
      <c r="B6" s="334"/>
      <c r="C6" s="338"/>
      <c r="D6" s="338"/>
      <c r="E6" s="338"/>
      <c r="F6" s="336"/>
      <c r="G6" s="337"/>
      <c r="H6" s="337"/>
      <c r="I6" s="334"/>
      <c r="J6" s="337"/>
      <c r="K6" s="335"/>
    </row>
    <row r="7" spans="1:11">
      <c r="A7" s="339"/>
      <c r="B7" s="340"/>
      <c r="C7" s="340"/>
      <c r="D7" s="340"/>
      <c r="E7" s="340"/>
      <c r="F7" s="336"/>
      <c r="G7" s="337"/>
      <c r="H7" s="341"/>
      <c r="I7" s="342"/>
      <c r="J7" s="341"/>
      <c r="K7" s="343"/>
    </row>
    <row r="8" spans="1:11">
      <c r="A8" s="339"/>
      <c r="B8" s="340"/>
      <c r="C8" s="340"/>
      <c r="D8" s="340"/>
      <c r="E8" s="340"/>
      <c r="G8" s="333"/>
      <c r="H8" s="341"/>
      <c r="I8" s="342"/>
      <c r="J8" s="341"/>
      <c r="K8" s="343"/>
    </row>
    <row r="9" spans="1:11">
      <c r="A9" s="339"/>
      <c r="B9" s="344"/>
      <c r="C9" s="345"/>
      <c r="D9" s="340"/>
      <c r="E9" s="340"/>
      <c r="F9" s="336"/>
      <c r="G9" s="337"/>
      <c r="H9" s="341"/>
      <c r="I9" s="342"/>
      <c r="J9" s="341"/>
      <c r="K9" s="335"/>
    </row>
    <row r="10" spans="1:11">
      <c r="A10" s="339"/>
      <c r="B10" s="340"/>
      <c r="C10" s="340"/>
      <c r="D10" s="340"/>
      <c r="E10" s="340"/>
      <c r="F10" s="336"/>
      <c r="G10" s="333"/>
      <c r="H10" s="341"/>
      <c r="I10" s="342"/>
      <c r="J10" s="346"/>
      <c r="K10" s="347"/>
    </row>
    <row r="11" spans="1:11">
      <c r="A11" s="339"/>
      <c r="B11" s="340"/>
      <c r="C11" s="340"/>
      <c r="D11" s="340"/>
      <c r="E11" s="340"/>
      <c r="F11" s="347"/>
      <c r="G11" s="333"/>
      <c r="H11" s="346"/>
      <c r="I11" s="346"/>
      <c r="J11" s="346"/>
      <c r="K11" s="347"/>
    </row>
    <row r="12" spans="1:11">
      <c r="A12" s="339"/>
      <c r="B12" s="340"/>
      <c r="C12" s="340"/>
      <c r="D12" s="340"/>
      <c r="E12" s="340"/>
      <c r="F12" s="347"/>
      <c r="G12" s="333"/>
      <c r="H12" s="346"/>
      <c r="I12" s="346"/>
      <c r="J12" s="346"/>
      <c r="K12" s="347"/>
    </row>
    <row r="13" spans="1:11">
      <c r="A13" s="339"/>
      <c r="B13" s="340"/>
      <c r="C13" s="340"/>
      <c r="D13" s="340"/>
      <c r="E13" s="340"/>
      <c r="F13" s="347"/>
      <c r="G13" s="333"/>
      <c r="H13" s="346"/>
      <c r="I13" s="346"/>
      <c r="J13" s="346"/>
      <c r="K13" s="347"/>
    </row>
  </sheetData>
  <mergeCells count="2">
    <mergeCell ref="A2:B2"/>
    <mergeCell ref="C2:F2"/>
  </mergeCells>
  <hyperlinks>
    <hyperlink ref="K1" location="Index!A1" display="Return to the Index" xr:uid="{00000000-0004-0000-0A00-000000000000}"/>
  </hyperlinks>
  <pageMargins left="0.7" right="0.7" top="0.75" bottom="0.75" header="0.3" footer="0.3"/>
  <pageSetup paperSize="9" scale="36" orientation="portrait" r:id="rId1"/>
  <headerFooter>
    <oddHeader>&amp;L&amp;P/&amp;N&amp;C&amp;14Data Lake &amp; Product and Services Recommendation</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3:F29"/>
  <sheetViews>
    <sheetView topLeftCell="A4" zoomScale="85" zoomScaleNormal="85" workbookViewId="0">
      <pane ySplit="2" topLeftCell="A6" activePane="bottomLeft" state="frozen"/>
      <selection activeCell="B4" sqref="B4"/>
      <selection pane="bottomLeft" activeCell="F11" sqref="F11:F18"/>
    </sheetView>
  </sheetViews>
  <sheetFormatPr defaultColWidth="12.109375" defaultRowHeight="13.2"/>
  <cols>
    <col min="1" max="1" width="4" customWidth="1"/>
    <col min="2" max="2" width="4.88671875" customWidth="1"/>
    <col min="5" max="5" width="58.109375" customWidth="1"/>
    <col min="6" max="6" width="38.88671875" customWidth="1"/>
    <col min="7" max="7" width="14" bestFit="1" customWidth="1"/>
  </cols>
  <sheetData>
    <row r="3" spans="3:6" ht="13.8" thickBot="1"/>
    <row r="4" spans="3:6" ht="13.8" thickBot="1">
      <c r="C4" s="170" t="s">
        <v>345</v>
      </c>
      <c r="D4" s="170" t="s">
        <v>346</v>
      </c>
      <c r="E4" s="170" t="s">
        <v>347</v>
      </c>
      <c r="F4" s="170" t="s">
        <v>348</v>
      </c>
    </row>
    <row r="5" spans="3:6" ht="12.9" customHeight="1" thickBot="1">
      <c r="C5" s="449" t="s">
        <v>349</v>
      </c>
      <c r="D5" s="450"/>
      <c r="E5" s="450"/>
      <c r="F5" s="451"/>
    </row>
    <row r="6" spans="3:6">
      <c r="C6" s="452"/>
      <c r="D6" s="452"/>
      <c r="E6" s="35"/>
      <c r="F6" s="455"/>
    </row>
    <row r="7" spans="3:6">
      <c r="C7" s="453"/>
      <c r="D7" s="453"/>
      <c r="E7" s="35"/>
      <c r="F7" s="456"/>
    </row>
    <row r="8" spans="3:6">
      <c r="C8" s="453"/>
      <c r="D8" s="453"/>
      <c r="E8" s="35"/>
      <c r="F8" s="456"/>
    </row>
    <row r="9" spans="3:6">
      <c r="C9" s="453"/>
      <c r="D9" s="453"/>
      <c r="E9" s="35"/>
      <c r="F9" s="456"/>
    </row>
    <row r="10" spans="3:6">
      <c r="C10" s="454"/>
      <c r="D10" s="454"/>
      <c r="E10" s="36"/>
      <c r="F10" s="457"/>
    </row>
    <row r="11" spans="3:6">
      <c r="C11" s="452"/>
      <c r="D11" s="452"/>
      <c r="E11" s="35"/>
      <c r="F11" s="455"/>
    </row>
    <row r="12" spans="3:6">
      <c r="C12" s="453"/>
      <c r="D12" s="453"/>
      <c r="E12" s="35"/>
      <c r="F12" s="456"/>
    </row>
    <row r="13" spans="3:6">
      <c r="C13" s="453"/>
      <c r="D13" s="453"/>
      <c r="E13" s="35"/>
      <c r="F13" s="456"/>
    </row>
    <row r="14" spans="3:6">
      <c r="C14" s="453"/>
      <c r="D14" s="453"/>
      <c r="E14" s="35"/>
      <c r="F14" s="456"/>
    </row>
    <row r="15" spans="3:6">
      <c r="C15" s="453"/>
      <c r="D15" s="453"/>
      <c r="E15" s="35"/>
      <c r="F15" s="456"/>
    </row>
    <row r="16" spans="3:6">
      <c r="C16" s="453"/>
      <c r="D16" s="453"/>
      <c r="E16" s="35"/>
      <c r="F16" s="456"/>
    </row>
    <row r="17" spans="3:6">
      <c r="C17" s="453"/>
      <c r="D17" s="453"/>
      <c r="E17" s="35"/>
      <c r="F17" s="456"/>
    </row>
    <row r="18" spans="3:6">
      <c r="C18" s="454"/>
      <c r="D18" s="454"/>
      <c r="E18" s="36"/>
      <c r="F18" s="457"/>
    </row>
    <row r="19" spans="3:6">
      <c r="C19" s="452"/>
      <c r="D19" s="452"/>
      <c r="E19" s="35"/>
      <c r="F19" s="455"/>
    </row>
    <row r="20" spans="3:6">
      <c r="C20" s="453"/>
      <c r="D20" s="453"/>
      <c r="E20" s="35"/>
      <c r="F20" s="456"/>
    </row>
    <row r="21" spans="3:6">
      <c r="C21" s="453"/>
      <c r="D21" s="453"/>
      <c r="E21" s="35"/>
      <c r="F21" s="456"/>
    </row>
    <row r="22" spans="3:6">
      <c r="C22" s="453"/>
      <c r="D22" s="453"/>
      <c r="E22" s="35"/>
      <c r="F22" s="456"/>
    </row>
    <row r="23" spans="3:6">
      <c r="C23" s="454"/>
      <c r="D23" s="454"/>
      <c r="E23" s="36"/>
      <c r="F23" s="457"/>
    </row>
    <row r="24" spans="3:6">
      <c r="C24" s="37"/>
      <c r="D24" s="38"/>
      <c r="E24" s="36"/>
      <c r="F24" s="38"/>
    </row>
    <row r="25" spans="3:6">
      <c r="C25" s="452"/>
      <c r="D25" s="452"/>
      <c r="E25" s="35"/>
      <c r="F25" s="452"/>
    </row>
    <row r="26" spans="3:6">
      <c r="C26" s="453"/>
      <c r="D26" s="453"/>
      <c r="E26" s="35"/>
      <c r="F26" s="453"/>
    </row>
    <row r="27" spans="3:6">
      <c r="C27" s="453"/>
      <c r="D27" s="453"/>
      <c r="E27" s="35"/>
      <c r="F27" s="453"/>
    </row>
    <row r="28" spans="3:6">
      <c r="C28" s="454"/>
      <c r="D28" s="454"/>
      <c r="E28" s="36"/>
      <c r="F28" s="454"/>
    </row>
    <row r="29" spans="3:6">
      <c r="C29" s="39" t="s">
        <v>350</v>
      </c>
      <c r="D29" s="40"/>
      <c r="E29" s="41"/>
      <c r="F29" s="40"/>
    </row>
  </sheetData>
  <mergeCells count="13">
    <mergeCell ref="C5:F5"/>
    <mergeCell ref="C6:C10"/>
    <mergeCell ref="D6:D10"/>
    <mergeCell ref="F6:F10"/>
    <mergeCell ref="C25:C28"/>
    <mergeCell ref="D25:D28"/>
    <mergeCell ref="F25:F28"/>
    <mergeCell ref="C11:C18"/>
    <mergeCell ref="D11:D18"/>
    <mergeCell ref="F11:F18"/>
    <mergeCell ref="C19:C23"/>
    <mergeCell ref="D19:D23"/>
    <mergeCell ref="F19:F23"/>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347A-1290-471F-8994-F90F31EAD13D}">
  <dimension ref="A1:I17"/>
  <sheetViews>
    <sheetView showGridLines="0" zoomScale="70" zoomScaleNormal="70" workbookViewId="0">
      <selection activeCell="I6" sqref="I6"/>
    </sheetView>
  </sheetViews>
  <sheetFormatPr defaultColWidth="8.6640625" defaultRowHeight="15.6"/>
  <cols>
    <col min="1" max="1" width="8.109375" style="168" customWidth="1"/>
    <col min="2" max="2" width="22.44140625" style="169" customWidth="1"/>
    <col min="3" max="3" width="18.44140625" style="168" bestFit="1" customWidth="1"/>
    <col min="4" max="4" width="41.5546875" style="168" customWidth="1"/>
    <col min="5" max="5" width="32.109375" style="168" customWidth="1"/>
    <col min="6" max="6" width="18.44140625" style="168" customWidth="1"/>
    <col min="7" max="7" width="17" style="168" customWidth="1"/>
    <col min="8" max="8" width="16.44140625" style="168" customWidth="1"/>
    <col min="9" max="9" width="44.5546875" style="168" customWidth="1"/>
    <col min="10" max="16384" width="8.6640625" style="168"/>
  </cols>
  <sheetData>
    <row r="1" spans="1:9" ht="31.8" thickBot="1">
      <c r="A1" s="171" t="s">
        <v>351</v>
      </c>
      <c r="B1" s="171" t="s">
        <v>352</v>
      </c>
      <c r="C1" s="171" t="s">
        <v>353</v>
      </c>
      <c r="D1" s="171" t="s">
        <v>354</v>
      </c>
      <c r="E1" s="171" t="s">
        <v>355</v>
      </c>
      <c r="F1" s="171" t="s">
        <v>356</v>
      </c>
      <c r="G1" s="171" t="s">
        <v>357</v>
      </c>
      <c r="H1" s="171" t="s">
        <v>358</v>
      </c>
      <c r="I1" s="171" t="s">
        <v>22</v>
      </c>
    </row>
    <row r="2" spans="1:9" ht="44.4" customHeight="1">
      <c r="A2" s="348">
        <v>1</v>
      </c>
      <c r="B2" s="349"/>
      <c r="C2" s="348"/>
      <c r="D2" s="350"/>
      <c r="E2" s="350"/>
      <c r="F2" s="350"/>
      <c r="G2" s="350"/>
      <c r="H2" s="350"/>
      <c r="I2" s="350"/>
    </row>
    <row r="3" spans="1:9" ht="44.4" customHeight="1">
      <c r="A3" s="348">
        <v>2</v>
      </c>
      <c r="B3" s="349"/>
      <c r="C3" s="348"/>
      <c r="D3" s="350"/>
      <c r="E3" s="350"/>
      <c r="F3" s="350"/>
      <c r="G3" s="350"/>
      <c r="H3" s="350"/>
      <c r="I3" s="350"/>
    </row>
    <row r="4" spans="1:9" ht="44.4" customHeight="1">
      <c r="A4" s="348">
        <v>3</v>
      </c>
      <c r="B4" s="349"/>
      <c r="C4" s="348"/>
      <c r="D4" s="350"/>
      <c r="E4" s="350"/>
      <c r="F4" s="350"/>
      <c r="G4" s="350"/>
      <c r="H4" s="350"/>
      <c r="I4" s="350"/>
    </row>
    <row r="5" spans="1:9" ht="44.4" customHeight="1">
      <c r="A5" s="348">
        <v>4</v>
      </c>
      <c r="B5" s="349"/>
      <c r="C5" s="348"/>
      <c r="D5" s="350"/>
      <c r="E5" s="350"/>
      <c r="F5" s="350"/>
      <c r="G5" s="350"/>
      <c r="H5" s="350"/>
      <c r="I5" s="350"/>
    </row>
    <row r="6" spans="1:9" ht="44.4" customHeight="1">
      <c r="A6" s="348">
        <v>5</v>
      </c>
      <c r="B6" s="349"/>
      <c r="C6" s="348"/>
      <c r="D6" s="350"/>
      <c r="E6" s="350"/>
      <c r="F6" s="350"/>
      <c r="G6" s="350"/>
      <c r="H6" s="350"/>
      <c r="I6" s="350"/>
    </row>
    <row r="7" spans="1:9" ht="44.4" customHeight="1">
      <c r="A7" s="348">
        <v>6</v>
      </c>
      <c r="B7" s="349"/>
      <c r="C7" s="348"/>
      <c r="D7" s="350"/>
      <c r="E7" s="350"/>
      <c r="F7" s="350"/>
      <c r="G7" s="350"/>
      <c r="H7" s="350"/>
      <c r="I7" s="350"/>
    </row>
    <row r="8" spans="1:9" ht="44.4" customHeight="1">
      <c r="A8" s="348">
        <v>7</v>
      </c>
      <c r="B8" s="349"/>
      <c r="C8" s="348"/>
      <c r="D8" s="350"/>
      <c r="E8" s="350"/>
      <c r="F8" s="350"/>
      <c r="G8" s="350"/>
      <c r="H8" s="350"/>
      <c r="I8" s="350"/>
    </row>
    <row r="9" spans="1:9" ht="44.4" customHeight="1">
      <c r="A9" s="348">
        <v>8</v>
      </c>
      <c r="B9" s="349"/>
      <c r="C9" s="348"/>
      <c r="D9" s="350"/>
      <c r="E9" s="350"/>
      <c r="F9" s="350"/>
      <c r="G9" s="350"/>
      <c r="H9" s="350"/>
      <c r="I9" s="350"/>
    </row>
    <row r="10" spans="1:9" ht="44.4" customHeight="1">
      <c r="A10" s="348">
        <v>9</v>
      </c>
      <c r="B10" s="349"/>
      <c r="C10" s="348"/>
      <c r="D10" s="350"/>
      <c r="E10" s="350"/>
      <c r="F10" s="350"/>
      <c r="G10" s="350"/>
      <c r="H10" s="350"/>
      <c r="I10" s="350"/>
    </row>
    <row r="11" spans="1:9" ht="44.4" customHeight="1">
      <c r="A11" s="348">
        <v>10</v>
      </c>
      <c r="B11" s="349"/>
      <c r="C11" s="348"/>
      <c r="D11" s="350"/>
      <c r="E11" s="350"/>
      <c r="F11" s="350"/>
      <c r="G11" s="350"/>
      <c r="H11" s="350"/>
      <c r="I11" s="350"/>
    </row>
    <row r="12" spans="1:9" ht="44.4" customHeight="1">
      <c r="A12" s="348"/>
      <c r="B12" s="349"/>
      <c r="C12" s="348"/>
      <c r="D12" s="350"/>
      <c r="E12" s="350"/>
      <c r="F12" s="350"/>
      <c r="G12" s="350"/>
      <c r="H12" s="350"/>
      <c r="I12" s="350"/>
    </row>
    <row r="13" spans="1:9" ht="44.4" customHeight="1">
      <c r="A13" s="348"/>
      <c r="B13" s="349"/>
      <c r="C13" s="348"/>
      <c r="D13" s="350"/>
      <c r="E13" s="350"/>
      <c r="F13" s="350"/>
      <c r="G13" s="350"/>
      <c r="H13" s="350"/>
      <c r="I13" s="350"/>
    </row>
    <row r="14" spans="1:9" ht="44.4" customHeight="1">
      <c r="A14" s="348"/>
      <c r="B14" s="349"/>
      <c r="C14" s="348"/>
      <c r="D14" s="350"/>
      <c r="E14" s="350"/>
      <c r="F14" s="350"/>
      <c r="G14" s="350"/>
      <c r="H14" s="350"/>
      <c r="I14" s="350"/>
    </row>
    <row r="15" spans="1:9" ht="44.4" customHeight="1">
      <c r="A15" s="348"/>
      <c r="B15" s="349"/>
      <c r="C15" s="348"/>
      <c r="D15" s="350"/>
      <c r="E15" s="350"/>
      <c r="F15" s="350"/>
      <c r="G15" s="350"/>
      <c r="H15" s="350"/>
      <c r="I15" s="350"/>
    </row>
    <row r="16" spans="1:9" ht="44.4" customHeight="1">
      <c r="A16" s="348"/>
      <c r="B16" s="349"/>
      <c r="C16" s="348"/>
      <c r="D16" s="350"/>
      <c r="E16" s="350"/>
      <c r="F16" s="350"/>
      <c r="G16" s="350"/>
      <c r="H16" s="350"/>
      <c r="I16" s="350"/>
    </row>
    <row r="17" spans="1:9" ht="44.4" customHeight="1">
      <c r="A17" s="348"/>
      <c r="B17" s="349"/>
      <c r="C17" s="348"/>
      <c r="D17" s="350"/>
      <c r="E17" s="350"/>
      <c r="F17" s="350"/>
      <c r="G17" s="350"/>
      <c r="H17" s="350"/>
      <c r="I17" s="35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W109"/>
  <sheetViews>
    <sheetView workbookViewId="0">
      <selection activeCell="B4" sqref="B4"/>
    </sheetView>
  </sheetViews>
  <sheetFormatPr defaultRowHeight="13.2"/>
  <cols>
    <col min="1" max="1" width="7" customWidth="1"/>
    <col min="2" max="2" width="11.88671875" customWidth="1"/>
    <col min="4" max="4" width="14.88671875" customWidth="1"/>
    <col min="5" max="5" width="26.109375" customWidth="1"/>
    <col min="6" max="7" width="11.88671875" customWidth="1"/>
    <col min="8" max="9" width="13" customWidth="1"/>
    <col min="10" max="10" width="12.88671875" customWidth="1"/>
    <col min="11" max="12" width="15.88671875" customWidth="1"/>
    <col min="13" max="14" width="10.44140625" customWidth="1"/>
    <col min="15" max="15" width="12" customWidth="1"/>
    <col min="16" max="16" width="12.88671875" customWidth="1"/>
    <col min="17" max="18" width="11.88671875" customWidth="1"/>
    <col min="19" max="19" width="13" customWidth="1"/>
    <col min="20" max="20" width="8" customWidth="1"/>
    <col min="21" max="21" width="11.88671875" customWidth="1"/>
    <col min="23" max="25" width="12.88671875" customWidth="1"/>
    <col min="27" max="27" width="20.44140625" customWidth="1"/>
    <col min="28" max="29" width="11" customWidth="1"/>
    <col min="30" max="30" width="15.44140625" customWidth="1"/>
    <col min="31" max="31" width="19.109375" customWidth="1"/>
    <col min="32" max="32" width="14.5546875" customWidth="1"/>
    <col min="33" max="33" width="10.5546875" customWidth="1"/>
    <col min="34" max="34" width="16.88671875" customWidth="1"/>
    <col min="36" max="36" width="8.109375" customWidth="1"/>
    <col min="37" max="37" width="3.88671875" customWidth="1"/>
    <col min="40" max="40" width="6.109375" customWidth="1"/>
    <col min="41" max="41" width="13.109375" customWidth="1"/>
    <col min="43" max="46" width="16.88671875" customWidth="1"/>
    <col min="47" max="47" width="22.44140625" customWidth="1"/>
    <col min="48" max="48" width="14" customWidth="1"/>
    <col min="49" max="49" width="10.5546875" style="12" customWidth="1"/>
    <col min="50" max="50" width="36.109375" customWidth="1"/>
  </cols>
  <sheetData>
    <row r="1" spans="1:49">
      <c r="AV1" s="12"/>
      <c r="AW1"/>
    </row>
    <row r="2" spans="1:49" ht="15.6">
      <c r="A2" s="13" t="s">
        <v>359</v>
      </c>
      <c r="L2" t="s">
        <v>360</v>
      </c>
      <c r="O2" t="s">
        <v>361</v>
      </c>
      <c r="AV2" s="12"/>
      <c r="AW2"/>
    </row>
    <row r="3" spans="1:49">
      <c r="L3" t="s">
        <v>362</v>
      </c>
      <c r="O3" t="s">
        <v>363</v>
      </c>
      <c r="AV3" s="12"/>
      <c r="AW3"/>
    </row>
    <row r="4" spans="1:49">
      <c r="A4" s="351" t="s">
        <v>364</v>
      </c>
      <c r="B4" s="352" t="e">
        <f>#REF!</f>
        <v>#REF!</v>
      </c>
      <c r="L4" t="s">
        <v>365</v>
      </c>
      <c r="O4" t="s">
        <v>366</v>
      </c>
      <c r="AT4" s="12"/>
      <c r="AW4"/>
    </row>
    <row r="5" spans="1:49">
      <c r="A5" s="233" t="s">
        <v>367</v>
      </c>
      <c r="B5" s="234" t="e">
        <f>#REF!</f>
        <v>#REF!</v>
      </c>
      <c r="AT5" s="12"/>
      <c r="AW5"/>
    </row>
    <row r="6" spans="1:49">
      <c r="AT6" s="12"/>
      <c r="AW6"/>
    </row>
    <row r="7" spans="1:49">
      <c r="AT7" s="12"/>
      <c r="AW7"/>
    </row>
    <row r="8" spans="1:49">
      <c r="S8" s="235"/>
      <c r="T8" s="235"/>
      <c r="U8" s="235"/>
      <c r="V8" s="235"/>
      <c r="W8" s="235"/>
      <c r="X8" s="235"/>
      <c r="Y8" s="235"/>
      <c r="Z8" s="235"/>
      <c r="AA8" s="235"/>
      <c r="AD8" s="19" t="s">
        <v>368</v>
      </c>
      <c r="AE8" s="20"/>
      <c r="AF8" s="20"/>
      <c r="AK8" s="458" t="s">
        <v>369</v>
      </c>
      <c r="AL8" s="458"/>
      <c r="AM8" s="458"/>
      <c r="AN8" s="458"/>
      <c r="AO8" s="458"/>
      <c r="AP8" s="458"/>
      <c r="AQ8" s="458"/>
      <c r="AR8" s="458"/>
      <c r="AW8"/>
    </row>
    <row r="9" spans="1:49" s="10" customFormat="1" ht="52.8">
      <c r="A9" s="236" t="s">
        <v>370</v>
      </c>
      <c r="B9" s="236" t="s">
        <v>371</v>
      </c>
      <c r="C9" s="236" t="s">
        <v>372</v>
      </c>
      <c r="D9" s="236" t="s">
        <v>373</v>
      </c>
      <c r="E9" s="236" t="s">
        <v>374</v>
      </c>
      <c r="F9" s="236" t="s">
        <v>114</v>
      </c>
      <c r="G9" s="236" t="s">
        <v>375</v>
      </c>
      <c r="H9" s="236" t="s">
        <v>322</v>
      </c>
      <c r="I9" s="236" t="s">
        <v>376</v>
      </c>
      <c r="J9" s="236" t="s">
        <v>295</v>
      </c>
      <c r="K9" s="236" t="s">
        <v>377</v>
      </c>
      <c r="L9" s="236"/>
      <c r="M9" s="236" t="s">
        <v>378</v>
      </c>
      <c r="N9" s="236" t="s">
        <v>379</v>
      </c>
      <c r="O9" s="236" t="s">
        <v>380</v>
      </c>
      <c r="P9" s="236" t="s">
        <v>381</v>
      </c>
      <c r="Q9" s="236" t="s">
        <v>382</v>
      </c>
      <c r="R9" s="236"/>
      <c r="S9" s="236" t="s">
        <v>383</v>
      </c>
      <c r="T9" s="236" t="s">
        <v>384</v>
      </c>
      <c r="U9" s="11" t="s">
        <v>116</v>
      </c>
      <c r="V9" s="11" t="s">
        <v>385</v>
      </c>
      <c r="W9" s="11" t="s">
        <v>386</v>
      </c>
      <c r="X9" s="11" t="s">
        <v>387</v>
      </c>
      <c r="Y9" s="11" t="s">
        <v>388</v>
      </c>
      <c r="Z9" s="11" t="s">
        <v>389</v>
      </c>
      <c r="AA9" s="11" t="s">
        <v>378</v>
      </c>
      <c r="AB9" s="11"/>
      <c r="AD9" s="236" t="s">
        <v>390</v>
      </c>
      <c r="AE9" s="236" t="s">
        <v>391</v>
      </c>
      <c r="AF9" s="236" t="s">
        <v>392</v>
      </c>
      <c r="AG9" s="236" t="s">
        <v>393</v>
      </c>
      <c r="AI9" s="237"/>
      <c r="AJ9" s="237"/>
      <c r="AK9" s="236" t="s">
        <v>394</v>
      </c>
      <c r="AL9" s="353" t="s">
        <v>322</v>
      </c>
      <c r="AM9" s="353" t="s">
        <v>395</v>
      </c>
      <c r="AN9" s="236"/>
      <c r="AO9" s="11" t="s">
        <v>396</v>
      </c>
      <c r="AP9" s="11" t="s">
        <v>397</v>
      </c>
      <c r="AQ9" s="16" t="s">
        <v>337</v>
      </c>
      <c r="AR9" s="11" t="s">
        <v>389</v>
      </c>
    </row>
    <row r="10" spans="1:49">
      <c r="A10">
        <v>1</v>
      </c>
      <c r="B10" t="e">
        <f t="shared" ref="B10:B41" si="0">IF(OR(N10="Yes",O10="Yes",P10="Yes"),A10,"")</f>
        <v>#REF!</v>
      </c>
      <c r="C10" t="e">
        <f t="shared" ref="C10:C41" si="1">IF(B10="","",RANK(B10,$B$10:$B$109,1))</f>
        <v>#REF!</v>
      </c>
      <c r="D10" s="354" t="e">
        <f>IF(C10="","",E10)</f>
        <v>#REF!</v>
      </c>
      <c r="E10" s="354" t="e">
        <f>IF(#REF!="","",#REF!)</f>
        <v>#REF!</v>
      </c>
      <c r="F10" s="354" t="e">
        <f>IF(#REF!="","",#REF!)</f>
        <v>#REF!</v>
      </c>
      <c r="G10" s="354" t="e">
        <f>IF(#REF!="","",#REF!)</f>
        <v>#REF!</v>
      </c>
      <c r="H10" s="354" t="e">
        <f>IF(#REF!="","",#REF!)</f>
        <v>#REF!</v>
      </c>
      <c r="I10" s="354" t="e">
        <f>IF(AND(H10="",NOT(E10="")),"Unassigned",H10)</f>
        <v>#REF!</v>
      </c>
      <c r="J10" s="355" t="e">
        <f>IF(#REF!="","",#REF!)</f>
        <v>#REF!</v>
      </c>
      <c r="K10" s="355" t="e">
        <f>IF(#REF!="","",#REF!)</f>
        <v>#REF!</v>
      </c>
      <c r="L10" s="12" t="e">
        <f>IF(E10="","",IF(AND(J10="",K10=""),$L$2,IF(NOT(K10=""),$L$3,$L$4)))</f>
        <v>#REF!</v>
      </c>
      <c r="M10" t="e">
        <f>IF(N10="Yes",$O$2,IF(O10="Yes",$O$3,IF(P10="Yes",$O$4,"")))</f>
        <v>#REF!</v>
      </c>
      <c r="N10" t="e">
        <f t="shared" ref="N10:N41" si="2">IF(E10="","",IF(AND(G10&lt;=$B$4,K10="",NOT(J10="")),"Yes","No"))</f>
        <v>#REF!</v>
      </c>
      <c r="O10" t="e">
        <f t="shared" ref="O10:O41" si="3">IF(E10="","",IF(AND(G10&lt;=$B$4,J10=""),"Yes","No"))</f>
        <v>#REF!</v>
      </c>
      <c r="P10" s="354" t="e">
        <f t="shared" ref="P10:P41" si="4">IF(OR(N10="Yes",O10="Yes"),"No",IF(AND(K10="",F10&lt;=$B$5),"Yes","No"))</f>
        <v>#REF!</v>
      </c>
      <c r="Q10" s="354">
        <f>SUM($A$10:A10)</f>
        <v>1</v>
      </c>
      <c r="R10" s="354"/>
      <c r="S10" s="356" t="e">
        <f>IF(T10="","",RANK(T10,$T$10:$T$50,1)+COUNTIF(T$10:T10,T10)-1)</f>
        <v>#REF!</v>
      </c>
      <c r="T10" s="354" t="e">
        <f>IF(U10="","",VLOOKUP(U10,$AD$10:$AG$50,4,FALSE))</f>
        <v>#REF!</v>
      </c>
      <c r="U10" t="e">
        <f>IF(V10="","",VLOOKUP(V10,$C$10:$K$109,7,FALSE))</f>
        <v>#REF!</v>
      </c>
      <c r="V10" t="e">
        <f>IF(Q10&lt;=SUM($C$10:$C$109),A10,"")</f>
        <v>#REF!</v>
      </c>
      <c r="W10" t="e">
        <f>VLOOKUP(V10,$C$10:$K$109,2,FALSE)</f>
        <v>#REF!</v>
      </c>
      <c r="X10" t="e">
        <f>IF($W10="","",VLOOKUP($W10,$E$10:$P$109,2,FALSE))</f>
        <v>#REF!</v>
      </c>
      <c r="Y10" t="e">
        <f>IF($W10="","",VLOOKUP($W10,$E$10:$P$109,3,FALSE))</f>
        <v>#REF!</v>
      </c>
      <c r="Z10" t="e">
        <f>IF($W10="","",VLOOKUP($W10,$E$10:$P$109,8,FALSE))</f>
        <v>#REF!</v>
      </c>
      <c r="AA10" t="e">
        <f>IF($W10="","",VLOOKUP($W10,$E$10:$P$109,9,FALSE))</f>
        <v>#REF!</v>
      </c>
      <c r="AD10" s="14" t="s">
        <v>398</v>
      </c>
      <c r="AE10" s="354">
        <f t="shared" ref="AE10:AE50" si="5">IF(AD10=0,"",COUNTIF($U$10:$U$109,$AD10))</f>
        <v>0</v>
      </c>
      <c r="AF10" s="354" t="str">
        <f>IF(AE10="","",IF(AE10=0,"",AE10))</f>
        <v/>
      </c>
      <c r="AG10" s="356" t="str">
        <f>IF(AF10="","",RANK(AF10,$AF$10:$AF$50)+COUNTIF(AF$10:AF10,AF10)-1)</f>
        <v/>
      </c>
      <c r="AI10">
        <f>'1. Project Details'!B16</f>
        <v>0</v>
      </c>
      <c r="AK10">
        <v>1</v>
      </c>
      <c r="AL10" s="354" t="e">
        <f t="shared" ref="AL10:AL41" si="6">IF(SUM($S$10:$S$109)&lt;$Q10,"",VLOOKUP($AK10,$S$10:$AA$109,3,FALSE))</f>
        <v>#REF!</v>
      </c>
      <c r="AM10" t="e">
        <f>IF(AL10="","",AL10)</f>
        <v>#REF!</v>
      </c>
      <c r="AO10" t="e">
        <f t="shared" ref="AO10:AO41" si="7">IF(SUM($S$10:$S$109)&lt;$Q10,"",VLOOKUP(AK10,$S$10:$AA$109,5,FALSE))</f>
        <v>#REF!</v>
      </c>
      <c r="AP10" t="e">
        <f t="shared" ref="AP10:AP41" si="8">IF(SUM($S$10:$S$109)&lt;$Q10,"",VLOOKUP($AK10,$S$10:$AA$109,8,FALSE))</f>
        <v>#REF!</v>
      </c>
      <c r="AQ10" s="12" t="e">
        <f t="shared" ref="AQ10:AQ41" si="9">IF(SUM($S$10:$S$109)&lt;$Q10,"",VLOOKUP($AK10,$S$10:$AA$109,7,FALSE))</f>
        <v>#REF!</v>
      </c>
      <c r="AR10" t="e">
        <f t="shared" ref="AR10:AR41" si="10">IF(SUM($S$10:$S$109)&lt;$Q10,"",VLOOKUP($AK10,$S$10:$AA$109,9,FALSE))</f>
        <v>#REF!</v>
      </c>
      <c r="AW10"/>
    </row>
    <row r="11" spans="1:49">
      <c r="A11">
        <v>2</v>
      </c>
      <c r="B11" t="e">
        <f t="shared" si="0"/>
        <v>#REF!</v>
      </c>
      <c r="C11" t="e">
        <f t="shared" si="1"/>
        <v>#REF!</v>
      </c>
      <c r="D11" t="e">
        <f t="shared" ref="D11:D74" si="11">IF(C11="","",E11)</f>
        <v>#REF!</v>
      </c>
      <c r="E11" s="354" t="e">
        <f>IF(#REF!="","",#REF!)</f>
        <v>#REF!</v>
      </c>
      <c r="F11" s="354" t="e">
        <f>IF(#REF!="","",#REF!)</f>
        <v>#REF!</v>
      </c>
      <c r="G11" s="354" t="e">
        <f>IF(#REF!="","",#REF!)</f>
        <v>#REF!</v>
      </c>
      <c r="H11" s="354" t="e">
        <f>IF(#REF!="","",#REF!)</f>
        <v>#REF!</v>
      </c>
      <c r="I11" s="354" t="e">
        <f t="shared" ref="I11:I74" si="12">IF(AND(H11="",NOT(E11="")),"Unassigned",H11)</f>
        <v>#REF!</v>
      </c>
      <c r="J11" s="355" t="e">
        <f>IF(#REF!="","",#REF!)</f>
        <v>#REF!</v>
      </c>
      <c r="K11" s="355" t="e">
        <f>IF(#REF!="","",#REF!)</f>
        <v>#REF!</v>
      </c>
      <c r="L11" s="12" t="e">
        <f t="shared" ref="L11:L74" si="13">IF(E11="","",IF(AND(J11="",K11=""),$L$2,IF(NOT(K11=""),$L$3,$L$4)))</f>
        <v>#REF!</v>
      </c>
      <c r="M11" t="e">
        <f t="shared" ref="M11:M74" si="14">IF(N11="Yes",$O$2,IF(O11="Yes",$O$3,IF(P11="Yes",$O$4,"")))</f>
        <v>#REF!</v>
      </c>
      <c r="N11" t="e">
        <f t="shared" si="2"/>
        <v>#REF!</v>
      </c>
      <c r="O11" t="e">
        <f t="shared" si="3"/>
        <v>#REF!</v>
      </c>
      <c r="P11" t="e">
        <f t="shared" si="4"/>
        <v>#REF!</v>
      </c>
      <c r="Q11">
        <f>SUM($A$10:A11)</f>
        <v>3</v>
      </c>
      <c r="S11" s="15" t="e">
        <f>IF(T11="","",RANK(T11,$T$10:$T$50,1)+COUNTIF(T$10:T11,T11)-1)</f>
        <v>#REF!</v>
      </c>
      <c r="T11" t="e">
        <f t="shared" ref="T11:T74" si="15">IF(U11="","",VLOOKUP(U11,$AD$10:$AG$50,4,FALSE))</f>
        <v>#REF!</v>
      </c>
      <c r="U11" t="e">
        <f t="shared" ref="U11:U74" si="16">IF(V11="","",VLOOKUP(V11,$C$10:$K$109,7,FALSE))</f>
        <v>#REF!</v>
      </c>
      <c r="V11" t="e">
        <f t="shared" ref="V11:V74" si="17">IF(Q11&lt;=SUM($C$10:$C$109),A11,"")</f>
        <v>#REF!</v>
      </c>
      <c r="W11" t="e">
        <f t="shared" ref="W11:W74" si="18">VLOOKUP(V11,$C$10:$K$109,2,FALSE)</f>
        <v>#REF!</v>
      </c>
      <c r="X11" t="e">
        <f t="shared" ref="X11:X74" si="19">IF($W11="","",VLOOKUP($W11,$E$10:$P$109,2,FALSE))</f>
        <v>#REF!</v>
      </c>
      <c r="Y11" t="e">
        <f t="shared" ref="Y11:Y74" si="20">IF($W11="","",VLOOKUP($W11,$E$10:$P$109,3,FALSE))</f>
        <v>#REF!</v>
      </c>
      <c r="Z11" t="e">
        <f t="shared" ref="Z11:Z74" si="21">IF($W11="","",VLOOKUP($W11,$E$10:$P$109,8,FALSE))</f>
        <v>#REF!</v>
      </c>
      <c r="AA11" t="e">
        <f t="shared" ref="AA11:AA74" si="22">IF($W11="","",VLOOKUP($W11,$E$10:$P$109,9,FALSE))</f>
        <v>#REF!</v>
      </c>
      <c r="AD11">
        <f>'1. Project Details'!B16</f>
        <v>0</v>
      </c>
      <c r="AE11" t="str">
        <f t="shared" si="5"/>
        <v/>
      </c>
      <c r="AF11" t="str">
        <f t="shared" ref="AF11:AF50" si="23">IF(AE11="","",IF(AE11=0,"",AE11))</f>
        <v/>
      </c>
      <c r="AG11" s="15" t="str">
        <f>IF(AF11="","",RANK(AF11,$AF$10:$AF$50)+COUNTIF(AF$10:AF11,AF11)-1)</f>
        <v/>
      </c>
      <c r="AI11" t="e">
        <f>'1. Project Details'!#REF!</f>
        <v>#REF!</v>
      </c>
      <c r="AK11">
        <v>2</v>
      </c>
      <c r="AL11" t="e">
        <f t="shared" si="6"/>
        <v>#REF!</v>
      </c>
      <c r="AM11" t="e">
        <f>IF(AL11="","",IF(AL11=AL10,"",AL11))</f>
        <v>#REF!</v>
      </c>
      <c r="AO11" t="e">
        <f t="shared" si="7"/>
        <v>#REF!</v>
      </c>
      <c r="AP11" t="e">
        <f t="shared" si="8"/>
        <v>#REF!</v>
      </c>
      <c r="AQ11" s="12" t="e">
        <f t="shared" si="9"/>
        <v>#REF!</v>
      </c>
      <c r="AR11" t="e">
        <f t="shared" si="10"/>
        <v>#REF!</v>
      </c>
      <c r="AW11"/>
    </row>
    <row r="12" spans="1:49">
      <c r="A12">
        <v>3</v>
      </c>
      <c r="B12" t="e">
        <f t="shared" si="0"/>
        <v>#REF!</v>
      </c>
      <c r="C12" t="e">
        <f t="shared" si="1"/>
        <v>#REF!</v>
      </c>
      <c r="D12" t="e">
        <f t="shared" si="11"/>
        <v>#REF!</v>
      </c>
      <c r="E12" s="354" t="e">
        <f>IF(#REF!="","",#REF!)</f>
        <v>#REF!</v>
      </c>
      <c r="F12" s="354" t="e">
        <f>IF(#REF!="","",#REF!)</f>
        <v>#REF!</v>
      </c>
      <c r="G12" s="354" t="e">
        <f>IF(#REF!="","",#REF!)</f>
        <v>#REF!</v>
      </c>
      <c r="H12" s="354" t="e">
        <f>IF(#REF!="","",#REF!)</f>
        <v>#REF!</v>
      </c>
      <c r="I12" s="354" t="e">
        <f t="shared" si="12"/>
        <v>#REF!</v>
      </c>
      <c r="J12" s="355" t="e">
        <f>IF(#REF!="","",#REF!)</f>
        <v>#REF!</v>
      </c>
      <c r="K12" s="355" t="e">
        <f>IF(#REF!="","",#REF!)</f>
        <v>#REF!</v>
      </c>
      <c r="L12" s="12" t="e">
        <f t="shared" si="13"/>
        <v>#REF!</v>
      </c>
      <c r="M12" t="e">
        <f t="shared" si="14"/>
        <v>#REF!</v>
      </c>
      <c r="N12" t="e">
        <f t="shared" si="2"/>
        <v>#REF!</v>
      </c>
      <c r="O12" t="e">
        <f t="shared" si="3"/>
        <v>#REF!</v>
      </c>
      <c r="P12" t="e">
        <f t="shared" si="4"/>
        <v>#REF!</v>
      </c>
      <c r="Q12">
        <f>SUM($A$10:A12)</f>
        <v>6</v>
      </c>
      <c r="S12" s="15" t="e">
        <f>IF(T12="","",RANK(T12,$T$10:$T$50,1)+COUNTIF(T$10:T12,T12)-1)</f>
        <v>#REF!</v>
      </c>
      <c r="T12" t="e">
        <f t="shared" si="15"/>
        <v>#REF!</v>
      </c>
      <c r="U12" t="e">
        <f t="shared" si="16"/>
        <v>#REF!</v>
      </c>
      <c r="V12" t="e">
        <f t="shared" si="17"/>
        <v>#REF!</v>
      </c>
      <c r="W12" t="e">
        <f t="shared" si="18"/>
        <v>#REF!</v>
      </c>
      <c r="X12" t="e">
        <f t="shared" si="19"/>
        <v>#REF!</v>
      </c>
      <c r="Y12" t="e">
        <f t="shared" si="20"/>
        <v>#REF!</v>
      </c>
      <c r="Z12" t="e">
        <f t="shared" si="21"/>
        <v>#REF!</v>
      </c>
      <c r="AA12" t="e">
        <f t="shared" si="22"/>
        <v>#REF!</v>
      </c>
      <c r="AD12" t="e">
        <f>'1. Project Details'!#REF!</f>
        <v>#REF!</v>
      </c>
      <c r="AE12" t="e">
        <f t="shared" si="5"/>
        <v>#REF!</v>
      </c>
      <c r="AF12" t="e">
        <f t="shared" si="23"/>
        <v>#REF!</v>
      </c>
      <c r="AG12" s="15" t="e">
        <f>IF(AF12="","",RANK(AF12,$AF$10:$AF$50)+COUNTIF(AF$10:AF12,AF12)-1)</f>
        <v>#REF!</v>
      </c>
      <c r="AI12">
        <f>'1. Project Details'!B17</f>
        <v>0</v>
      </c>
      <c r="AK12">
        <v>3</v>
      </c>
      <c r="AL12" t="e">
        <f t="shared" si="6"/>
        <v>#REF!</v>
      </c>
      <c r="AM12" t="e">
        <f t="shared" ref="AM12:AM75" si="24">IF(AL12="","",IF(AL12=AL11,"",AL12))</f>
        <v>#REF!</v>
      </c>
      <c r="AO12" t="e">
        <f t="shared" si="7"/>
        <v>#REF!</v>
      </c>
      <c r="AP12" t="e">
        <f t="shared" si="8"/>
        <v>#REF!</v>
      </c>
      <c r="AQ12" s="12" t="e">
        <f t="shared" si="9"/>
        <v>#REF!</v>
      </c>
      <c r="AR12" t="e">
        <f t="shared" si="10"/>
        <v>#REF!</v>
      </c>
      <c r="AW12"/>
    </row>
    <row r="13" spans="1:49">
      <c r="A13">
        <v>4</v>
      </c>
      <c r="B13" t="e">
        <f t="shared" si="0"/>
        <v>#REF!</v>
      </c>
      <c r="C13" t="e">
        <f t="shared" si="1"/>
        <v>#REF!</v>
      </c>
      <c r="D13" t="e">
        <f t="shared" si="11"/>
        <v>#REF!</v>
      </c>
      <c r="E13" s="354" t="e">
        <f>IF(#REF!="","",#REF!)</f>
        <v>#REF!</v>
      </c>
      <c r="F13" s="354" t="e">
        <f>IF(#REF!="","",#REF!)</f>
        <v>#REF!</v>
      </c>
      <c r="G13" s="354" t="e">
        <f>IF(#REF!="","",#REF!)</f>
        <v>#REF!</v>
      </c>
      <c r="H13" s="354" t="e">
        <f>IF(#REF!="","",#REF!)</f>
        <v>#REF!</v>
      </c>
      <c r="I13" s="354" t="e">
        <f t="shared" si="12"/>
        <v>#REF!</v>
      </c>
      <c r="J13" s="355" t="e">
        <f>IF(#REF!="","",#REF!)</f>
        <v>#REF!</v>
      </c>
      <c r="K13" s="355" t="e">
        <f>IF(#REF!="","",#REF!)</f>
        <v>#REF!</v>
      </c>
      <c r="L13" s="12" t="e">
        <f t="shared" si="13"/>
        <v>#REF!</v>
      </c>
      <c r="M13" t="e">
        <f t="shared" si="14"/>
        <v>#REF!</v>
      </c>
      <c r="N13" t="e">
        <f t="shared" si="2"/>
        <v>#REF!</v>
      </c>
      <c r="O13" t="e">
        <f t="shared" si="3"/>
        <v>#REF!</v>
      </c>
      <c r="P13" t="e">
        <f t="shared" si="4"/>
        <v>#REF!</v>
      </c>
      <c r="Q13">
        <f>SUM($A$10:A13)</f>
        <v>10</v>
      </c>
      <c r="S13" s="15" t="e">
        <f>IF(T13="","",RANK(T13,$T$10:$T$50,1)+COUNTIF(T$10:T13,T13)-1)</f>
        <v>#REF!</v>
      </c>
      <c r="T13" t="e">
        <f t="shared" si="15"/>
        <v>#REF!</v>
      </c>
      <c r="U13" t="e">
        <f t="shared" si="16"/>
        <v>#REF!</v>
      </c>
      <c r="V13" t="e">
        <f t="shared" si="17"/>
        <v>#REF!</v>
      </c>
      <c r="W13" t="e">
        <f t="shared" si="18"/>
        <v>#REF!</v>
      </c>
      <c r="X13" t="e">
        <f t="shared" si="19"/>
        <v>#REF!</v>
      </c>
      <c r="Y13" t="e">
        <f t="shared" si="20"/>
        <v>#REF!</v>
      </c>
      <c r="Z13" t="e">
        <f t="shared" si="21"/>
        <v>#REF!</v>
      </c>
      <c r="AA13" t="e">
        <f t="shared" si="22"/>
        <v>#REF!</v>
      </c>
      <c r="AD13">
        <f>'1. Project Details'!B17</f>
        <v>0</v>
      </c>
      <c r="AE13" t="str">
        <f t="shared" si="5"/>
        <v/>
      </c>
      <c r="AF13" t="str">
        <f t="shared" si="23"/>
        <v/>
      </c>
      <c r="AG13" s="15" t="str">
        <f>IF(AF13="","",RANK(AF13,$AF$10:$AF$50)+COUNTIF(AF$10:AF13,AF13)-1)</f>
        <v/>
      </c>
      <c r="AI13">
        <f>'1. Project Details'!B20</f>
        <v>0</v>
      </c>
      <c r="AK13">
        <v>4</v>
      </c>
      <c r="AL13" t="e">
        <f t="shared" si="6"/>
        <v>#REF!</v>
      </c>
      <c r="AM13" t="e">
        <f t="shared" si="24"/>
        <v>#REF!</v>
      </c>
      <c r="AO13" t="e">
        <f t="shared" si="7"/>
        <v>#REF!</v>
      </c>
      <c r="AP13" t="e">
        <f t="shared" si="8"/>
        <v>#REF!</v>
      </c>
      <c r="AQ13" s="12" t="e">
        <f t="shared" si="9"/>
        <v>#REF!</v>
      </c>
      <c r="AR13" t="e">
        <f t="shared" si="10"/>
        <v>#REF!</v>
      </c>
      <c r="AW13"/>
    </row>
    <row r="14" spans="1:49">
      <c r="A14">
        <v>5</v>
      </c>
      <c r="B14" t="e">
        <f t="shared" si="0"/>
        <v>#REF!</v>
      </c>
      <c r="C14" t="e">
        <f t="shared" si="1"/>
        <v>#REF!</v>
      </c>
      <c r="D14" t="e">
        <f t="shared" si="11"/>
        <v>#REF!</v>
      </c>
      <c r="E14" s="354" t="e">
        <f>IF(#REF!="","",#REF!)</f>
        <v>#REF!</v>
      </c>
      <c r="F14" s="354" t="e">
        <f>IF(#REF!="","",#REF!)</f>
        <v>#REF!</v>
      </c>
      <c r="G14" s="354" t="e">
        <f>IF(#REF!="","",#REF!)</f>
        <v>#REF!</v>
      </c>
      <c r="H14" s="354" t="e">
        <f>IF(#REF!="","",#REF!)</f>
        <v>#REF!</v>
      </c>
      <c r="I14" s="354" t="e">
        <f t="shared" si="12"/>
        <v>#REF!</v>
      </c>
      <c r="J14" s="355" t="e">
        <f>IF(#REF!="","",#REF!)</f>
        <v>#REF!</v>
      </c>
      <c r="K14" s="355" t="e">
        <f>IF(#REF!="","",#REF!)</f>
        <v>#REF!</v>
      </c>
      <c r="L14" s="12" t="e">
        <f t="shared" si="13"/>
        <v>#REF!</v>
      </c>
      <c r="M14" t="e">
        <f t="shared" si="14"/>
        <v>#REF!</v>
      </c>
      <c r="N14" t="e">
        <f t="shared" si="2"/>
        <v>#REF!</v>
      </c>
      <c r="O14" t="e">
        <f t="shared" si="3"/>
        <v>#REF!</v>
      </c>
      <c r="P14" t="e">
        <f t="shared" si="4"/>
        <v>#REF!</v>
      </c>
      <c r="Q14">
        <f>SUM($A$10:A14)</f>
        <v>15</v>
      </c>
      <c r="S14" s="15" t="e">
        <f>IF(T14="","",RANK(T14,$T$10:$T$50,1)+COUNTIF(T$10:T14,T14)-1)</f>
        <v>#REF!</v>
      </c>
      <c r="T14" t="e">
        <f t="shared" si="15"/>
        <v>#REF!</v>
      </c>
      <c r="U14" t="e">
        <f t="shared" si="16"/>
        <v>#REF!</v>
      </c>
      <c r="V14" t="e">
        <f t="shared" si="17"/>
        <v>#REF!</v>
      </c>
      <c r="W14" t="e">
        <f t="shared" si="18"/>
        <v>#REF!</v>
      </c>
      <c r="X14" t="e">
        <f t="shared" si="19"/>
        <v>#REF!</v>
      </c>
      <c r="Y14" t="e">
        <f t="shared" si="20"/>
        <v>#REF!</v>
      </c>
      <c r="Z14" t="e">
        <f t="shared" si="21"/>
        <v>#REF!</v>
      </c>
      <c r="AA14" t="e">
        <f t="shared" si="22"/>
        <v>#REF!</v>
      </c>
      <c r="AD14">
        <f>'1. Project Details'!B20</f>
        <v>0</v>
      </c>
      <c r="AE14" t="str">
        <f t="shared" si="5"/>
        <v/>
      </c>
      <c r="AF14" t="str">
        <f t="shared" si="23"/>
        <v/>
      </c>
      <c r="AG14" s="15" t="str">
        <f>IF(AF14="","",RANK(AF14,$AF$10:$AF$50)+COUNTIF(AF$10:AF14,AF14)-1)</f>
        <v/>
      </c>
      <c r="AI14">
        <f>'1. Project Details'!B21</f>
        <v>0</v>
      </c>
      <c r="AK14">
        <v>5</v>
      </c>
      <c r="AL14" t="e">
        <f t="shared" si="6"/>
        <v>#REF!</v>
      </c>
      <c r="AM14" t="e">
        <f t="shared" si="24"/>
        <v>#REF!</v>
      </c>
      <c r="AO14" t="e">
        <f t="shared" si="7"/>
        <v>#REF!</v>
      </c>
      <c r="AP14" t="e">
        <f t="shared" si="8"/>
        <v>#REF!</v>
      </c>
      <c r="AQ14" s="12" t="e">
        <f t="shared" si="9"/>
        <v>#REF!</v>
      </c>
      <c r="AR14" t="e">
        <f t="shared" si="10"/>
        <v>#REF!</v>
      </c>
      <c r="AW14"/>
    </row>
    <row r="15" spans="1:49">
      <c r="A15">
        <v>6</v>
      </c>
      <c r="B15" t="e">
        <f t="shared" si="0"/>
        <v>#REF!</v>
      </c>
      <c r="C15" t="e">
        <f t="shared" si="1"/>
        <v>#REF!</v>
      </c>
      <c r="D15" t="e">
        <f t="shared" si="11"/>
        <v>#REF!</v>
      </c>
      <c r="E15" s="354" t="e">
        <f>IF(#REF!="","",#REF!)</f>
        <v>#REF!</v>
      </c>
      <c r="F15" s="354" t="e">
        <f>IF(#REF!="","",#REF!)</f>
        <v>#REF!</v>
      </c>
      <c r="G15" s="354" t="e">
        <f>IF(#REF!="","",#REF!)</f>
        <v>#REF!</v>
      </c>
      <c r="H15" s="354" t="e">
        <f>IF(#REF!="","",#REF!)</f>
        <v>#REF!</v>
      </c>
      <c r="I15" s="354" t="e">
        <f t="shared" si="12"/>
        <v>#REF!</v>
      </c>
      <c r="J15" s="355" t="e">
        <f>IF(#REF!="","",#REF!)</f>
        <v>#REF!</v>
      </c>
      <c r="K15" s="355" t="e">
        <f>IF(#REF!="","",#REF!)</f>
        <v>#REF!</v>
      </c>
      <c r="L15" s="12" t="e">
        <f t="shared" si="13"/>
        <v>#REF!</v>
      </c>
      <c r="M15" t="e">
        <f t="shared" si="14"/>
        <v>#REF!</v>
      </c>
      <c r="N15" t="e">
        <f t="shared" si="2"/>
        <v>#REF!</v>
      </c>
      <c r="O15" t="e">
        <f t="shared" si="3"/>
        <v>#REF!</v>
      </c>
      <c r="P15" t="e">
        <f t="shared" si="4"/>
        <v>#REF!</v>
      </c>
      <c r="Q15">
        <f>SUM($A$10:A15)</f>
        <v>21</v>
      </c>
      <c r="S15" s="15" t="e">
        <f>IF(T15="","",RANK(T15,$T$10:$T$50,1)+COUNTIF(T$10:T15,T15)-1)</f>
        <v>#REF!</v>
      </c>
      <c r="T15" t="e">
        <f t="shared" si="15"/>
        <v>#REF!</v>
      </c>
      <c r="U15" t="e">
        <f t="shared" si="16"/>
        <v>#REF!</v>
      </c>
      <c r="V15" t="e">
        <f t="shared" si="17"/>
        <v>#REF!</v>
      </c>
      <c r="W15" t="e">
        <f t="shared" si="18"/>
        <v>#REF!</v>
      </c>
      <c r="X15" t="e">
        <f t="shared" si="19"/>
        <v>#REF!</v>
      </c>
      <c r="Y15" t="e">
        <f t="shared" si="20"/>
        <v>#REF!</v>
      </c>
      <c r="Z15" t="e">
        <f t="shared" si="21"/>
        <v>#REF!</v>
      </c>
      <c r="AA15" t="e">
        <f t="shared" si="22"/>
        <v>#REF!</v>
      </c>
      <c r="AD15">
        <f>'1. Project Details'!B21</f>
        <v>0</v>
      </c>
      <c r="AE15" t="str">
        <f t="shared" si="5"/>
        <v/>
      </c>
      <c r="AF15" t="str">
        <f t="shared" si="23"/>
        <v/>
      </c>
      <c r="AG15" s="15" t="str">
        <f>IF(AF15="","",RANK(AF15,$AF$10:$AF$50)+COUNTIF(AF$10:AF15,AF15)-1)</f>
        <v/>
      </c>
      <c r="AI15">
        <f>'1. Project Details'!B22</f>
        <v>0</v>
      </c>
      <c r="AK15">
        <v>6</v>
      </c>
      <c r="AL15" t="e">
        <f t="shared" si="6"/>
        <v>#REF!</v>
      </c>
      <c r="AM15" t="e">
        <f t="shared" si="24"/>
        <v>#REF!</v>
      </c>
      <c r="AO15" t="e">
        <f t="shared" si="7"/>
        <v>#REF!</v>
      </c>
      <c r="AP15" t="e">
        <f t="shared" si="8"/>
        <v>#REF!</v>
      </c>
      <c r="AQ15" s="12" t="e">
        <f t="shared" si="9"/>
        <v>#REF!</v>
      </c>
      <c r="AR15" t="e">
        <f t="shared" si="10"/>
        <v>#REF!</v>
      </c>
      <c r="AW15"/>
    </row>
    <row r="16" spans="1:49">
      <c r="A16">
        <v>7</v>
      </c>
      <c r="B16" t="e">
        <f t="shared" si="0"/>
        <v>#REF!</v>
      </c>
      <c r="C16" t="e">
        <f t="shared" si="1"/>
        <v>#REF!</v>
      </c>
      <c r="D16" t="e">
        <f t="shared" si="11"/>
        <v>#REF!</v>
      </c>
      <c r="E16" s="354" t="e">
        <f>IF(#REF!="","",#REF!)</f>
        <v>#REF!</v>
      </c>
      <c r="F16" s="354" t="e">
        <f>IF(#REF!="","",#REF!)</f>
        <v>#REF!</v>
      </c>
      <c r="G16" s="354" t="e">
        <f>IF(#REF!="","",#REF!)</f>
        <v>#REF!</v>
      </c>
      <c r="H16" s="354" t="e">
        <f>IF(#REF!="","",#REF!)</f>
        <v>#REF!</v>
      </c>
      <c r="I16" s="354" t="e">
        <f t="shared" si="12"/>
        <v>#REF!</v>
      </c>
      <c r="J16" s="355" t="e">
        <f>IF(#REF!="","",#REF!)</f>
        <v>#REF!</v>
      </c>
      <c r="K16" s="355" t="e">
        <f>IF(#REF!="","",#REF!)</f>
        <v>#REF!</v>
      </c>
      <c r="L16" s="12" t="e">
        <f t="shared" si="13"/>
        <v>#REF!</v>
      </c>
      <c r="M16" t="e">
        <f t="shared" si="14"/>
        <v>#REF!</v>
      </c>
      <c r="N16" t="e">
        <f t="shared" si="2"/>
        <v>#REF!</v>
      </c>
      <c r="O16" t="e">
        <f t="shared" si="3"/>
        <v>#REF!</v>
      </c>
      <c r="P16" t="e">
        <f t="shared" si="4"/>
        <v>#REF!</v>
      </c>
      <c r="Q16">
        <f>SUM($A$10:A16)</f>
        <v>28</v>
      </c>
      <c r="S16" s="15" t="e">
        <f>IF(T16="","",RANK(T16,$T$10:$T$50,1)+COUNTIF(T$10:T16,T16)-1)</f>
        <v>#REF!</v>
      </c>
      <c r="T16" t="e">
        <f t="shared" si="15"/>
        <v>#REF!</v>
      </c>
      <c r="U16" t="e">
        <f t="shared" si="16"/>
        <v>#REF!</v>
      </c>
      <c r="V16" t="e">
        <f t="shared" si="17"/>
        <v>#REF!</v>
      </c>
      <c r="W16" t="e">
        <f t="shared" si="18"/>
        <v>#REF!</v>
      </c>
      <c r="X16" t="e">
        <f t="shared" si="19"/>
        <v>#REF!</v>
      </c>
      <c r="Y16" t="e">
        <f t="shared" si="20"/>
        <v>#REF!</v>
      </c>
      <c r="Z16" t="e">
        <f t="shared" si="21"/>
        <v>#REF!</v>
      </c>
      <c r="AA16" t="e">
        <f t="shared" si="22"/>
        <v>#REF!</v>
      </c>
      <c r="AD16">
        <f>'1. Project Details'!B22</f>
        <v>0</v>
      </c>
      <c r="AE16" t="str">
        <f t="shared" si="5"/>
        <v/>
      </c>
      <c r="AF16" t="str">
        <f t="shared" si="23"/>
        <v/>
      </c>
      <c r="AG16" s="15" t="str">
        <f>IF(AF16="","",RANK(AF16,$AF$10:$AF$50)+COUNTIF(AF$10:AF16,AF16)-1)</f>
        <v/>
      </c>
      <c r="AI16">
        <f>'1. Project Details'!B23</f>
        <v>0</v>
      </c>
      <c r="AK16">
        <v>7</v>
      </c>
      <c r="AL16" t="e">
        <f t="shared" si="6"/>
        <v>#REF!</v>
      </c>
      <c r="AM16" t="e">
        <f t="shared" si="24"/>
        <v>#REF!</v>
      </c>
      <c r="AO16" t="e">
        <f t="shared" si="7"/>
        <v>#REF!</v>
      </c>
      <c r="AP16" t="e">
        <f t="shared" si="8"/>
        <v>#REF!</v>
      </c>
      <c r="AQ16" s="12" t="e">
        <f t="shared" si="9"/>
        <v>#REF!</v>
      </c>
      <c r="AR16" t="e">
        <f t="shared" si="10"/>
        <v>#REF!</v>
      </c>
      <c r="AW16"/>
    </row>
    <row r="17" spans="1:49">
      <c r="A17">
        <v>8</v>
      </c>
      <c r="B17" t="e">
        <f t="shared" si="0"/>
        <v>#REF!</v>
      </c>
      <c r="C17" t="e">
        <f t="shared" si="1"/>
        <v>#REF!</v>
      </c>
      <c r="D17" t="e">
        <f t="shared" si="11"/>
        <v>#REF!</v>
      </c>
      <c r="E17" s="354" t="e">
        <f>IF(#REF!="","",#REF!)</f>
        <v>#REF!</v>
      </c>
      <c r="F17" s="354" t="e">
        <f>IF(#REF!="","",#REF!)</f>
        <v>#REF!</v>
      </c>
      <c r="G17" s="354" t="e">
        <f>IF(#REF!="","",#REF!)</f>
        <v>#REF!</v>
      </c>
      <c r="H17" s="354" t="e">
        <f>IF(#REF!="","",#REF!)</f>
        <v>#REF!</v>
      </c>
      <c r="I17" s="354" t="e">
        <f t="shared" si="12"/>
        <v>#REF!</v>
      </c>
      <c r="J17" s="355" t="e">
        <f>IF(#REF!="","",#REF!)</f>
        <v>#REF!</v>
      </c>
      <c r="K17" s="355" t="e">
        <f>IF(#REF!="","",#REF!)</f>
        <v>#REF!</v>
      </c>
      <c r="L17" s="12" t="e">
        <f t="shared" si="13"/>
        <v>#REF!</v>
      </c>
      <c r="M17" t="e">
        <f t="shared" si="14"/>
        <v>#REF!</v>
      </c>
      <c r="N17" t="e">
        <f t="shared" si="2"/>
        <v>#REF!</v>
      </c>
      <c r="O17" t="e">
        <f t="shared" si="3"/>
        <v>#REF!</v>
      </c>
      <c r="P17" t="e">
        <f t="shared" si="4"/>
        <v>#REF!</v>
      </c>
      <c r="Q17">
        <f>SUM($A$10:A17)</f>
        <v>36</v>
      </c>
      <c r="S17" s="15" t="e">
        <f>IF(T17="","",RANK(T17,$T$10:$T$50,1)+COUNTIF(T$10:T17,T17)-1)</f>
        <v>#REF!</v>
      </c>
      <c r="T17" t="e">
        <f t="shared" si="15"/>
        <v>#REF!</v>
      </c>
      <c r="U17" t="e">
        <f t="shared" si="16"/>
        <v>#REF!</v>
      </c>
      <c r="V17" t="e">
        <f t="shared" si="17"/>
        <v>#REF!</v>
      </c>
      <c r="W17" t="e">
        <f t="shared" si="18"/>
        <v>#REF!</v>
      </c>
      <c r="X17" t="e">
        <f t="shared" si="19"/>
        <v>#REF!</v>
      </c>
      <c r="Y17" t="e">
        <f t="shared" si="20"/>
        <v>#REF!</v>
      </c>
      <c r="Z17" t="e">
        <f t="shared" si="21"/>
        <v>#REF!</v>
      </c>
      <c r="AA17" t="e">
        <f t="shared" si="22"/>
        <v>#REF!</v>
      </c>
      <c r="AD17">
        <f>'1. Project Details'!B23</f>
        <v>0</v>
      </c>
      <c r="AE17" t="str">
        <f t="shared" si="5"/>
        <v/>
      </c>
      <c r="AF17" t="str">
        <f t="shared" si="23"/>
        <v/>
      </c>
      <c r="AG17" s="15" t="str">
        <f>IF(AF17="","",RANK(AF17,$AF$10:$AF$50)+COUNTIF(AF$10:AF17,AF17)-1)</f>
        <v/>
      </c>
      <c r="AI17" t="e">
        <f>'1. Project Details'!#REF!</f>
        <v>#REF!</v>
      </c>
      <c r="AK17">
        <v>8</v>
      </c>
      <c r="AL17" t="e">
        <f t="shared" si="6"/>
        <v>#REF!</v>
      </c>
      <c r="AM17" t="e">
        <f t="shared" si="24"/>
        <v>#REF!</v>
      </c>
      <c r="AO17" t="e">
        <f t="shared" si="7"/>
        <v>#REF!</v>
      </c>
      <c r="AP17" t="e">
        <f t="shared" si="8"/>
        <v>#REF!</v>
      </c>
      <c r="AQ17" s="12" t="e">
        <f t="shared" si="9"/>
        <v>#REF!</v>
      </c>
      <c r="AR17" t="e">
        <f t="shared" si="10"/>
        <v>#REF!</v>
      </c>
      <c r="AW17"/>
    </row>
    <row r="18" spans="1:49">
      <c r="A18">
        <v>9</v>
      </c>
      <c r="B18" t="e">
        <f t="shared" si="0"/>
        <v>#REF!</v>
      </c>
      <c r="C18" t="e">
        <f t="shared" si="1"/>
        <v>#REF!</v>
      </c>
      <c r="D18" t="e">
        <f t="shared" si="11"/>
        <v>#REF!</v>
      </c>
      <c r="E18" s="354" t="e">
        <f>IF(#REF!="","",#REF!)</f>
        <v>#REF!</v>
      </c>
      <c r="F18" s="354" t="e">
        <f>IF(#REF!="","",#REF!)</f>
        <v>#REF!</v>
      </c>
      <c r="G18" s="354" t="e">
        <f>IF(#REF!="","",#REF!)</f>
        <v>#REF!</v>
      </c>
      <c r="H18" s="354" t="e">
        <f>IF(#REF!="","",#REF!)</f>
        <v>#REF!</v>
      </c>
      <c r="I18" s="354" t="e">
        <f t="shared" si="12"/>
        <v>#REF!</v>
      </c>
      <c r="J18" s="355" t="e">
        <f>IF(#REF!="","",#REF!)</f>
        <v>#REF!</v>
      </c>
      <c r="K18" s="355" t="e">
        <f>IF(#REF!="","",#REF!)</f>
        <v>#REF!</v>
      </c>
      <c r="L18" s="12" t="e">
        <f t="shared" si="13"/>
        <v>#REF!</v>
      </c>
      <c r="M18" t="e">
        <f t="shared" si="14"/>
        <v>#REF!</v>
      </c>
      <c r="N18" t="e">
        <f t="shared" si="2"/>
        <v>#REF!</v>
      </c>
      <c r="O18" t="e">
        <f t="shared" si="3"/>
        <v>#REF!</v>
      </c>
      <c r="P18" t="e">
        <f t="shared" si="4"/>
        <v>#REF!</v>
      </c>
      <c r="Q18">
        <f>SUM($A$10:A18)</f>
        <v>45</v>
      </c>
      <c r="S18" s="15" t="e">
        <f>IF(T18="","",RANK(T18,$T$10:$T$50,1)+COUNTIF(T$10:T18,T18)-1)</f>
        <v>#REF!</v>
      </c>
      <c r="T18" t="e">
        <f t="shared" si="15"/>
        <v>#REF!</v>
      </c>
      <c r="U18" t="e">
        <f t="shared" si="16"/>
        <v>#REF!</v>
      </c>
      <c r="V18" t="e">
        <f t="shared" si="17"/>
        <v>#REF!</v>
      </c>
      <c r="W18" t="e">
        <f t="shared" si="18"/>
        <v>#REF!</v>
      </c>
      <c r="X18" t="e">
        <f t="shared" si="19"/>
        <v>#REF!</v>
      </c>
      <c r="Y18" t="e">
        <f t="shared" si="20"/>
        <v>#REF!</v>
      </c>
      <c r="Z18" t="e">
        <f t="shared" si="21"/>
        <v>#REF!</v>
      </c>
      <c r="AA18" t="e">
        <f t="shared" si="22"/>
        <v>#REF!</v>
      </c>
      <c r="AD18" t="e">
        <f>'1. Project Details'!#REF!</f>
        <v>#REF!</v>
      </c>
      <c r="AE18" t="e">
        <f t="shared" si="5"/>
        <v>#REF!</v>
      </c>
      <c r="AF18" t="e">
        <f t="shared" si="23"/>
        <v>#REF!</v>
      </c>
      <c r="AG18" s="15" t="e">
        <f>IF(AF18="","",RANK(AF18,$AF$10:$AF$50)+COUNTIF(AF$10:AF18,AF18)-1)</f>
        <v>#REF!</v>
      </c>
      <c r="AI18">
        <f>'1. Project Details'!B24</f>
        <v>0</v>
      </c>
      <c r="AK18">
        <v>9</v>
      </c>
      <c r="AL18" t="e">
        <f t="shared" si="6"/>
        <v>#REF!</v>
      </c>
      <c r="AM18" t="e">
        <f t="shared" si="24"/>
        <v>#REF!</v>
      </c>
      <c r="AO18" t="e">
        <f t="shared" si="7"/>
        <v>#REF!</v>
      </c>
      <c r="AP18" t="e">
        <f t="shared" si="8"/>
        <v>#REF!</v>
      </c>
      <c r="AQ18" s="12" t="e">
        <f t="shared" si="9"/>
        <v>#REF!</v>
      </c>
      <c r="AR18" t="e">
        <f t="shared" si="10"/>
        <v>#REF!</v>
      </c>
      <c r="AW18"/>
    </row>
    <row r="19" spans="1:49">
      <c r="A19">
        <v>10</v>
      </c>
      <c r="B19" t="e">
        <f t="shared" si="0"/>
        <v>#REF!</v>
      </c>
      <c r="C19" t="e">
        <f t="shared" si="1"/>
        <v>#REF!</v>
      </c>
      <c r="D19" t="e">
        <f t="shared" si="11"/>
        <v>#REF!</v>
      </c>
      <c r="E19" s="354" t="e">
        <f>IF(#REF!="","",#REF!)</f>
        <v>#REF!</v>
      </c>
      <c r="F19" s="354" t="e">
        <f>IF(#REF!="","",#REF!)</f>
        <v>#REF!</v>
      </c>
      <c r="G19" s="354" t="e">
        <f>IF(#REF!="","",#REF!)</f>
        <v>#REF!</v>
      </c>
      <c r="H19" s="354" t="e">
        <f>IF(#REF!="","",#REF!)</f>
        <v>#REF!</v>
      </c>
      <c r="I19" s="354" t="e">
        <f t="shared" si="12"/>
        <v>#REF!</v>
      </c>
      <c r="J19" s="355" t="e">
        <f>IF(#REF!="","",#REF!)</f>
        <v>#REF!</v>
      </c>
      <c r="K19" s="355" t="e">
        <f>IF(#REF!="","",#REF!)</f>
        <v>#REF!</v>
      </c>
      <c r="L19" s="12" t="e">
        <f t="shared" si="13"/>
        <v>#REF!</v>
      </c>
      <c r="M19" t="e">
        <f t="shared" si="14"/>
        <v>#REF!</v>
      </c>
      <c r="N19" t="e">
        <f t="shared" si="2"/>
        <v>#REF!</v>
      </c>
      <c r="O19" t="e">
        <f t="shared" si="3"/>
        <v>#REF!</v>
      </c>
      <c r="P19" t="e">
        <f t="shared" si="4"/>
        <v>#REF!</v>
      </c>
      <c r="Q19">
        <f>SUM($A$10:A19)</f>
        <v>55</v>
      </c>
      <c r="S19" s="15" t="e">
        <f>IF(T19="","",RANK(T19,$T$10:$T$50,1)+COUNTIF(T$10:T19,T19)-1)</f>
        <v>#REF!</v>
      </c>
      <c r="T19" t="e">
        <f t="shared" si="15"/>
        <v>#REF!</v>
      </c>
      <c r="U19" t="e">
        <f t="shared" si="16"/>
        <v>#REF!</v>
      </c>
      <c r="V19" t="e">
        <f t="shared" si="17"/>
        <v>#REF!</v>
      </c>
      <c r="W19" t="e">
        <f t="shared" si="18"/>
        <v>#REF!</v>
      </c>
      <c r="X19" t="e">
        <f t="shared" si="19"/>
        <v>#REF!</v>
      </c>
      <c r="Y19" t="e">
        <f t="shared" si="20"/>
        <v>#REF!</v>
      </c>
      <c r="Z19" t="e">
        <f t="shared" si="21"/>
        <v>#REF!</v>
      </c>
      <c r="AA19" t="e">
        <f t="shared" si="22"/>
        <v>#REF!</v>
      </c>
      <c r="AD19">
        <f>'1. Project Details'!B24</f>
        <v>0</v>
      </c>
      <c r="AE19" t="str">
        <f t="shared" si="5"/>
        <v/>
      </c>
      <c r="AF19" t="str">
        <f t="shared" si="23"/>
        <v/>
      </c>
      <c r="AG19" s="15" t="str">
        <f>IF(AF19="","",RANK(AF19,$AF$10:$AF$50)+COUNTIF(AF$10:AF19,AF19)-1)</f>
        <v/>
      </c>
      <c r="AI19" t="e">
        <f>'1. Project Details'!#REF!</f>
        <v>#REF!</v>
      </c>
      <c r="AK19">
        <v>10</v>
      </c>
      <c r="AL19" t="e">
        <f t="shared" si="6"/>
        <v>#REF!</v>
      </c>
      <c r="AM19" t="e">
        <f t="shared" si="24"/>
        <v>#REF!</v>
      </c>
      <c r="AO19" t="e">
        <f t="shared" si="7"/>
        <v>#REF!</v>
      </c>
      <c r="AP19" t="e">
        <f t="shared" si="8"/>
        <v>#REF!</v>
      </c>
      <c r="AQ19" s="12" t="e">
        <f t="shared" si="9"/>
        <v>#REF!</v>
      </c>
      <c r="AR19" t="e">
        <f t="shared" si="10"/>
        <v>#REF!</v>
      </c>
      <c r="AW19"/>
    </row>
    <row r="20" spans="1:49">
      <c r="A20">
        <v>11</v>
      </c>
      <c r="B20" t="e">
        <f t="shared" si="0"/>
        <v>#REF!</v>
      </c>
      <c r="C20" t="e">
        <f t="shared" si="1"/>
        <v>#REF!</v>
      </c>
      <c r="D20" t="e">
        <f t="shared" si="11"/>
        <v>#REF!</v>
      </c>
      <c r="E20" s="354" t="e">
        <f>IF(#REF!="","",#REF!)</f>
        <v>#REF!</v>
      </c>
      <c r="F20" s="354" t="e">
        <f>IF(#REF!="","",#REF!)</f>
        <v>#REF!</v>
      </c>
      <c r="G20" s="354" t="e">
        <f>IF(#REF!="","",#REF!)</f>
        <v>#REF!</v>
      </c>
      <c r="H20" s="354" t="e">
        <f>IF(#REF!="","",#REF!)</f>
        <v>#REF!</v>
      </c>
      <c r="I20" s="354" t="e">
        <f t="shared" si="12"/>
        <v>#REF!</v>
      </c>
      <c r="J20" s="355" t="e">
        <f>IF(#REF!="","",#REF!)</f>
        <v>#REF!</v>
      </c>
      <c r="K20" s="355" t="e">
        <f>IF(#REF!="","",#REF!)</f>
        <v>#REF!</v>
      </c>
      <c r="L20" s="12" t="e">
        <f t="shared" si="13"/>
        <v>#REF!</v>
      </c>
      <c r="M20" t="e">
        <f t="shared" si="14"/>
        <v>#REF!</v>
      </c>
      <c r="N20" t="e">
        <f t="shared" si="2"/>
        <v>#REF!</v>
      </c>
      <c r="O20" t="e">
        <f t="shared" si="3"/>
        <v>#REF!</v>
      </c>
      <c r="P20" t="e">
        <f t="shared" si="4"/>
        <v>#REF!</v>
      </c>
      <c r="Q20">
        <f>SUM($A$10:A20)</f>
        <v>66</v>
      </c>
      <c r="S20" s="15" t="e">
        <f>IF(T20="","",RANK(T20,$T$10:$T$50,1)+COUNTIF(T$10:T20,T20)-1)</f>
        <v>#REF!</v>
      </c>
      <c r="T20" t="e">
        <f t="shared" si="15"/>
        <v>#REF!</v>
      </c>
      <c r="U20" t="e">
        <f t="shared" si="16"/>
        <v>#REF!</v>
      </c>
      <c r="V20" t="e">
        <f t="shared" si="17"/>
        <v>#REF!</v>
      </c>
      <c r="W20" t="e">
        <f t="shared" si="18"/>
        <v>#REF!</v>
      </c>
      <c r="X20" t="e">
        <f t="shared" si="19"/>
        <v>#REF!</v>
      </c>
      <c r="Y20" t="e">
        <f t="shared" si="20"/>
        <v>#REF!</v>
      </c>
      <c r="Z20" t="e">
        <f t="shared" si="21"/>
        <v>#REF!</v>
      </c>
      <c r="AA20" t="e">
        <f t="shared" si="22"/>
        <v>#REF!</v>
      </c>
      <c r="AD20" t="e">
        <f>'1. Project Details'!#REF!</f>
        <v>#REF!</v>
      </c>
      <c r="AE20" t="e">
        <f t="shared" si="5"/>
        <v>#REF!</v>
      </c>
      <c r="AF20" t="e">
        <f t="shared" si="23"/>
        <v>#REF!</v>
      </c>
      <c r="AG20" s="15" t="e">
        <f>IF(AF20="","",RANK(AF20,$AF$10:$AF$50)+COUNTIF(AF$10:AF20,AF20)-1)</f>
        <v>#REF!</v>
      </c>
      <c r="AI20" t="e">
        <f>'1. Project Details'!#REF!</f>
        <v>#REF!</v>
      </c>
      <c r="AK20">
        <v>11</v>
      </c>
      <c r="AL20" t="e">
        <f t="shared" si="6"/>
        <v>#REF!</v>
      </c>
      <c r="AM20" t="e">
        <f t="shared" si="24"/>
        <v>#REF!</v>
      </c>
      <c r="AO20" t="e">
        <f t="shared" si="7"/>
        <v>#REF!</v>
      </c>
      <c r="AP20" t="e">
        <f t="shared" si="8"/>
        <v>#REF!</v>
      </c>
      <c r="AQ20" s="12" t="e">
        <f t="shared" si="9"/>
        <v>#REF!</v>
      </c>
      <c r="AR20" t="e">
        <f t="shared" si="10"/>
        <v>#REF!</v>
      </c>
      <c r="AW20"/>
    </row>
    <row r="21" spans="1:49">
      <c r="A21">
        <v>12</v>
      </c>
      <c r="B21" t="e">
        <f t="shared" si="0"/>
        <v>#REF!</v>
      </c>
      <c r="C21" t="e">
        <f t="shared" si="1"/>
        <v>#REF!</v>
      </c>
      <c r="D21" t="e">
        <f t="shared" si="11"/>
        <v>#REF!</v>
      </c>
      <c r="E21" s="354" t="e">
        <f>IF(#REF!="","",#REF!)</f>
        <v>#REF!</v>
      </c>
      <c r="F21" s="354" t="e">
        <f>IF(#REF!="","",#REF!)</f>
        <v>#REF!</v>
      </c>
      <c r="G21" s="354" t="e">
        <f>IF(#REF!="","",#REF!)</f>
        <v>#REF!</v>
      </c>
      <c r="H21" s="354" t="e">
        <f>IF(#REF!="","",#REF!)</f>
        <v>#REF!</v>
      </c>
      <c r="I21" s="354" t="e">
        <f t="shared" si="12"/>
        <v>#REF!</v>
      </c>
      <c r="J21" s="355" t="e">
        <f>IF(#REF!="","",#REF!)</f>
        <v>#REF!</v>
      </c>
      <c r="K21" s="355" t="e">
        <f>IF(#REF!="","",#REF!)</f>
        <v>#REF!</v>
      </c>
      <c r="L21" s="12" t="e">
        <f t="shared" si="13"/>
        <v>#REF!</v>
      </c>
      <c r="M21" t="e">
        <f t="shared" si="14"/>
        <v>#REF!</v>
      </c>
      <c r="N21" t="e">
        <f t="shared" si="2"/>
        <v>#REF!</v>
      </c>
      <c r="O21" t="e">
        <f t="shared" si="3"/>
        <v>#REF!</v>
      </c>
      <c r="P21" t="e">
        <f t="shared" si="4"/>
        <v>#REF!</v>
      </c>
      <c r="Q21">
        <f>SUM($A$10:A21)</f>
        <v>78</v>
      </c>
      <c r="S21" s="15" t="e">
        <f>IF(T21="","",RANK(T21,$T$10:$T$50,1)+COUNTIF(T$10:T21,T21)-1)</f>
        <v>#REF!</v>
      </c>
      <c r="T21" t="e">
        <f t="shared" si="15"/>
        <v>#REF!</v>
      </c>
      <c r="U21" t="e">
        <f t="shared" si="16"/>
        <v>#REF!</v>
      </c>
      <c r="V21" t="e">
        <f t="shared" si="17"/>
        <v>#REF!</v>
      </c>
      <c r="W21" t="e">
        <f t="shared" si="18"/>
        <v>#REF!</v>
      </c>
      <c r="X21" t="e">
        <f t="shared" si="19"/>
        <v>#REF!</v>
      </c>
      <c r="Y21" t="e">
        <f t="shared" si="20"/>
        <v>#REF!</v>
      </c>
      <c r="Z21" t="e">
        <f t="shared" si="21"/>
        <v>#REF!</v>
      </c>
      <c r="AA21" t="e">
        <f t="shared" si="22"/>
        <v>#REF!</v>
      </c>
      <c r="AD21" t="e">
        <f>'1. Project Details'!#REF!</f>
        <v>#REF!</v>
      </c>
      <c r="AE21" t="e">
        <f t="shared" si="5"/>
        <v>#REF!</v>
      </c>
      <c r="AF21" t="e">
        <f t="shared" si="23"/>
        <v>#REF!</v>
      </c>
      <c r="AG21" s="15" t="e">
        <f>IF(AF21="","",RANK(AF21,$AF$10:$AF$50)+COUNTIF(AF$10:AF21,AF21)-1)</f>
        <v>#REF!</v>
      </c>
      <c r="AI21" t="e">
        <f>'1. Project Details'!#REF!</f>
        <v>#REF!</v>
      </c>
      <c r="AK21">
        <v>12</v>
      </c>
      <c r="AL21" t="e">
        <f t="shared" si="6"/>
        <v>#REF!</v>
      </c>
      <c r="AM21" t="e">
        <f t="shared" si="24"/>
        <v>#REF!</v>
      </c>
      <c r="AO21" t="e">
        <f t="shared" si="7"/>
        <v>#REF!</v>
      </c>
      <c r="AP21" t="e">
        <f t="shared" si="8"/>
        <v>#REF!</v>
      </c>
      <c r="AQ21" s="12" t="e">
        <f t="shared" si="9"/>
        <v>#REF!</v>
      </c>
      <c r="AR21" t="e">
        <f t="shared" si="10"/>
        <v>#REF!</v>
      </c>
      <c r="AW21"/>
    </row>
    <row r="22" spans="1:49">
      <c r="A22">
        <v>13</v>
      </c>
      <c r="B22" t="e">
        <f t="shared" si="0"/>
        <v>#REF!</v>
      </c>
      <c r="C22" t="e">
        <f t="shared" si="1"/>
        <v>#REF!</v>
      </c>
      <c r="D22" t="e">
        <f t="shared" si="11"/>
        <v>#REF!</v>
      </c>
      <c r="E22" s="354" t="e">
        <f>IF(#REF!="","",#REF!)</f>
        <v>#REF!</v>
      </c>
      <c r="F22" s="354" t="e">
        <f>IF(#REF!="","",#REF!)</f>
        <v>#REF!</v>
      </c>
      <c r="G22" s="354" t="e">
        <f>IF(#REF!="","",#REF!)</f>
        <v>#REF!</v>
      </c>
      <c r="H22" s="354" t="e">
        <f>IF(#REF!="","",#REF!)</f>
        <v>#REF!</v>
      </c>
      <c r="I22" s="354" t="e">
        <f t="shared" si="12"/>
        <v>#REF!</v>
      </c>
      <c r="J22" s="355" t="e">
        <f>IF(#REF!="","",#REF!)</f>
        <v>#REF!</v>
      </c>
      <c r="K22" s="355" t="e">
        <f>IF(#REF!="","",#REF!)</f>
        <v>#REF!</v>
      </c>
      <c r="L22" s="12" t="e">
        <f t="shared" si="13"/>
        <v>#REF!</v>
      </c>
      <c r="M22" t="e">
        <f t="shared" si="14"/>
        <v>#REF!</v>
      </c>
      <c r="N22" t="e">
        <f t="shared" si="2"/>
        <v>#REF!</v>
      </c>
      <c r="O22" t="e">
        <f t="shared" si="3"/>
        <v>#REF!</v>
      </c>
      <c r="P22" t="e">
        <f t="shared" si="4"/>
        <v>#REF!</v>
      </c>
      <c r="Q22">
        <f>SUM($A$10:A22)</f>
        <v>91</v>
      </c>
      <c r="S22" s="15" t="e">
        <f>IF(T22="","",RANK(T22,$T$10:$T$50,1)+COUNTIF(T$10:T22,T22)-1)</f>
        <v>#REF!</v>
      </c>
      <c r="T22" t="e">
        <f t="shared" si="15"/>
        <v>#REF!</v>
      </c>
      <c r="U22" t="e">
        <f t="shared" si="16"/>
        <v>#REF!</v>
      </c>
      <c r="V22" t="e">
        <f t="shared" si="17"/>
        <v>#REF!</v>
      </c>
      <c r="W22" t="e">
        <f t="shared" si="18"/>
        <v>#REF!</v>
      </c>
      <c r="X22" t="e">
        <f t="shared" si="19"/>
        <v>#REF!</v>
      </c>
      <c r="Y22" t="e">
        <f t="shared" si="20"/>
        <v>#REF!</v>
      </c>
      <c r="Z22" t="e">
        <f t="shared" si="21"/>
        <v>#REF!</v>
      </c>
      <c r="AA22" t="e">
        <f t="shared" si="22"/>
        <v>#REF!</v>
      </c>
      <c r="AD22" t="e">
        <f>'1. Project Details'!#REF!</f>
        <v>#REF!</v>
      </c>
      <c r="AE22" t="e">
        <f t="shared" si="5"/>
        <v>#REF!</v>
      </c>
      <c r="AF22" t="e">
        <f t="shared" si="23"/>
        <v>#REF!</v>
      </c>
      <c r="AG22" s="15" t="e">
        <f>IF(AF22="","",RANK(AF22,$AF$10:$AF$50)+COUNTIF(AF$10:AF22,AF22)-1)</f>
        <v>#REF!</v>
      </c>
      <c r="AI22" t="e">
        <f>'1. Project Details'!#REF!</f>
        <v>#REF!</v>
      </c>
      <c r="AK22">
        <v>13</v>
      </c>
      <c r="AL22" t="e">
        <f t="shared" si="6"/>
        <v>#REF!</v>
      </c>
      <c r="AM22" t="e">
        <f t="shared" si="24"/>
        <v>#REF!</v>
      </c>
      <c r="AO22" t="e">
        <f t="shared" si="7"/>
        <v>#REF!</v>
      </c>
      <c r="AP22" t="e">
        <f t="shared" si="8"/>
        <v>#REF!</v>
      </c>
      <c r="AQ22" s="12" t="e">
        <f t="shared" si="9"/>
        <v>#REF!</v>
      </c>
      <c r="AR22" t="e">
        <f t="shared" si="10"/>
        <v>#REF!</v>
      </c>
      <c r="AW22"/>
    </row>
    <row r="23" spans="1:49">
      <c r="A23">
        <v>14</v>
      </c>
      <c r="B23" t="e">
        <f t="shared" si="0"/>
        <v>#REF!</v>
      </c>
      <c r="C23" t="e">
        <f t="shared" si="1"/>
        <v>#REF!</v>
      </c>
      <c r="D23" t="e">
        <f t="shared" si="11"/>
        <v>#REF!</v>
      </c>
      <c r="E23" s="354" t="e">
        <f>IF(#REF!="","",#REF!)</f>
        <v>#REF!</v>
      </c>
      <c r="F23" s="354" t="e">
        <f>IF(#REF!="","",#REF!)</f>
        <v>#REF!</v>
      </c>
      <c r="G23" s="354" t="e">
        <f>IF(#REF!="","",#REF!)</f>
        <v>#REF!</v>
      </c>
      <c r="H23" s="354" t="e">
        <f>IF(#REF!="","",#REF!)</f>
        <v>#REF!</v>
      </c>
      <c r="I23" s="354" t="e">
        <f t="shared" si="12"/>
        <v>#REF!</v>
      </c>
      <c r="J23" s="355" t="e">
        <f>IF(#REF!="","",#REF!)</f>
        <v>#REF!</v>
      </c>
      <c r="K23" s="355" t="e">
        <f>IF(#REF!="","",#REF!)</f>
        <v>#REF!</v>
      </c>
      <c r="L23" s="12" t="e">
        <f t="shared" si="13"/>
        <v>#REF!</v>
      </c>
      <c r="M23" t="e">
        <f t="shared" si="14"/>
        <v>#REF!</v>
      </c>
      <c r="N23" t="e">
        <f t="shared" si="2"/>
        <v>#REF!</v>
      </c>
      <c r="O23" t="e">
        <f t="shared" si="3"/>
        <v>#REF!</v>
      </c>
      <c r="P23" t="e">
        <f t="shared" si="4"/>
        <v>#REF!</v>
      </c>
      <c r="Q23">
        <f>SUM($A$10:A23)</f>
        <v>105</v>
      </c>
      <c r="S23" s="15" t="e">
        <f>IF(T23="","",RANK(T23,$T$10:$T$50,1)+COUNTIF(T$10:T23,T23)-1)</f>
        <v>#REF!</v>
      </c>
      <c r="T23" t="e">
        <f t="shared" si="15"/>
        <v>#REF!</v>
      </c>
      <c r="U23" t="e">
        <f t="shared" si="16"/>
        <v>#REF!</v>
      </c>
      <c r="V23" t="e">
        <f t="shared" si="17"/>
        <v>#REF!</v>
      </c>
      <c r="W23" t="e">
        <f t="shared" si="18"/>
        <v>#REF!</v>
      </c>
      <c r="X23" t="e">
        <f t="shared" si="19"/>
        <v>#REF!</v>
      </c>
      <c r="Y23" t="e">
        <f t="shared" si="20"/>
        <v>#REF!</v>
      </c>
      <c r="Z23" t="e">
        <f t="shared" si="21"/>
        <v>#REF!</v>
      </c>
      <c r="AA23" t="e">
        <f t="shared" si="22"/>
        <v>#REF!</v>
      </c>
      <c r="AD23" t="e">
        <f>'1. Project Details'!#REF!</f>
        <v>#REF!</v>
      </c>
      <c r="AE23" t="e">
        <f t="shared" si="5"/>
        <v>#REF!</v>
      </c>
      <c r="AF23" t="e">
        <f t="shared" si="23"/>
        <v>#REF!</v>
      </c>
      <c r="AG23" s="15" t="e">
        <f>IF(AF23="","",RANK(AF23,$AF$10:$AF$50)+COUNTIF(AF$10:AF23,AF23)-1)</f>
        <v>#REF!</v>
      </c>
      <c r="AI23" t="e">
        <f>'1. Project Details'!#REF!</f>
        <v>#REF!</v>
      </c>
      <c r="AK23">
        <v>14</v>
      </c>
      <c r="AL23" t="e">
        <f t="shared" si="6"/>
        <v>#REF!</v>
      </c>
      <c r="AM23" t="e">
        <f t="shared" si="24"/>
        <v>#REF!</v>
      </c>
      <c r="AO23" t="e">
        <f t="shared" si="7"/>
        <v>#REF!</v>
      </c>
      <c r="AP23" t="e">
        <f t="shared" si="8"/>
        <v>#REF!</v>
      </c>
      <c r="AQ23" s="12" t="e">
        <f t="shared" si="9"/>
        <v>#REF!</v>
      </c>
      <c r="AR23" t="e">
        <f t="shared" si="10"/>
        <v>#REF!</v>
      </c>
      <c r="AW23"/>
    </row>
    <row r="24" spans="1:49">
      <c r="A24">
        <v>15</v>
      </c>
      <c r="B24" t="e">
        <f t="shared" si="0"/>
        <v>#REF!</v>
      </c>
      <c r="C24" t="e">
        <f t="shared" si="1"/>
        <v>#REF!</v>
      </c>
      <c r="D24" t="e">
        <f t="shared" si="11"/>
        <v>#REF!</v>
      </c>
      <c r="E24" s="354" t="e">
        <f>IF(#REF!="","",#REF!)</f>
        <v>#REF!</v>
      </c>
      <c r="F24" s="354" t="e">
        <f>IF(#REF!="","",#REF!)</f>
        <v>#REF!</v>
      </c>
      <c r="G24" s="354" t="e">
        <f>IF(#REF!="","",#REF!)</f>
        <v>#REF!</v>
      </c>
      <c r="H24" s="354" t="e">
        <f>IF(#REF!="","",#REF!)</f>
        <v>#REF!</v>
      </c>
      <c r="I24" s="354" t="e">
        <f t="shared" si="12"/>
        <v>#REF!</v>
      </c>
      <c r="J24" s="355" t="e">
        <f>IF(#REF!="","",#REF!)</f>
        <v>#REF!</v>
      </c>
      <c r="K24" s="355" t="e">
        <f>IF(#REF!="","",#REF!)</f>
        <v>#REF!</v>
      </c>
      <c r="L24" s="12" t="e">
        <f t="shared" si="13"/>
        <v>#REF!</v>
      </c>
      <c r="M24" t="e">
        <f t="shared" si="14"/>
        <v>#REF!</v>
      </c>
      <c r="N24" t="e">
        <f t="shared" si="2"/>
        <v>#REF!</v>
      </c>
      <c r="O24" t="e">
        <f t="shared" si="3"/>
        <v>#REF!</v>
      </c>
      <c r="P24" t="e">
        <f t="shared" si="4"/>
        <v>#REF!</v>
      </c>
      <c r="Q24">
        <f>SUM($A$10:A24)</f>
        <v>120</v>
      </c>
      <c r="S24" s="15" t="e">
        <f>IF(T24="","",RANK(T24,$T$10:$T$50,1)+COUNTIF(T$10:T24,T24)-1)</f>
        <v>#REF!</v>
      </c>
      <c r="T24" t="e">
        <f t="shared" si="15"/>
        <v>#REF!</v>
      </c>
      <c r="U24" t="e">
        <f t="shared" si="16"/>
        <v>#REF!</v>
      </c>
      <c r="V24" t="e">
        <f t="shared" si="17"/>
        <v>#REF!</v>
      </c>
      <c r="W24" t="e">
        <f t="shared" si="18"/>
        <v>#REF!</v>
      </c>
      <c r="X24" t="e">
        <f t="shared" si="19"/>
        <v>#REF!</v>
      </c>
      <c r="Y24" t="e">
        <f t="shared" si="20"/>
        <v>#REF!</v>
      </c>
      <c r="Z24" t="e">
        <f t="shared" si="21"/>
        <v>#REF!</v>
      </c>
      <c r="AA24" t="e">
        <f t="shared" si="22"/>
        <v>#REF!</v>
      </c>
      <c r="AD24" t="e">
        <f>'1. Project Details'!#REF!</f>
        <v>#REF!</v>
      </c>
      <c r="AE24" t="e">
        <f t="shared" si="5"/>
        <v>#REF!</v>
      </c>
      <c r="AF24" t="e">
        <f t="shared" si="23"/>
        <v>#REF!</v>
      </c>
      <c r="AG24" s="15" t="e">
        <f>IF(AF24="","",RANK(AF24,$AF$10:$AF$50)+COUNTIF(AF$10:AF24,AF24)-1)</f>
        <v>#REF!</v>
      </c>
      <c r="AI24" t="e">
        <f>'1. Project Details'!#REF!</f>
        <v>#REF!</v>
      </c>
      <c r="AK24">
        <v>15</v>
      </c>
      <c r="AL24" t="e">
        <f t="shared" si="6"/>
        <v>#REF!</v>
      </c>
      <c r="AM24" t="e">
        <f t="shared" si="24"/>
        <v>#REF!</v>
      </c>
      <c r="AO24" t="e">
        <f t="shared" si="7"/>
        <v>#REF!</v>
      </c>
      <c r="AP24" t="e">
        <f t="shared" si="8"/>
        <v>#REF!</v>
      </c>
      <c r="AQ24" s="12" t="e">
        <f t="shared" si="9"/>
        <v>#REF!</v>
      </c>
      <c r="AR24" t="e">
        <f t="shared" si="10"/>
        <v>#REF!</v>
      </c>
      <c r="AW24"/>
    </row>
    <row r="25" spans="1:49">
      <c r="A25">
        <v>16</v>
      </c>
      <c r="B25" t="e">
        <f t="shared" si="0"/>
        <v>#REF!</v>
      </c>
      <c r="C25" t="e">
        <f t="shared" si="1"/>
        <v>#REF!</v>
      </c>
      <c r="D25" t="e">
        <f t="shared" si="11"/>
        <v>#REF!</v>
      </c>
      <c r="E25" s="354" t="e">
        <f>IF(#REF!="","",#REF!)</f>
        <v>#REF!</v>
      </c>
      <c r="F25" s="354" t="e">
        <f>IF(#REF!="","",#REF!)</f>
        <v>#REF!</v>
      </c>
      <c r="G25" s="354" t="e">
        <f>IF(#REF!="","",#REF!)</f>
        <v>#REF!</v>
      </c>
      <c r="H25" s="354" t="e">
        <f>IF(#REF!="","",#REF!)</f>
        <v>#REF!</v>
      </c>
      <c r="I25" s="354" t="e">
        <f t="shared" si="12"/>
        <v>#REF!</v>
      </c>
      <c r="J25" s="355" t="e">
        <f>IF(#REF!="","",#REF!)</f>
        <v>#REF!</v>
      </c>
      <c r="K25" s="355" t="e">
        <f>IF(#REF!="","",#REF!)</f>
        <v>#REF!</v>
      </c>
      <c r="L25" s="12" t="e">
        <f t="shared" si="13"/>
        <v>#REF!</v>
      </c>
      <c r="M25" t="e">
        <f t="shared" si="14"/>
        <v>#REF!</v>
      </c>
      <c r="N25" t="e">
        <f t="shared" si="2"/>
        <v>#REF!</v>
      </c>
      <c r="O25" t="e">
        <f t="shared" si="3"/>
        <v>#REF!</v>
      </c>
      <c r="P25" t="e">
        <f t="shared" si="4"/>
        <v>#REF!</v>
      </c>
      <c r="Q25">
        <f>SUM($A$10:A25)</f>
        <v>136</v>
      </c>
      <c r="S25" s="15" t="e">
        <f>IF(T25="","",RANK(T25,$T$10:$T$50,1)+COUNTIF(T$10:T25,T25)-1)</f>
        <v>#REF!</v>
      </c>
      <c r="T25" t="e">
        <f t="shared" si="15"/>
        <v>#REF!</v>
      </c>
      <c r="U25" t="e">
        <f t="shared" si="16"/>
        <v>#REF!</v>
      </c>
      <c r="V25" t="e">
        <f t="shared" si="17"/>
        <v>#REF!</v>
      </c>
      <c r="W25" t="e">
        <f t="shared" si="18"/>
        <v>#REF!</v>
      </c>
      <c r="X25" t="e">
        <f t="shared" si="19"/>
        <v>#REF!</v>
      </c>
      <c r="Y25" t="e">
        <f t="shared" si="20"/>
        <v>#REF!</v>
      </c>
      <c r="Z25" t="e">
        <f t="shared" si="21"/>
        <v>#REF!</v>
      </c>
      <c r="AA25" t="e">
        <f t="shared" si="22"/>
        <v>#REF!</v>
      </c>
      <c r="AD25" t="e">
        <f>'1. Project Details'!#REF!</f>
        <v>#REF!</v>
      </c>
      <c r="AE25" t="e">
        <f t="shared" si="5"/>
        <v>#REF!</v>
      </c>
      <c r="AF25" t="e">
        <f t="shared" si="23"/>
        <v>#REF!</v>
      </c>
      <c r="AG25" s="15" t="e">
        <f>IF(AF25="","",RANK(AF25,$AF$10:$AF$50)+COUNTIF(AF$10:AF25,AF25)-1)</f>
        <v>#REF!</v>
      </c>
      <c r="AI25" t="e">
        <f>'1. Project Details'!#REF!</f>
        <v>#REF!</v>
      </c>
      <c r="AK25">
        <v>16</v>
      </c>
      <c r="AL25" t="e">
        <f t="shared" si="6"/>
        <v>#REF!</v>
      </c>
      <c r="AM25" t="e">
        <f t="shared" si="24"/>
        <v>#REF!</v>
      </c>
      <c r="AO25" t="e">
        <f t="shared" si="7"/>
        <v>#REF!</v>
      </c>
      <c r="AP25" t="e">
        <f t="shared" si="8"/>
        <v>#REF!</v>
      </c>
      <c r="AQ25" s="12" t="e">
        <f t="shared" si="9"/>
        <v>#REF!</v>
      </c>
      <c r="AR25" t="e">
        <f t="shared" si="10"/>
        <v>#REF!</v>
      </c>
      <c r="AW25"/>
    </row>
    <row r="26" spans="1:49">
      <c r="A26">
        <v>17</v>
      </c>
      <c r="B26" t="e">
        <f t="shared" si="0"/>
        <v>#REF!</v>
      </c>
      <c r="C26" t="e">
        <f t="shared" si="1"/>
        <v>#REF!</v>
      </c>
      <c r="D26" t="e">
        <f t="shared" si="11"/>
        <v>#REF!</v>
      </c>
      <c r="E26" s="354" t="e">
        <f>IF(#REF!="","",#REF!)</f>
        <v>#REF!</v>
      </c>
      <c r="F26" s="354" t="e">
        <f>IF(#REF!="","",#REF!)</f>
        <v>#REF!</v>
      </c>
      <c r="G26" s="354" t="e">
        <f>IF(#REF!="","",#REF!)</f>
        <v>#REF!</v>
      </c>
      <c r="H26" s="354" t="e">
        <f>IF(#REF!="","",#REF!)</f>
        <v>#REF!</v>
      </c>
      <c r="I26" s="354" t="e">
        <f t="shared" si="12"/>
        <v>#REF!</v>
      </c>
      <c r="J26" s="355" t="e">
        <f>IF(#REF!="","",#REF!)</f>
        <v>#REF!</v>
      </c>
      <c r="K26" s="355" t="e">
        <f>IF(#REF!="","",#REF!)</f>
        <v>#REF!</v>
      </c>
      <c r="L26" s="12" t="e">
        <f t="shared" si="13"/>
        <v>#REF!</v>
      </c>
      <c r="M26" t="e">
        <f t="shared" si="14"/>
        <v>#REF!</v>
      </c>
      <c r="N26" t="e">
        <f t="shared" si="2"/>
        <v>#REF!</v>
      </c>
      <c r="O26" t="e">
        <f t="shared" si="3"/>
        <v>#REF!</v>
      </c>
      <c r="P26" t="e">
        <f t="shared" si="4"/>
        <v>#REF!</v>
      </c>
      <c r="Q26">
        <f>SUM($A$10:A26)</f>
        <v>153</v>
      </c>
      <c r="S26" s="15" t="e">
        <f>IF(T26="","",RANK(T26,$T$10:$T$50,1)+COUNTIF(T$10:T26,T26)-1)</f>
        <v>#REF!</v>
      </c>
      <c r="T26" t="e">
        <f t="shared" si="15"/>
        <v>#REF!</v>
      </c>
      <c r="U26" t="e">
        <f t="shared" si="16"/>
        <v>#REF!</v>
      </c>
      <c r="V26" t="e">
        <f t="shared" si="17"/>
        <v>#REF!</v>
      </c>
      <c r="W26" t="e">
        <f t="shared" si="18"/>
        <v>#REF!</v>
      </c>
      <c r="X26" t="e">
        <f t="shared" si="19"/>
        <v>#REF!</v>
      </c>
      <c r="Y26" t="e">
        <f t="shared" si="20"/>
        <v>#REF!</v>
      </c>
      <c r="Z26" t="e">
        <f t="shared" si="21"/>
        <v>#REF!</v>
      </c>
      <c r="AA26" t="e">
        <f t="shared" si="22"/>
        <v>#REF!</v>
      </c>
      <c r="AD26" t="e">
        <f>'1. Project Details'!#REF!</f>
        <v>#REF!</v>
      </c>
      <c r="AE26" t="e">
        <f t="shared" si="5"/>
        <v>#REF!</v>
      </c>
      <c r="AF26" t="e">
        <f t="shared" si="23"/>
        <v>#REF!</v>
      </c>
      <c r="AG26" s="15" t="e">
        <f>IF(AF26="","",RANK(AF26,$AF$10:$AF$50)+COUNTIF(AF$10:AF26,AF26)-1)</f>
        <v>#REF!</v>
      </c>
      <c r="AI26" t="e">
        <f>'1. Project Details'!#REF!</f>
        <v>#REF!</v>
      </c>
      <c r="AK26">
        <v>17</v>
      </c>
      <c r="AL26" t="e">
        <f t="shared" si="6"/>
        <v>#REF!</v>
      </c>
      <c r="AM26" t="e">
        <f t="shared" si="24"/>
        <v>#REF!</v>
      </c>
      <c r="AO26" t="e">
        <f t="shared" si="7"/>
        <v>#REF!</v>
      </c>
      <c r="AP26" t="e">
        <f t="shared" si="8"/>
        <v>#REF!</v>
      </c>
      <c r="AQ26" s="12" t="e">
        <f t="shared" si="9"/>
        <v>#REF!</v>
      </c>
      <c r="AR26" t="e">
        <f t="shared" si="10"/>
        <v>#REF!</v>
      </c>
      <c r="AW26"/>
    </row>
    <row r="27" spans="1:49">
      <c r="A27">
        <v>18</v>
      </c>
      <c r="B27" t="e">
        <f t="shared" si="0"/>
        <v>#REF!</v>
      </c>
      <c r="C27" t="e">
        <f t="shared" si="1"/>
        <v>#REF!</v>
      </c>
      <c r="D27" t="e">
        <f t="shared" si="11"/>
        <v>#REF!</v>
      </c>
      <c r="E27" s="354" t="e">
        <f>IF(#REF!="","",#REF!)</f>
        <v>#REF!</v>
      </c>
      <c r="F27" s="354" t="e">
        <f>IF(#REF!="","",#REF!)</f>
        <v>#REF!</v>
      </c>
      <c r="G27" s="354" t="e">
        <f>IF(#REF!="","",#REF!)</f>
        <v>#REF!</v>
      </c>
      <c r="H27" s="354" t="e">
        <f>IF(#REF!="","",#REF!)</f>
        <v>#REF!</v>
      </c>
      <c r="I27" s="354" t="e">
        <f t="shared" si="12"/>
        <v>#REF!</v>
      </c>
      <c r="J27" s="355" t="e">
        <f>IF(#REF!="","",#REF!)</f>
        <v>#REF!</v>
      </c>
      <c r="K27" s="355" t="e">
        <f>IF(#REF!="","",#REF!)</f>
        <v>#REF!</v>
      </c>
      <c r="L27" s="12" t="e">
        <f t="shared" si="13"/>
        <v>#REF!</v>
      </c>
      <c r="M27" t="e">
        <f t="shared" si="14"/>
        <v>#REF!</v>
      </c>
      <c r="N27" t="e">
        <f t="shared" si="2"/>
        <v>#REF!</v>
      </c>
      <c r="O27" t="e">
        <f t="shared" si="3"/>
        <v>#REF!</v>
      </c>
      <c r="P27" t="e">
        <f t="shared" si="4"/>
        <v>#REF!</v>
      </c>
      <c r="Q27">
        <f>SUM($A$10:A27)</f>
        <v>171</v>
      </c>
      <c r="S27" s="15" t="e">
        <f>IF(T27="","",RANK(T27,$T$10:$T$50,1)+COUNTIF(T$10:T27,T27)-1)</f>
        <v>#REF!</v>
      </c>
      <c r="T27" t="e">
        <f t="shared" si="15"/>
        <v>#REF!</v>
      </c>
      <c r="U27" t="e">
        <f t="shared" si="16"/>
        <v>#REF!</v>
      </c>
      <c r="V27" t="e">
        <f t="shared" si="17"/>
        <v>#REF!</v>
      </c>
      <c r="W27" t="e">
        <f t="shared" si="18"/>
        <v>#REF!</v>
      </c>
      <c r="X27" t="e">
        <f t="shared" si="19"/>
        <v>#REF!</v>
      </c>
      <c r="Y27" t="e">
        <f t="shared" si="20"/>
        <v>#REF!</v>
      </c>
      <c r="Z27" t="e">
        <f t="shared" si="21"/>
        <v>#REF!</v>
      </c>
      <c r="AA27" t="e">
        <f t="shared" si="22"/>
        <v>#REF!</v>
      </c>
      <c r="AD27" t="e">
        <f>'1. Project Details'!#REF!</f>
        <v>#REF!</v>
      </c>
      <c r="AE27" t="e">
        <f t="shared" si="5"/>
        <v>#REF!</v>
      </c>
      <c r="AF27" t="e">
        <f t="shared" si="23"/>
        <v>#REF!</v>
      </c>
      <c r="AG27" s="15" t="e">
        <f>IF(AF27="","",RANK(AF27,$AF$10:$AF$50)+COUNTIF(AF$10:AF27,AF27)-1)</f>
        <v>#REF!</v>
      </c>
      <c r="AI27" t="e">
        <f>'1. Project Details'!#REF!</f>
        <v>#REF!</v>
      </c>
      <c r="AK27">
        <v>18</v>
      </c>
      <c r="AL27" t="e">
        <f t="shared" si="6"/>
        <v>#REF!</v>
      </c>
      <c r="AM27" t="e">
        <f t="shared" si="24"/>
        <v>#REF!</v>
      </c>
      <c r="AO27" t="e">
        <f t="shared" si="7"/>
        <v>#REF!</v>
      </c>
      <c r="AP27" t="e">
        <f t="shared" si="8"/>
        <v>#REF!</v>
      </c>
      <c r="AQ27" s="12" t="e">
        <f t="shared" si="9"/>
        <v>#REF!</v>
      </c>
      <c r="AR27" t="e">
        <f t="shared" si="10"/>
        <v>#REF!</v>
      </c>
      <c r="AW27"/>
    </row>
    <row r="28" spans="1:49">
      <c r="A28">
        <v>19</v>
      </c>
      <c r="B28" t="e">
        <f t="shared" si="0"/>
        <v>#REF!</v>
      </c>
      <c r="C28" t="e">
        <f t="shared" si="1"/>
        <v>#REF!</v>
      </c>
      <c r="D28" t="e">
        <f t="shared" si="11"/>
        <v>#REF!</v>
      </c>
      <c r="E28" s="354" t="e">
        <f>IF(#REF!="","",#REF!)</f>
        <v>#REF!</v>
      </c>
      <c r="F28" s="354" t="e">
        <f>IF(#REF!="","",#REF!)</f>
        <v>#REF!</v>
      </c>
      <c r="G28" s="354" t="e">
        <f>IF(#REF!="","",#REF!)</f>
        <v>#REF!</v>
      </c>
      <c r="H28" s="354" t="e">
        <f>IF(#REF!="","",#REF!)</f>
        <v>#REF!</v>
      </c>
      <c r="I28" s="354" t="e">
        <f t="shared" si="12"/>
        <v>#REF!</v>
      </c>
      <c r="J28" s="355" t="e">
        <f>IF(#REF!="","",#REF!)</f>
        <v>#REF!</v>
      </c>
      <c r="K28" s="355" t="e">
        <f>IF(#REF!="","",#REF!)</f>
        <v>#REF!</v>
      </c>
      <c r="L28" s="12" t="e">
        <f t="shared" si="13"/>
        <v>#REF!</v>
      </c>
      <c r="M28" t="e">
        <f t="shared" si="14"/>
        <v>#REF!</v>
      </c>
      <c r="N28" t="e">
        <f t="shared" si="2"/>
        <v>#REF!</v>
      </c>
      <c r="O28" t="e">
        <f t="shared" si="3"/>
        <v>#REF!</v>
      </c>
      <c r="P28" t="e">
        <f t="shared" si="4"/>
        <v>#REF!</v>
      </c>
      <c r="Q28">
        <f>SUM($A$10:A28)</f>
        <v>190</v>
      </c>
      <c r="S28" s="15" t="e">
        <f>IF(T28="","",RANK(T28,$T$10:$T$50,1)+COUNTIF(T$10:T28,T28)-1)</f>
        <v>#REF!</v>
      </c>
      <c r="T28" t="e">
        <f t="shared" si="15"/>
        <v>#REF!</v>
      </c>
      <c r="U28" t="e">
        <f t="shared" si="16"/>
        <v>#REF!</v>
      </c>
      <c r="V28" t="e">
        <f t="shared" si="17"/>
        <v>#REF!</v>
      </c>
      <c r="W28" t="e">
        <f t="shared" si="18"/>
        <v>#REF!</v>
      </c>
      <c r="X28" t="e">
        <f t="shared" si="19"/>
        <v>#REF!</v>
      </c>
      <c r="Y28" t="e">
        <f t="shared" si="20"/>
        <v>#REF!</v>
      </c>
      <c r="Z28" t="e">
        <f t="shared" si="21"/>
        <v>#REF!</v>
      </c>
      <c r="AA28" t="e">
        <f t="shared" si="22"/>
        <v>#REF!</v>
      </c>
      <c r="AD28" t="e">
        <f>'1. Project Details'!#REF!</f>
        <v>#REF!</v>
      </c>
      <c r="AE28" t="e">
        <f t="shared" si="5"/>
        <v>#REF!</v>
      </c>
      <c r="AF28" t="e">
        <f t="shared" si="23"/>
        <v>#REF!</v>
      </c>
      <c r="AG28" s="15" t="e">
        <f>IF(AF28="","",RANK(AF28,$AF$10:$AF$50)+COUNTIF(AF$10:AF28,AF28)-1)</f>
        <v>#REF!</v>
      </c>
      <c r="AI28" t="e">
        <f>'1. Project Details'!#REF!</f>
        <v>#REF!</v>
      </c>
      <c r="AK28">
        <v>19</v>
      </c>
      <c r="AL28" t="e">
        <f t="shared" si="6"/>
        <v>#REF!</v>
      </c>
      <c r="AM28" t="e">
        <f t="shared" si="24"/>
        <v>#REF!</v>
      </c>
      <c r="AO28" t="e">
        <f t="shared" si="7"/>
        <v>#REF!</v>
      </c>
      <c r="AP28" t="e">
        <f t="shared" si="8"/>
        <v>#REF!</v>
      </c>
      <c r="AQ28" s="12" t="e">
        <f t="shared" si="9"/>
        <v>#REF!</v>
      </c>
      <c r="AR28" t="e">
        <f t="shared" si="10"/>
        <v>#REF!</v>
      </c>
      <c r="AW28"/>
    </row>
    <row r="29" spans="1:49">
      <c r="A29">
        <v>20</v>
      </c>
      <c r="B29" t="e">
        <f t="shared" si="0"/>
        <v>#REF!</v>
      </c>
      <c r="C29" t="e">
        <f t="shared" si="1"/>
        <v>#REF!</v>
      </c>
      <c r="D29" t="e">
        <f t="shared" si="11"/>
        <v>#REF!</v>
      </c>
      <c r="E29" s="354" t="e">
        <f>IF(#REF!="","",#REF!)</f>
        <v>#REF!</v>
      </c>
      <c r="F29" s="354" t="e">
        <f>IF(#REF!="","",#REF!)</f>
        <v>#REF!</v>
      </c>
      <c r="G29" s="354" t="e">
        <f>IF(#REF!="","",#REF!)</f>
        <v>#REF!</v>
      </c>
      <c r="H29" s="354" t="e">
        <f>IF(#REF!="","",#REF!)</f>
        <v>#REF!</v>
      </c>
      <c r="I29" s="354" t="e">
        <f t="shared" si="12"/>
        <v>#REF!</v>
      </c>
      <c r="J29" s="355" t="e">
        <f>IF(#REF!="","",#REF!)</f>
        <v>#REF!</v>
      </c>
      <c r="K29" s="355" t="e">
        <f>IF(#REF!="","",#REF!)</f>
        <v>#REF!</v>
      </c>
      <c r="L29" s="12" t="e">
        <f t="shared" si="13"/>
        <v>#REF!</v>
      </c>
      <c r="M29" t="e">
        <f t="shared" si="14"/>
        <v>#REF!</v>
      </c>
      <c r="N29" t="e">
        <f t="shared" si="2"/>
        <v>#REF!</v>
      </c>
      <c r="O29" t="e">
        <f t="shared" si="3"/>
        <v>#REF!</v>
      </c>
      <c r="P29" t="e">
        <f t="shared" si="4"/>
        <v>#REF!</v>
      </c>
      <c r="Q29">
        <f>SUM($A$10:A29)</f>
        <v>210</v>
      </c>
      <c r="S29" s="15" t="e">
        <f>IF(T29="","",RANK(T29,$T$10:$T$50,1)+COUNTIF(T$10:T29,T29)-1)</f>
        <v>#REF!</v>
      </c>
      <c r="T29" t="e">
        <f t="shared" si="15"/>
        <v>#REF!</v>
      </c>
      <c r="U29" t="e">
        <f t="shared" si="16"/>
        <v>#REF!</v>
      </c>
      <c r="V29" t="e">
        <f t="shared" si="17"/>
        <v>#REF!</v>
      </c>
      <c r="W29" t="e">
        <f t="shared" si="18"/>
        <v>#REF!</v>
      </c>
      <c r="X29" t="e">
        <f t="shared" si="19"/>
        <v>#REF!</v>
      </c>
      <c r="Y29" t="e">
        <f t="shared" si="20"/>
        <v>#REF!</v>
      </c>
      <c r="Z29" t="e">
        <f t="shared" si="21"/>
        <v>#REF!</v>
      </c>
      <c r="AA29" t="e">
        <f t="shared" si="22"/>
        <v>#REF!</v>
      </c>
      <c r="AD29" t="e">
        <f>'1. Project Details'!#REF!</f>
        <v>#REF!</v>
      </c>
      <c r="AE29" t="e">
        <f t="shared" si="5"/>
        <v>#REF!</v>
      </c>
      <c r="AF29" t="e">
        <f t="shared" si="23"/>
        <v>#REF!</v>
      </c>
      <c r="AG29" s="15" t="e">
        <f>IF(AF29="","",RANK(AF29,$AF$10:$AF$50)+COUNTIF(AF$10:AF29,AF29)-1)</f>
        <v>#REF!</v>
      </c>
      <c r="AI29" t="e">
        <f>'1. Project Details'!#REF!</f>
        <v>#REF!</v>
      </c>
      <c r="AK29">
        <v>20</v>
      </c>
      <c r="AL29" t="e">
        <f t="shared" si="6"/>
        <v>#REF!</v>
      </c>
      <c r="AM29" t="e">
        <f t="shared" si="24"/>
        <v>#REF!</v>
      </c>
      <c r="AO29" t="e">
        <f t="shared" si="7"/>
        <v>#REF!</v>
      </c>
      <c r="AP29" t="e">
        <f t="shared" si="8"/>
        <v>#REF!</v>
      </c>
      <c r="AQ29" s="12" t="e">
        <f t="shared" si="9"/>
        <v>#REF!</v>
      </c>
      <c r="AR29" t="e">
        <f t="shared" si="10"/>
        <v>#REF!</v>
      </c>
      <c r="AW29"/>
    </row>
    <row r="30" spans="1:49">
      <c r="A30">
        <v>21</v>
      </c>
      <c r="B30" t="e">
        <f t="shared" si="0"/>
        <v>#REF!</v>
      </c>
      <c r="C30" t="e">
        <f t="shared" si="1"/>
        <v>#REF!</v>
      </c>
      <c r="D30" t="e">
        <f t="shared" si="11"/>
        <v>#REF!</v>
      </c>
      <c r="E30" s="354" t="e">
        <f>IF(#REF!="","",#REF!)</f>
        <v>#REF!</v>
      </c>
      <c r="F30" s="354" t="e">
        <f>IF(#REF!="","",#REF!)</f>
        <v>#REF!</v>
      </c>
      <c r="G30" s="354" t="e">
        <f>IF(#REF!="","",#REF!)</f>
        <v>#REF!</v>
      </c>
      <c r="H30" s="354" t="e">
        <f>IF(#REF!="","",#REF!)</f>
        <v>#REF!</v>
      </c>
      <c r="I30" s="354" t="e">
        <f t="shared" si="12"/>
        <v>#REF!</v>
      </c>
      <c r="J30" s="355" t="e">
        <f>IF(#REF!="","",#REF!)</f>
        <v>#REF!</v>
      </c>
      <c r="K30" s="355" t="e">
        <f>IF(#REF!="","",#REF!)</f>
        <v>#REF!</v>
      </c>
      <c r="L30" s="12" t="e">
        <f t="shared" si="13"/>
        <v>#REF!</v>
      </c>
      <c r="M30" t="e">
        <f t="shared" si="14"/>
        <v>#REF!</v>
      </c>
      <c r="N30" t="e">
        <f t="shared" si="2"/>
        <v>#REF!</v>
      </c>
      <c r="O30" t="e">
        <f t="shared" si="3"/>
        <v>#REF!</v>
      </c>
      <c r="P30" t="e">
        <f t="shared" si="4"/>
        <v>#REF!</v>
      </c>
      <c r="Q30">
        <f>SUM($A$10:A30)</f>
        <v>231</v>
      </c>
      <c r="S30" s="15" t="e">
        <f>IF(T30="","",RANK(T30,$T$10:$T$50,1)+COUNTIF(T$10:T30,T30)-1)</f>
        <v>#REF!</v>
      </c>
      <c r="T30" t="e">
        <f t="shared" si="15"/>
        <v>#REF!</v>
      </c>
      <c r="U30" t="e">
        <f t="shared" si="16"/>
        <v>#REF!</v>
      </c>
      <c r="V30" t="e">
        <f t="shared" si="17"/>
        <v>#REF!</v>
      </c>
      <c r="W30" t="e">
        <f t="shared" si="18"/>
        <v>#REF!</v>
      </c>
      <c r="X30" t="e">
        <f t="shared" si="19"/>
        <v>#REF!</v>
      </c>
      <c r="Y30" t="e">
        <f t="shared" si="20"/>
        <v>#REF!</v>
      </c>
      <c r="Z30" t="e">
        <f t="shared" si="21"/>
        <v>#REF!</v>
      </c>
      <c r="AA30" t="e">
        <f t="shared" si="22"/>
        <v>#REF!</v>
      </c>
      <c r="AD30" t="e">
        <f>'1. Project Details'!#REF!</f>
        <v>#REF!</v>
      </c>
      <c r="AE30" t="e">
        <f t="shared" si="5"/>
        <v>#REF!</v>
      </c>
      <c r="AF30" t="e">
        <f t="shared" si="23"/>
        <v>#REF!</v>
      </c>
      <c r="AG30" s="15" t="e">
        <f>IF(AF30="","",RANK(AF30,$AF$10:$AF$50)+COUNTIF(AF$10:AF30,AF30)-1)</f>
        <v>#REF!</v>
      </c>
      <c r="AI30" t="e">
        <f>'1. Project Details'!#REF!</f>
        <v>#REF!</v>
      </c>
      <c r="AK30">
        <v>21</v>
      </c>
      <c r="AL30" t="e">
        <f t="shared" si="6"/>
        <v>#REF!</v>
      </c>
      <c r="AM30" t="e">
        <f t="shared" si="24"/>
        <v>#REF!</v>
      </c>
      <c r="AO30" t="e">
        <f t="shared" si="7"/>
        <v>#REF!</v>
      </c>
      <c r="AP30" t="e">
        <f t="shared" si="8"/>
        <v>#REF!</v>
      </c>
      <c r="AQ30" s="12" t="e">
        <f t="shared" si="9"/>
        <v>#REF!</v>
      </c>
      <c r="AR30" t="e">
        <f t="shared" si="10"/>
        <v>#REF!</v>
      </c>
      <c r="AW30"/>
    </row>
    <row r="31" spans="1:49">
      <c r="A31">
        <v>22</v>
      </c>
      <c r="B31" t="e">
        <f t="shared" si="0"/>
        <v>#REF!</v>
      </c>
      <c r="C31" t="e">
        <f t="shared" si="1"/>
        <v>#REF!</v>
      </c>
      <c r="D31" t="e">
        <f t="shared" si="11"/>
        <v>#REF!</v>
      </c>
      <c r="E31" s="354" t="e">
        <f>IF(#REF!="","",#REF!)</f>
        <v>#REF!</v>
      </c>
      <c r="F31" s="354" t="e">
        <f>IF(#REF!="","",#REF!)</f>
        <v>#REF!</v>
      </c>
      <c r="G31" s="354" t="e">
        <f>IF(#REF!="","",#REF!)</f>
        <v>#REF!</v>
      </c>
      <c r="H31" s="354" t="e">
        <f>IF(#REF!="","",#REF!)</f>
        <v>#REF!</v>
      </c>
      <c r="I31" s="354" t="e">
        <f t="shared" si="12"/>
        <v>#REF!</v>
      </c>
      <c r="J31" s="355" t="e">
        <f>IF(#REF!="","",#REF!)</f>
        <v>#REF!</v>
      </c>
      <c r="K31" s="355" t="e">
        <f>IF(#REF!="","",#REF!)</f>
        <v>#REF!</v>
      </c>
      <c r="L31" s="12" t="e">
        <f t="shared" si="13"/>
        <v>#REF!</v>
      </c>
      <c r="M31" t="e">
        <f t="shared" si="14"/>
        <v>#REF!</v>
      </c>
      <c r="N31" t="e">
        <f t="shared" si="2"/>
        <v>#REF!</v>
      </c>
      <c r="O31" t="e">
        <f t="shared" si="3"/>
        <v>#REF!</v>
      </c>
      <c r="P31" t="e">
        <f t="shared" si="4"/>
        <v>#REF!</v>
      </c>
      <c r="Q31">
        <f>SUM($A$10:A31)</f>
        <v>253</v>
      </c>
      <c r="S31" s="15" t="e">
        <f>IF(T31="","",RANK(T31,$T$10:$T$50,1)+COUNTIF(T$10:T31,T31)-1)</f>
        <v>#REF!</v>
      </c>
      <c r="T31" t="e">
        <f t="shared" si="15"/>
        <v>#REF!</v>
      </c>
      <c r="U31" t="e">
        <f t="shared" si="16"/>
        <v>#REF!</v>
      </c>
      <c r="V31" t="e">
        <f t="shared" si="17"/>
        <v>#REF!</v>
      </c>
      <c r="W31" t="e">
        <f t="shared" si="18"/>
        <v>#REF!</v>
      </c>
      <c r="X31" t="e">
        <f t="shared" si="19"/>
        <v>#REF!</v>
      </c>
      <c r="Y31" t="e">
        <f t="shared" si="20"/>
        <v>#REF!</v>
      </c>
      <c r="Z31" t="e">
        <f t="shared" si="21"/>
        <v>#REF!</v>
      </c>
      <c r="AA31" t="e">
        <f t="shared" si="22"/>
        <v>#REF!</v>
      </c>
      <c r="AD31" t="e">
        <f>'1. Project Details'!#REF!</f>
        <v>#REF!</v>
      </c>
      <c r="AE31" t="e">
        <f t="shared" si="5"/>
        <v>#REF!</v>
      </c>
      <c r="AF31" t="e">
        <f t="shared" si="23"/>
        <v>#REF!</v>
      </c>
      <c r="AG31" s="15" t="e">
        <f>IF(AF31="","",RANK(AF31,$AF$10:$AF$50)+COUNTIF(AF$10:AF31,AF31)-1)</f>
        <v>#REF!</v>
      </c>
      <c r="AI31" t="e">
        <f>'1. Project Details'!#REF!</f>
        <v>#REF!</v>
      </c>
      <c r="AK31">
        <v>22</v>
      </c>
      <c r="AL31" t="e">
        <f t="shared" si="6"/>
        <v>#REF!</v>
      </c>
      <c r="AM31" t="e">
        <f t="shared" si="24"/>
        <v>#REF!</v>
      </c>
      <c r="AO31" t="e">
        <f t="shared" si="7"/>
        <v>#REF!</v>
      </c>
      <c r="AP31" t="e">
        <f t="shared" si="8"/>
        <v>#REF!</v>
      </c>
      <c r="AQ31" s="12" t="e">
        <f t="shared" si="9"/>
        <v>#REF!</v>
      </c>
      <c r="AR31" t="e">
        <f t="shared" si="10"/>
        <v>#REF!</v>
      </c>
      <c r="AW31"/>
    </row>
    <row r="32" spans="1:49">
      <c r="A32">
        <v>23</v>
      </c>
      <c r="B32" t="e">
        <f t="shared" si="0"/>
        <v>#REF!</v>
      </c>
      <c r="C32" t="e">
        <f t="shared" si="1"/>
        <v>#REF!</v>
      </c>
      <c r="D32" t="e">
        <f t="shared" si="11"/>
        <v>#REF!</v>
      </c>
      <c r="E32" s="354" t="e">
        <f>IF(#REF!="","",#REF!)</f>
        <v>#REF!</v>
      </c>
      <c r="F32" s="354" t="e">
        <f>IF(#REF!="","",#REF!)</f>
        <v>#REF!</v>
      </c>
      <c r="G32" s="354" t="e">
        <f>IF(#REF!="","",#REF!)</f>
        <v>#REF!</v>
      </c>
      <c r="H32" s="354" t="e">
        <f>IF(#REF!="","",#REF!)</f>
        <v>#REF!</v>
      </c>
      <c r="I32" s="354" t="e">
        <f t="shared" si="12"/>
        <v>#REF!</v>
      </c>
      <c r="J32" s="355" t="e">
        <f>IF(#REF!="","",#REF!)</f>
        <v>#REF!</v>
      </c>
      <c r="K32" s="355" t="e">
        <f>IF(#REF!="","",#REF!)</f>
        <v>#REF!</v>
      </c>
      <c r="L32" s="12" t="e">
        <f t="shared" si="13"/>
        <v>#REF!</v>
      </c>
      <c r="M32" t="e">
        <f t="shared" si="14"/>
        <v>#REF!</v>
      </c>
      <c r="N32" t="e">
        <f t="shared" si="2"/>
        <v>#REF!</v>
      </c>
      <c r="O32" t="e">
        <f t="shared" si="3"/>
        <v>#REF!</v>
      </c>
      <c r="P32" t="e">
        <f t="shared" si="4"/>
        <v>#REF!</v>
      </c>
      <c r="Q32">
        <f>SUM($A$10:A32)</f>
        <v>276</v>
      </c>
      <c r="S32" s="15" t="e">
        <f>IF(T32="","",RANK(T32,$T$10:$T$50,1)+COUNTIF(T$10:T32,T32)-1)</f>
        <v>#REF!</v>
      </c>
      <c r="T32" t="e">
        <f t="shared" si="15"/>
        <v>#REF!</v>
      </c>
      <c r="U32" t="e">
        <f t="shared" si="16"/>
        <v>#REF!</v>
      </c>
      <c r="V32" t="e">
        <f t="shared" si="17"/>
        <v>#REF!</v>
      </c>
      <c r="W32" t="e">
        <f t="shared" si="18"/>
        <v>#REF!</v>
      </c>
      <c r="X32" t="e">
        <f t="shared" si="19"/>
        <v>#REF!</v>
      </c>
      <c r="Y32" t="e">
        <f t="shared" si="20"/>
        <v>#REF!</v>
      </c>
      <c r="Z32" t="e">
        <f t="shared" si="21"/>
        <v>#REF!</v>
      </c>
      <c r="AA32" t="e">
        <f t="shared" si="22"/>
        <v>#REF!</v>
      </c>
      <c r="AD32" t="e">
        <f>'1. Project Details'!#REF!</f>
        <v>#REF!</v>
      </c>
      <c r="AE32" t="e">
        <f t="shared" si="5"/>
        <v>#REF!</v>
      </c>
      <c r="AF32" t="e">
        <f t="shared" si="23"/>
        <v>#REF!</v>
      </c>
      <c r="AG32" s="15" t="e">
        <f>IF(AF32="","",RANK(AF32,$AF$10:$AF$50)+COUNTIF(AF$10:AF32,AF32)-1)</f>
        <v>#REF!</v>
      </c>
      <c r="AI32" t="e">
        <f>'1. Project Details'!#REF!</f>
        <v>#REF!</v>
      </c>
      <c r="AK32">
        <v>23</v>
      </c>
      <c r="AL32" t="e">
        <f t="shared" si="6"/>
        <v>#REF!</v>
      </c>
      <c r="AM32" t="e">
        <f t="shared" si="24"/>
        <v>#REF!</v>
      </c>
      <c r="AO32" t="e">
        <f t="shared" si="7"/>
        <v>#REF!</v>
      </c>
      <c r="AP32" t="e">
        <f t="shared" si="8"/>
        <v>#REF!</v>
      </c>
      <c r="AQ32" s="12" t="e">
        <f t="shared" si="9"/>
        <v>#REF!</v>
      </c>
      <c r="AR32" t="e">
        <f t="shared" si="10"/>
        <v>#REF!</v>
      </c>
      <c r="AW32"/>
    </row>
    <row r="33" spans="1:49">
      <c r="A33">
        <v>24</v>
      </c>
      <c r="B33" t="e">
        <f t="shared" si="0"/>
        <v>#REF!</v>
      </c>
      <c r="C33" t="e">
        <f t="shared" si="1"/>
        <v>#REF!</v>
      </c>
      <c r="D33" t="e">
        <f t="shared" si="11"/>
        <v>#REF!</v>
      </c>
      <c r="E33" s="354" t="e">
        <f>IF(#REF!="","",#REF!)</f>
        <v>#REF!</v>
      </c>
      <c r="F33" s="354" t="e">
        <f>IF(#REF!="","",#REF!)</f>
        <v>#REF!</v>
      </c>
      <c r="G33" s="354" t="e">
        <f>IF(#REF!="","",#REF!)</f>
        <v>#REF!</v>
      </c>
      <c r="H33" s="354" t="e">
        <f>IF(#REF!="","",#REF!)</f>
        <v>#REF!</v>
      </c>
      <c r="I33" s="354" t="e">
        <f t="shared" si="12"/>
        <v>#REF!</v>
      </c>
      <c r="J33" s="355" t="e">
        <f>IF(#REF!="","",#REF!)</f>
        <v>#REF!</v>
      </c>
      <c r="K33" s="355" t="e">
        <f>IF(#REF!="","",#REF!)</f>
        <v>#REF!</v>
      </c>
      <c r="L33" s="12" t="e">
        <f t="shared" si="13"/>
        <v>#REF!</v>
      </c>
      <c r="M33" t="e">
        <f t="shared" si="14"/>
        <v>#REF!</v>
      </c>
      <c r="N33" t="e">
        <f t="shared" si="2"/>
        <v>#REF!</v>
      </c>
      <c r="O33" t="e">
        <f t="shared" si="3"/>
        <v>#REF!</v>
      </c>
      <c r="P33" t="e">
        <f t="shared" si="4"/>
        <v>#REF!</v>
      </c>
      <c r="Q33">
        <f>SUM($A$10:A33)</f>
        <v>300</v>
      </c>
      <c r="S33" s="15" t="e">
        <f>IF(T33="","",RANK(T33,$T$10:$T$50,1)+COUNTIF(T$10:T33,T33)-1)</f>
        <v>#REF!</v>
      </c>
      <c r="T33" t="e">
        <f t="shared" si="15"/>
        <v>#REF!</v>
      </c>
      <c r="U33" t="e">
        <f t="shared" si="16"/>
        <v>#REF!</v>
      </c>
      <c r="V33" t="e">
        <f t="shared" si="17"/>
        <v>#REF!</v>
      </c>
      <c r="W33" t="e">
        <f t="shared" si="18"/>
        <v>#REF!</v>
      </c>
      <c r="X33" t="e">
        <f t="shared" si="19"/>
        <v>#REF!</v>
      </c>
      <c r="Y33" t="e">
        <f t="shared" si="20"/>
        <v>#REF!</v>
      </c>
      <c r="Z33" t="e">
        <f t="shared" si="21"/>
        <v>#REF!</v>
      </c>
      <c r="AA33" t="e">
        <f t="shared" si="22"/>
        <v>#REF!</v>
      </c>
      <c r="AD33" t="e">
        <f>'1. Project Details'!#REF!</f>
        <v>#REF!</v>
      </c>
      <c r="AE33" t="e">
        <f t="shared" si="5"/>
        <v>#REF!</v>
      </c>
      <c r="AF33" t="e">
        <f t="shared" si="23"/>
        <v>#REF!</v>
      </c>
      <c r="AG33" s="15" t="e">
        <f>IF(AF33="","",RANK(AF33,$AF$10:$AF$50)+COUNTIF(AF$10:AF33,AF33)-1)</f>
        <v>#REF!</v>
      </c>
      <c r="AI33" t="e">
        <f>'1. Project Details'!#REF!</f>
        <v>#REF!</v>
      </c>
      <c r="AK33">
        <v>24</v>
      </c>
      <c r="AL33" t="e">
        <f t="shared" si="6"/>
        <v>#REF!</v>
      </c>
      <c r="AM33" t="e">
        <f t="shared" si="24"/>
        <v>#REF!</v>
      </c>
      <c r="AO33" t="e">
        <f t="shared" si="7"/>
        <v>#REF!</v>
      </c>
      <c r="AP33" t="e">
        <f t="shared" si="8"/>
        <v>#REF!</v>
      </c>
      <c r="AQ33" s="12" t="e">
        <f t="shared" si="9"/>
        <v>#REF!</v>
      </c>
      <c r="AR33" t="e">
        <f t="shared" si="10"/>
        <v>#REF!</v>
      </c>
      <c r="AW33"/>
    </row>
    <row r="34" spans="1:49">
      <c r="A34">
        <v>25</v>
      </c>
      <c r="B34" t="e">
        <f t="shared" si="0"/>
        <v>#REF!</v>
      </c>
      <c r="C34" t="e">
        <f t="shared" si="1"/>
        <v>#REF!</v>
      </c>
      <c r="D34" t="e">
        <f t="shared" si="11"/>
        <v>#REF!</v>
      </c>
      <c r="E34" s="354" t="e">
        <f>IF(#REF!="","",#REF!)</f>
        <v>#REF!</v>
      </c>
      <c r="F34" s="354" t="e">
        <f>IF(#REF!="","",#REF!)</f>
        <v>#REF!</v>
      </c>
      <c r="G34" s="354" t="e">
        <f>IF(#REF!="","",#REF!)</f>
        <v>#REF!</v>
      </c>
      <c r="H34" s="354" t="e">
        <f>IF(#REF!="","",#REF!)</f>
        <v>#REF!</v>
      </c>
      <c r="I34" s="354" t="e">
        <f t="shared" si="12"/>
        <v>#REF!</v>
      </c>
      <c r="J34" s="355" t="e">
        <f>IF(#REF!="","",#REF!)</f>
        <v>#REF!</v>
      </c>
      <c r="K34" s="355" t="e">
        <f>IF(#REF!="","",#REF!)</f>
        <v>#REF!</v>
      </c>
      <c r="L34" s="12" t="e">
        <f t="shared" si="13"/>
        <v>#REF!</v>
      </c>
      <c r="M34" t="e">
        <f t="shared" si="14"/>
        <v>#REF!</v>
      </c>
      <c r="N34" t="e">
        <f t="shared" si="2"/>
        <v>#REF!</v>
      </c>
      <c r="O34" t="e">
        <f t="shared" si="3"/>
        <v>#REF!</v>
      </c>
      <c r="P34" t="e">
        <f t="shared" si="4"/>
        <v>#REF!</v>
      </c>
      <c r="Q34">
        <f>SUM($A$10:A34)</f>
        <v>325</v>
      </c>
      <c r="S34" s="15" t="e">
        <f>IF(T34="","",RANK(T34,$T$10:$T$50,1)+COUNTIF(T$10:T34,T34)-1)</f>
        <v>#REF!</v>
      </c>
      <c r="T34" t="e">
        <f t="shared" si="15"/>
        <v>#REF!</v>
      </c>
      <c r="U34" t="e">
        <f t="shared" si="16"/>
        <v>#REF!</v>
      </c>
      <c r="V34" t="e">
        <f t="shared" si="17"/>
        <v>#REF!</v>
      </c>
      <c r="W34" t="e">
        <f t="shared" si="18"/>
        <v>#REF!</v>
      </c>
      <c r="X34" t="e">
        <f t="shared" si="19"/>
        <v>#REF!</v>
      </c>
      <c r="Y34" t="e">
        <f t="shared" si="20"/>
        <v>#REF!</v>
      </c>
      <c r="Z34" t="e">
        <f t="shared" si="21"/>
        <v>#REF!</v>
      </c>
      <c r="AA34" t="e">
        <f t="shared" si="22"/>
        <v>#REF!</v>
      </c>
      <c r="AD34" t="e">
        <f>'1. Project Details'!#REF!</f>
        <v>#REF!</v>
      </c>
      <c r="AE34" t="e">
        <f t="shared" si="5"/>
        <v>#REF!</v>
      </c>
      <c r="AF34" t="e">
        <f t="shared" si="23"/>
        <v>#REF!</v>
      </c>
      <c r="AG34" s="15" t="e">
        <f>IF(AF34="","",RANK(AF34,$AF$10:$AF$50)+COUNTIF(AF$10:AF34,AF34)-1)</f>
        <v>#REF!</v>
      </c>
      <c r="AI34" t="e">
        <f>'1. Project Details'!#REF!</f>
        <v>#REF!</v>
      </c>
      <c r="AK34">
        <v>25</v>
      </c>
      <c r="AL34" t="e">
        <f t="shared" si="6"/>
        <v>#REF!</v>
      </c>
      <c r="AM34" t="e">
        <f t="shared" si="24"/>
        <v>#REF!</v>
      </c>
      <c r="AO34" t="e">
        <f t="shared" si="7"/>
        <v>#REF!</v>
      </c>
      <c r="AP34" t="e">
        <f t="shared" si="8"/>
        <v>#REF!</v>
      </c>
      <c r="AQ34" s="12" t="e">
        <f t="shared" si="9"/>
        <v>#REF!</v>
      </c>
      <c r="AR34" t="e">
        <f t="shared" si="10"/>
        <v>#REF!</v>
      </c>
      <c r="AW34"/>
    </row>
    <row r="35" spans="1:49">
      <c r="A35">
        <v>26</v>
      </c>
      <c r="B35" t="e">
        <f t="shared" si="0"/>
        <v>#REF!</v>
      </c>
      <c r="C35" t="e">
        <f t="shared" si="1"/>
        <v>#REF!</v>
      </c>
      <c r="D35" t="e">
        <f t="shared" si="11"/>
        <v>#REF!</v>
      </c>
      <c r="E35" s="354" t="e">
        <f>IF(#REF!="","",#REF!)</f>
        <v>#REF!</v>
      </c>
      <c r="F35" s="354" t="e">
        <f>IF(#REF!="","",#REF!)</f>
        <v>#REF!</v>
      </c>
      <c r="G35" s="354" t="e">
        <f>IF(#REF!="","",#REF!)</f>
        <v>#REF!</v>
      </c>
      <c r="H35" s="354" t="e">
        <f>IF(#REF!="","",#REF!)</f>
        <v>#REF!</v>
      </c>
      <c r="I35" s="354" t="e">
        <f t="shared" si="12"/>
        <v>#REF!</v>
      </c>
      <c r="J35" s="355" t="e">
        <f>IF(#REF!="","",#REF!)</f>
        <v>#REF!</v>
      </c>
      <c r="K35" s="355" t="e">
        <f>IF(#REF!="","",#REF!)</f>
        <v>#REF!</v>
      </c>
      <c r="L35" s="12" t="e">
        <f t="shared" si="13"/>
        <v>#REF!</v>
      </c>
      <c r="M35" t="e">
        <f t="shared" si="14"/>
        <v>#REF!</v>
      </c>
      <c r="N35" t="e">
        <f t="shared" si="2"/>
        <v>#REF!</v>
      </c>
      <c r="O35" t="e">
        <f t="shared" si="3"/>
        <v>#REF!</v>
      </c>
      <c r="P35" t="e">
        <f t="shared" si="4"/>
        <v>#REF!</v>
      </c>
      <c r="Q35">
        <f>SUM($A$10:A35)</f>
        <v>351</v>
      </c>
      <c r="S35" s="15" t="e">
        <f>IF(T35="","",RANK(T35,$T$10:$T$50,1)+COUNTIF(T$10:T35,T35)-1)</f>
        <v>#REF!</v>
      </c>
      <c r="T35" t="e">
        <f t="shared" si="15"/>
        <v>#REF!</v>
      </c>
      <c r="U35" t="e">
        <f t="shared" si="16"/>
        <v>#REF!</v>
      </c>
      <c r="V35" t="e">
        <f t="shared" si="17"/>
        <v>#REF!</v>
      </c>
      <c r="W35" t="e">
        <f t="shared" si="18"/>
        <v>#REF!</v>
      </c>
      <c r="X35" t="e">
        <f t="shared" si="19"/>
        <v>#REF!</v>
      </c>
      <c r="Y35" t="e">
        <f t="shared" si="20"/>
        <v>#REF!</v>
      </c>
      <c r="Z35" t="e">
        <f t="shared" si="21"/>
        <v>#REF!</v>
      </c>
      <c r="AA35" t="e">
        <f t="shared" si="22"/>
        <v>#REF!</v>
      </c>
      <c r="AD35" t="e">
        <f>'1. Project Details'!#REF!</f>
        <v>#REF!</v>
      </c>
      <c r="AE35" t="e">
        <f t="shared" si="5"/>
        <v>#REF!</v>
      </c>
      <c r="AF35" t="e">
        <f t="shared" si="23"/>
        <v>#REF!</v>
      </c>
      <c r="AG35" s="15" t="e">
        <f>IF(AF35="","",RANK(AF35,$AF$10:$AF$50)+COUNTIF(AF$10:AF35,AF35)-1)</f>
        <v>#REF!</v>
      </c>
      <c r="AI35" t="e">
        <f>'1. Project Details'!#REF!</f>
        <v>#REF!</v>
      </c>
      <c r="AK35">
        <v>26</v>
      </c>
      <c r="AL35" t="e">
        <f t="shared" si="6"/>
        <v>#REF!</v>
      </c>
      <c r="AM35" t="e">
        <f t="shared" si="24"/>
        <v>#REF!</v>
      </c>
      <c r="AO35" t="e">
        <f t="shared" si="7"/>
        <v>#REF!</v>
      </c>
      <c r="AP35" t="e">
        <f t="shared" si="8"/>
        <v>#REF!</v>
      </c>
      <c r="AQ35" s="12" t="e">
        <f t="shared" si="9"/>
        <v>#REF!</v>
      </c>
      <c r="AR35" t="e">
        <f t="shared" si="10"/>
        <v>#REF!</v>
      </c>
      <c r="AW35"/>
    </row>
    <row r="36" spans="1:49">
      <c r="A36">
        <v>27</v>
      </c>
      <c r="B36" t="e">
        <f t="shared" si="0"/>
        <v>#REF!</v>
      </c>
      <c r="C36" t="e">
        <f t="shared" si="1"/>
        <v>#REF!</v>
      </c>
      <c r="D36" t="e">
        <f t="shared" si="11"/>
        <v>#REF!</v>
      </c>
      <c r="E36" s="354" t="e">
        <f>IF(#REF!="","",#REF!)</f>
        <v>#REF!</v>
      </c>
      <c r="F36" s="354" t="e">
        <f>IF(#REF!="","",#REF!)</f>
        <v>#REF!</v>
      </c>
      <c r="G36" s="354" t="e">
        <f>IF(#REF!="","",#REF!)</f>
        <v>#REF!</v>
      </c>
      <c r="H36" s="354" t="e">
        <f>IF(#REF!="","",#REF!)</f>
        <v>#REF!</v>
      </c>
      <c r="I36" s="354" t="e">
        <f t="shared" si="12"/>
        <v>#REF!</v>
      </c>
      <c r="J36" s="355" t="e">
        <f>IF(#REF!="","",#REF!)</f>
        <v>#REF!</v>
      </c>
      <c r="K36" s="355" t="e">
        <f>IF(#REF!="","",#REF!)</f>
        <v>#REF!</v>
      </c>
      <c r="L36" s="12" t="e">
        <f t="shared" si="13"/>
        <v>#REF!</v>
      </c>
      <c r="M36" t="e">
        <f t="shared" si="14"/>
        <v>#REF!</v>
      </c>
      <c r="N36" t="e">
        <f t="shared" si="2"/>
        <v>#REF!</v>
      </c>
      <c r="O36" t="e">
        <f t="shared" si="3"/>
        <v>#REF!</v>
      </c>
      <c r="P36" t="e">
        <f t="shared" si="4"/>
        <v>#REF!</v>
      </c>
      <c r="Q36">
        <f>SUM($A$10:A36)</f>
        <v>378</v>
      </c>
      <c r="S36" s="15" t="e">
        <f>IF(T36="","",RANK(T36,$T$10:$T$50,1)+COUNTIF(T$10:T36,T36)-1)</f>
        <v>#REF!</v>
      </c>
      <c r="T36" t="e">
        <f t="shared" si="15"/>
        <v>#REF!</v>
      </c>
      <c r="U36" t="e">
        <f t="shared" si="16"/>
        <v>#REF!</v>
      </c>
      <c r="V36" t="e">
        <f t="shared" si="17"/>
        <v>#REF!</v>
      </c>
      <c r="W36" t="e">
        <f t="shared" si="18"/>
        <v>#REF!</v>
      </c>
      <c r="X36" t="e">
        <f t="shared" si="19"/>
        <v>#REF!</v>
      </c>
      <c r="Y36" t="e">
        <f t="shared" si="20"/>
        <v>#REF!</v>
      </c>
      <c r="Z36" t="e">
        <f t="shared" si="21"/>
        <v>#REF!</v>
      </c>
      <c r="AA36" t="e">
        <f t="shared" si="22"/>
        <v>#REF!</v>
      </c>
      <c r="AD36" t="e">
        <f>'1. Project Details'!#REF!</f>
        <v>#REF!</v>
      </c>
      <c r="AE36" t="e">
        <f t="shared" si="5"/>
        <v>#REF!</v>
      </c>
      <c r="AF36" t="e">
        <f t="shared" si="23"/>
        <v>#REF!</v>
      </c>
      <c r="AG36" s="15" t="e">
        <f>IF(AF36="","",RANK(AF36,$AF$10:$AF$50)+COUNTIF(AF$10:AF36,AF36)-1)</f>
        <v>#REF!</v>
      </c>
      <c r="AI36" t="e">
        <f>'1. Project Details'!#REF!</f>
        <v>#REF!</v>
      </c>
      <c r="AK36">
        <v>27</v>
      </c>
      <c r="AL36" t="e">
        <f t="shared" si="6"/>
        <v>#REF!</v>
      </c>
      <c r="AM36" t="e">
        <f t="shared" si="24"/>
        <v>#REF!</v>
      </c>
      <c r="AO36" t="e">
        <f t="shared" si="7"/>
        <v>#REF!</v>
      </c>
      <c r="AP36" t="e">
        <f t="shared" si="8"/>
        <v>#REF!</v>
      </c>
      <c r="AQ36" s="12" t="e">
        <f t="shared" si="9"/>
        <v>#REF!</v>
      </c>
      <c r="AR36" t="e">
        <f t="shared" si="10"/>
        <v>#REF!</v>
      </c>
      <c r="AW36"/>
    </row>
    <row r="37" spans="1:49">
      <c r="A37">
        <v>28</v>
      </c>
      <c r="B37" t="e">
        <f t="shared" si="0"/>
        <v>#REF!</v>
      </c>
      <c r="C37" t="e">
        <f t="shared" si="1"/>
        <v>#REF!</v>
      </c>
      <c r="D37" t="e">
        <f t="shared" si="11"/>
        <v>#REF!</v>
      </c>
      <c r="E37" s="354" t="e">
        <f>IF(#REF!="","",#REF!)</f>
        <v>#REF!</v>
      </c>
      <c r="F37" s="354" t="e">
        <f>IF(#REF!="","",#REF!)</f>
        <v>#REF!</v>
      </c>
      <c r="G37" s="354" t="e">
        <f>IF(#REF!="","",#REF!)</f>
        <v>#REF!</v>
      </c>
      <c r="H37" s="354" t="e">
        <f>IF(#REF!="","",#REF!)</f>
        <v>#REF!</v>
      </c>
      <c r="I37" s="354" t="e">
        <f t="shared" si="12"/>
        <v>#REF!</v>
      </c>
      <c r="J37" s="355" t="e">
        <f>IF(#REF!="","",#REF!)</f>
        <v>#REF!</v>
      </c>
      <c r="K37" s="355" t="e">
        <f>IF(#REF!="","",#REF!)</f>
        <v>#REF!</v>
      </c>
      <c r="L37" s="12" t="e">
        <f t="shared" si="13"/>
        <v>#REF!</v>
      </c>
      <c r="M37" t="e">
        <f t="shared" si="14"/>
        <v>#REF!</v>
      </c>
      <c r="N37" t="e">
        <f t="shared" si="2"/>
        <v>#REF!</v>
      </c>
      <c r="O37" t="e">
        <f t="shared" si="3"/>
        <v>#REF!</v>
      </c>
      <c r="P37" t="e">
        <f t="shared" si="4"/>
        <v>#REF!</v>
      </c>
      <c r="Q37">
        <f>SUM($A$10:A37)</f>
        <v>406</v>
      </c>
      <c r="S37" s="15" t="e">
        <f>IF(T37="","",RANK(T37,$T$10:$T$50,1)+COUNTIF(T$10:T37,T37)-1)</f>
        <v>#REF!</v>
      </c>
      <c r="T37" t="e">
        <f t="shared" si="15"/>
        <v>#REF!</v>
      </c>
      <c r="U37" t="e">
        <f t="shared" si="16"/>
        <v>#REF!</v>
      </c>
      <c r="V37" t="e">
        <f t="shared" si="17"/>
        <v>#REF!</v>
      </c>
      <c r="W37" t="e">
        <f t="shared" si="18"/>
        <v>#REF!</v>
      </c>
      <c r="X37" t="e">
        <f t="shared" si="19"/>
        <v>#REF!</v>
      </c>
      <c r="Y37" t="e">
        <f t="shared" si="20"/>
        <v>#REF!</v>
      </c>
      <c r="Z37" t="e">
        <f t="shared" si="21"/>
        <v>#REF!</v>
      </c>
      <c r="AA37" t="e">
        <f t="shared" si="22"/>
        <v>#REF!</v>
      </c>
      <c r="AD37" t="e">
        <f>'1. Project Details'!#REF!</f>
        <v>#REF!</v>
      </c>
      <c r="AE37" t="e">
        <f t="shared" si="5"/>
        <v>#REF!</v>
      </c>
      <c r="AF37" t="e">
        <f t="shared" si="23"/>
        <v>#REF!</v>
      </c>
      <c r="AG37" s="15" t="e">
        <f>IF(AF37="","",RANK(AF37,$AF$10:$AF$50)+COUNTIF(AF$10:AF37,AF37)-1)</f>
        <v>#REF!</v>
      </c>
      <c r="AI37" t="e">
        <f>'1. Project Details'!#REF!</f>
        <v>#REF!</v>
      </c>
      <c r="AK37">
        <v>28</v>
      </c>
      <c r="AL37" t="e">
        <f t="shared" si="6"/>
        <v>#REF!</v>
      </c>
      <c r="AM37" t="e">
        <f t="shared" si="24"/>
        <v>#REF!</v>
      </c>
      <c r="AO37" t="e">
        <f t="shared" si="7"/>
        <v>#REF!</v>
      </c>
      <c r="AP37" t="e">
        <f t="shared" si="8"/>
        <v>#REF!</v>
      </c>
      <c r="AQ37" s="12" t="e">
        <f t="shared" si="9"/>
        <v>#REF!</v>
      </c>
      <c r="AR37" t="e">
        <f t="shared" si="10"/>
        <v>#REF!</v>
      </c>
      <c r="AW37"/>
    </row>
    <row r="38" spans="1:49">
      <c r="A38">
        <v>29</v>
      </c>
      <c r="B38" t="e">
        <f t="shared" si="0"/>
        <v>#REF!</v>
      </c>
      <c r="C38" t="e">
        <f t="shared" si="1"/>
        <v>#REF!</v>
      </c>
      <c r="D38" t="e">
        <f t="shared" si="11"/>
        <v>#REF!</v>
      </c>
      <c r="E38" s="354" t="e">
        <f>IF(#REF!="","",#REF!)</f>
        <v>#REF!</v>
      </c>
      <c r="F38" s="354" t="e">
        <f>IF(#REF!="","",#REF!)</f>
        <v>#REF!</v>
      </c>
      <c r="G38" s="354" t="e">
        <f>IF(#REF!="","",#REF!)</f>
        <v>#REF!</v>
      </c>
      <c r="H38" s="354" t="e">
        <f>IF(#REF!="","",#REF!)</f>
        <v>#REF!</v>
      </c>
      <c r="I38" s="354" t="e">
        <f t="shared" si="12"/>
        <v>#REF!</v>
      </c>
      <c r="J38" s="355" t="e">
        <f>IF(#REF!="","",#REF!)</f>
        <v>#REF!</v>
      </c>
      <c r="K38" s="355" t="e">
        <f>IF(#REF!="","",#REF!)</f>
        <v>#REF!</v>
      </c>
      <c r="L38" s="12" t="e">
        <f t="shared" si="13"/>
        <v>#REF!</v>
      </c>
      <c r="M38" t="e">
        <f t="shared" si="14"/>
        <v>#REF!</v>
      </c>
      <c r="N38" t="e">
        <f t="shared" si="2"/>
        <v>#REF!</v>
      </c>
      <c r="O38" t="e">
        <f t="shared" si="3"/>
        <v>#REF!</v>
      </c>
      <c r="P38" t="e">
        <f t="shared" si="4"/>
        <v>#REF!</v>
      </c>
      <c r="Q38">
        <f>SUM($A$10:A38)</f>
        <v>435</v>
      </c>
      <c r="S38" s="15" t="e">
        <f>IF(T38="","",RANK(T38,$T$10:$T$50,1)+COUNTIF(T$10:T38,T38)-1)</f>
        <v>#REF!</v>
      </c>
      <c r="T38" t="e">
        <f t="shared" si="15"/>
        <v>#REF!</v>
      </c>
      <c r="U38" t="e">
        <f t="shared" si="16"/>
        <v>#REF!</v>
      </c>
      <c r="V38" t="e">
        <f t="shared" si="17"/>
        <v>#REF!</v>
      </c>
      <c r="W38" t="e">
        <f t="shared" si="18"/>
        <v>#REF!</v>
      </c>
      <c r="X38" t="e">
        <f t="shared" si="19"/>
        <v>#REF!</v>
      </c>
      <c r="Y38" t="e">
        <f t="shared" si="20"/>
        <v>#REF!</v>
      </c>
      <c r="Z38" t="e">
        <f t="shared" si="21"/>
        <v>#REF!</v>
      </c>
      <c r="AA38" t="e">
        <f t="shared" si="22"/>
        <v>#REF!</v>
      </c>
      <c r="AD38" t="e">
        <f>'1. Project Details'!#REF!</f>
        <v>#REF!</v>
      </c>
      <c r="AE38" t="e">
        <f t="shared" si="5"/>
        <v>#REF!</v>
      </c>
      <c r="AF38" t="e">
        <f t="shared" si="23"/>
        <v>#REF!</v>
      </c>
      <c r="AG38" s="15" t="e">
        <f>IF(AF38="","",RANK(AF38,$AF$10:$AF$50)+COUNTIF(AF$10:AF38,AF38)-1)</f>
        <v>#REF!</v>
      </c>
      <c r="AI38" t="e">
        <f>'1. Project Details'!#REF!</f>
        <v>#REF!</v>
      </c>
      <c r="AK38">
        <v>29</v>
      </c>
      <c r="AL38" t="e">
        <f t="shared" si="6"/>
        <v>#REF!</v>
      </c>
      <c r="AM38" t="e">
        <f t="shared" si="24"/>
        <v>#REF!</v>
      </c>
      <c r="AO38" t="e">
        <f t="shared" si="7"/>
        <v>#REF!</v>
      </c>
      <c r="AP38" t="e">
        <f t="shared" si="8"/>
        <v>#REF!</v>
      </c>
      <c r="AQ38" s="12" t="e">
        <f t="shared" si="9"/>
        <v>#REF!</v>
      </c>
      <c r="AR38" t="e">
        <f t="shared" si="10"/>
        <v>#REF!</v>
      </c>
      <c r="AW38"/>
    </row>
    <row r="39" spans="1:49">
      <c r="A39">
        <v>30</v>
      </c>
      <c r="B39" t="e">
        <f t="shared" si="0"/>
        <v>#REF!</v>
      </c>
      <c r="C39" t="e">
        <f t="shared" si="1"/>
        <v>#REF!</v>
      </c>
      <c r="D39" t="e">
        <f t="shared" si="11"/>
        <v>#REF!</v>
      </c>
      <c r="E39" s="354" t="e">
        <f>IF(#REF!="","",#REF!)</f>
        <v>#REF!</v>
      </c>
      <c r="F39" s="354" t="e">
        <f>IF(#REF!="","",#REF!)</f>
        <v>#REF!</v>
      </c>
      <c r="G39" s="354" t="e">
        <f>IF(#REF!="","",#REF!)</f>
        <v>#REF!</v>
      </c>
      <c r="H39" s="354" t="e">
        <f>IF(#REF!="","",#REF!)</f>
        <v>#REF!</v>
      </c>
      <c r="I39" s="354" t="e">
        <f t="shared" si="12"/>
        <v>#REF!</v>
      </c>
      <c r="J39" s="355" t="e">
        <f>IF(#REF!="","",#REF!)</f>
        <v>#REF!</v>
      </c>
      <c r="K39" s="355" t="e">
        <f>IF(#REF!="","",#REF!)</f>
        <v>#REF!</v>
      </c>
      <c r="L39" s="12" t="e">
        <f t="shared" si="13"/>
        <v>#REF!</v>
      </c>
      <c r="M39" t="e">
        <f t="shared" si="14"/>
        <v>#REF!</v>
      </c>
      <c r="N39" t="e">
        <f t="shared" si="2"/>
        <v>#REF!</v>
      </c>
      <c r="O39" t="e">
        <f t="shared" si="3"/>
        <v>#REF!</v>
      </c>
      <c r="P39" t="e">
        <f t="shared" si="4"/>
        <v>#REF!</v>
      </c>
      <c r="Q39">
        <f>SUM($A$10:A39)</f>
        <v>465</v>
      </c>
      <c r="S39" s="15" t="e">
        <f>IF(T39="","",RANK(T39,$T$10:$T$50,1)+COUNTIF(T$10:T39,T39)-1)</f>
        <v>#REF!</v>
      </c>
      <c r="T39" t="e">
        <f t="shared" si="15"/>
        <v>#REF!</v>
      </c>
      <c r="U39" t="e">
        <f t="shared" si="16"/>
        <v>#REF!</v>
      </c>
      <c r="V39" t="e">
        <f t="shared" si="17"/>
        <v>#REF!</v>
      </c>
      <c r="W39" t="e">
        <f t="shared" si="18"/>
        <v>#REF!</v>
      </c>
      <c r="X39" t="e">
        <f t="shared" si="19"/>
        <v>#REF!</v>
      </c>
      <c r="Y39" t="e">
        <f t="shared" si="20"/>
        <v>#REF!</v>
      </c>
      <c r="Z39" t="e">
        <f t="shared" si="21"/>
        <v>#REF!</v>
      </c>
      <c r="AA39" t="e">
        <f t="shared" si="22"/>
        <v>#REF!</v>
      </c>
      <c r="AD39" t="e">
        <f>'1. Project Details'!#REF!</f>
        <v>#REF!</v>
      </c>
      <c r="AE39" t="e">
        <f t="shared" si="5"/>
        <v>#REF!</v>
      </c>
      <c r="AF39" t="e">
        <f t="shared" si="23"/>
        <v>#REF!</v>
      </c>
      <c r="AG39" s="15" t="e">
        <f>IF(AF39="","",RANK(AF39,$AF$10:$AF$50)+COUNTIF(AF$10:AF39,AF39)-1)</f>
        <v>#REF!</v>
      </c>
      <c r="AI39" t="e">
        <f>'1. Project Details'!#REF!</f>
        <v>#REF!</v>
      </c>
      <c r="AK39">
        <v>30</v>
      </c>
      <c r="AL39" t="e">
        <f t="shared" si="6"/>
        <v>#REF!</v>
      </c>
      <c r="AM39" t="e">
        <f t="shared" si="24"/>
        <v>#REF!</v>
      </c>
      <c r="AO39" t="e">
        <f t="shared" si="7"/>
        <v>#REF!</v>
      </c>
      <c r="AP39" t="e">
        <f t="shared" si="8"/>
        <v>#REF!</v>
      </c>
      <c r="AQ39" s="12" t="e">
        <f t="shared" si="9"/>
        <v>#REF!</v>
      </c>
      <c r="AR39" t="e">
        <f t="shared" si="10"/>
        <v>#REF!</v>
      </c>
      <c r="AW39"/>
    </row>
    <row r="40" spans="1:49">
      <c r="A40">
        <v>31</v>
      </c>
      <c r="B40" t="e">
        <f t="shared" si="0"/>
        <v>#REF!</v>
      </c>
      <c r="C40" t="e">
        <f t="shared" si="1"/>
        <v>#REF!</v>
      </c>
      <c r="D40" t="e">
        <f t="shared" si="11"/>
        <v>#REF!</v>
      </c>
      <c r="E40" s="354" t="e">
        <f>IF(#REF!="","",#REF!)</f>
        <v>#REF!</v>
      </c>
      <c r="F40" s="354" t="e">
        <f>IF(#REF!="","",#REF!)</f>
        <v>#REF!</v>
      </c>
      <c r="G40" s="354" t="e">
        <f>IF(#REF!="","",#REF!)</f>
        <v>#REF!</v>
      </c>
      <c r="H40" s="354" t="e">
        <f>IF(#REF!="","",#REF!)</f>
        <v>#REF!</v>
      </c>
      <c r="I40" s="354" t="e">
        <f t="shared" si="12"/>
        <v>#REF!</v>
      </c>
      <c r="J40" s="355" t="e">
        <f>IF(#REF!="","",#REF!)</f>
        <v>#REF!</v>
      </c>
      <c r="K40" s="355" t="e">
        <f>IF(#REF!="","",#REF!)</f>
        <v>#REF!</v>
      </c>
      <c r="L40" s="12" t="e">
        <f t="shared" si="13"/>
        <v>#REF!</v>
      </c>
      <c r="M40" t="e">
        <f t="shared" si="14"/>
        <v>#REF!</v>
      </c>
      <c r="N40" t="e">
        <f t="shared" si="2"/>
        <v>#REF!</v>
      </c>
      <c r="O40" t="e">
        <f t="shared" si="3"/>
        <v>#REF!</v>
      </c>
      <c r="P40" t="e">
        <f t="shared" si="4"/>
        <v>#REF!</v>
      </c>
      <c r="Q40">
        <f>SUM($A$10:A40)</f>
        <v>496</v>
      </c>
      <c r="S40" s="15" t="e">
        <f>IF(T40="","",RANK(T40,$T$10:$T$50,1)+COUNTIF(T$10:T40,T40)-1)</f>
        <v>#REF!</v>
      </c>
      <c r="T40" t="e">
        <f t="shared" si="15"/>
        <v>#REF!</v>
      </c>
      <c r="U40" t="e">
        <f t="shared" si="16"/>
        <v>#REF!</v>
      </c>
      <c r="V40" t="e">
        <f t="shared" si="17"/>
        <v>#REF!</v>
      </c>
      <c r="W40" t="e">
        <f t="shared" si="18"/>
        <v>#REF!</v>
      </c>
      <c r="X40" t="e">
        <f t="shared" si="19"/>
        <v>#REF!</v>
      </c>
      <c r="Y40" t="e">
        <f t="shared" si="20"/>
        <v>#REF!</v>
      </c>
      <c r="Z40" t="e">
        <f t="shared" si="21"/>
        <v>#REF!</v>
      </c>
      <c r="AA40" t="e">
        <f t="shared" si="22"/>
        <v>#REF!</v>
      </c>
      <c r="AD40" t="e">
        <f>'1. Project Details'!#REF!</f>
        <v>#REF!</v>
      </c>
      <c r="AE40" t="e">
        <f t="shared" si="5"/>
        <v>#REF!</v>
      </c>
      <c r="AF40" t="e">
        <f t="shared" si="23"/>
        <v>#REF!</v>
      </c>
      <c r="AG40" s="15" t="e">
        <f>IF(AF40="","",RANK(AF40,$AF$10:$AF$50)+COUNTIF(AF$10:AF40,AF40)-1)</f>
        <v>#REF!</v>
      </c>
      <c r="AI40" t="e">
        <f>'1. Project Details'!#REF!</f>
        <v>#REF!</v>
      </c>
      <c r="AK40">
        <v>31</v>
      </c>
      <c r="AL40" t="e">
        <f t="shared" si="6"/>
        <v>#REF!</v>
      </c>
      <c r="AM40" t="e">
        <f t="shared" si="24"/>
        <v>#REF!</v>
      </c>
      <c r="AO40" t="e">
        <f t="shared" si="7"/>
        <v>#REF!</v>
      </c>
      <c r="AP40" t="e">
        <f t="shared" si="8"/>
        <v>#REF!</v>
      </c>
      <c r="AQ40" s="12" t="e">
        <f t="shared" si="9"/>
        <v>#REF!</v>
      </c>
      <c r="AR40" t="e">
        <f t="shared" si="10"/>
        <v>#REF!</v>
      </c>
      <c r="AW40"/>
    </row>
    <row r="41" spans="1:49">
      <c r="A41">
        <v>32</v>
      </c>
      <c r="B41" t="e">
        <f t="shared" si="0"/>
        <v>#REF!</v>
      </c>
      <c r="C41" t="e">
        <f t="shared" si="1"/>
        <v>#REF!</v>
      </c>
      <c r="D41" t="e">
        <f t="shared" si="11"/>
        <v>#REF!</v>
      </c>
      <c r="E41" s="354" t="e">
        <f>IF(#REF!="","",#REF!)</f>
        <v>#REF!</v>
      </c>
      <c r="F41" s="354" t="e">
        <f>IF(#REF!="","",#REF!)</f>
        <v>#REF!</v>
      </c>
      <c r="G41" s="354" t="e">
        <f>IF(#REF!="","",#REF!)</f>
        <v>#REF!</v>
      </c>
      <c r="H41" s="354" t="e">
        <f>IF(#REF!="","",#REF!)</f>
        <v>#REF!</v>
      </c>
      <c r="I41" s="354" t="e">
        <f t="shared" si="12"/>
        <v>#REF!</v>
      </c>
      <c r="J41" s="355" t="e">
        <f>IF(#REF!="","",#REF!)</f>
        <v>#REF!</v>
      </c>
      <c r="K41" s="355" t="e">
        <f>IF(#REF!="","",#REF!)</f>
        <v>#REF!</v>
      </c>
      <c r="L41" s="12" t="e">
        <f t="shared" si="13"/>
        <v>#REF!</v>
      </c>
      <c r="M41" t="e">
        <f t="shared" si="14"/>
        <v>#REF!</v>
      </c>
      <c r="N41" t="e">
        <f t="shared" si="2"/>
        <v>#REF!</v>
      </c>
      <c r="O41" t="e">
        <f t="shared" si="3"/>
        <v>#REF!</v>
      </c>
      <c r="P41" t="e">
        <f t="shared" si="4"/>
        <v>#REF!</v>
      </c>
      <c r="Q41">
        <f>SUM($A$10:A41)</f>
        <v>528</v>
      </c>
      <c r="S41" s="15" t="e">
        <f>IF(T41="","",RANK(T41,$T$10:$T$50,1)+COUNTIF(T$10:T41,T41)-1)</f>
        <v>#REF!</v>
      </c>
      <c r="T41" t="e">
        <f t="shared" si="15"/>
        <v>#REF!</v>
      </c>
      <c r="U41" t="e">
        <f t="shared" si="16"/>
        <v>#REF!</v>
      </c>
      <c r="V41" t="e">
        <f t="shared" si="17"/>
        <v>#REF!</v>
      </c>
      <c r="W41" t="e">
        <f t="shared" si="18"/>
        <v>#REF!</v>
      </c>
      <c r="X41" t="e">
        <f t="shared" si="19"/>
        <v>#REF!</v>
      </c>
      <c r="Y41" t="e">
        <f t="shared" si="20"/>
        <v>#REF!</v>
      </c>
      <c r="Z41" t="e">
        <f t="shared" si="21"/>
        <v>#REF!</v>
      </c>
      <c r="AA41" t="e">
        <f t="shared" si="22"/>
        <v>#REF!</v>
      </c>
      <c r="AD41" t="e">
        <f>'1. Project Details'!#REF!</f>
        <v>#REF!</v>
      </c>
      <c r="AE41" t="e">
        <f t="shared" si="5"/>
        <v>#REF!</v>
      </c>
      <c r="AF41" t="e">
        <f t="shared" si="23"/>
        <v>#REF!</v>
      </c>
      <c r="AG41" s="15" t="e">
        <f>IF(AF41="","",RANK(AF41,$AF$10:$AF$50)+COUNTIF(AF$10:AF41,AF41)-1)</f>
        <v>#REF!</v>
      </c>
      <c r="AI41" t="e">
        <f>'1. Project Details'!#REF!</f>
        <v>#REF!</v>
      </c>
      <c r="AK41">
        <v>32</v>
      </c>
      <c r="AL41" t="e">
        <f t="shared" si="6"/>
        <v>#REF!</v>
      </c>
      <c r="AM41" t="e">
        <f t="shared" si="24"/>
        <v>#REF!</v>
      </c>
      <c r="AO41" t="e">
        <f t="shared" si="7"/>
        <v>#REF!</v>
      </c>
      <c r="AP41" t="e">
        <f t="shared" si="8"/>
        <v>#REF!</v>
      </c>
      <c r="AQ41" s="12" t="e">
        <f t="shared" si="9"/>
        <v>#REF!</v>
      </c>
      <c r="AR41" t="e">
        <f t="shared" si="10"/>
        <v>#REF!</v>
      </c>
      <c r="AW41"/>
    </row>
    <row r="42" spans="1:49">
      <c r="A42">
        <v>33</v>
      </c>
      <c r="B42" t="e">
        <f t="shared" ref="B42:B73" si="25">IF(OR(N42="Yes",O42="Yes",P42="Yes"),A42,"")</f>
        <v>#REF!</v>
      </c>
      <c r="C42" t="e">
        <f t="shared" ref="C42:C73" si="26">IF(B42="","",RANK(B42,$B$10:$B$109,1))</f>
        <v>#REF!</v>
      </c>
      <c r="D42" t="e">
        <f t="shared" si="11"/>
        <v>#REF!</v>
      </c>
      <c r="E42" s="354" t="e">
        <f>IF(#REF!="","",#REF!)</f>
        <v>#REF!</v>
      </c>
      <c r="F42" s="354" t="e">
        <f>IF(#REF!="","",#REF!)</f>
        <v>#REF!</v>
      </c>
      <c r="G42" s="354" t="e">
        <f>IF(#REF!="","",#REF!)</f>
        <v>#REF!</v>
      </c>
      <c r="H42" s="354" t="e">
        <f>IF(#REF!="","",#REF!)</f>
        <v>#REF!</v>
      </c>
      <c r="I42" s="354" t="e">
        <f t="shared" si="12"/>
        <v>#REF!</v>
      </c>
      <c r="J42" s="355" t="e">
        <f>IF(#REF!="","",#REF!)</f>
        <v>#REF!</v>
      </c>
      <c r="K42" s="355" t="e">
        <f>IF(#REF!="","",#REF!)</f>
        <v>#REF!</v>
      </c>
      <c r="L42" s="12" t="e">
        <f t="shared" si="13"/>
        <v>#REF!</v>
      </c>
      <c r="M42" t="e">
        <f t="shared" si="14"/>
        <v>#REF!</v>
      </c>
      <c r="N42" t="e">
        <f t="shared" ref="N42:N73" si="27">IF(E42="","",IF(AND(G42&lt;=$B$4,K42="",NOT(J42="")),"Yes","No"))</f>
        <v>#REF!</v>
      </c>
      <c r="O42" t="e">
        <f t="shared" ref="O42:O73" si="28">IF(E42="","",IF(AND(G42&lt;=$B$4,J42=""),"Yes","No"))</f>
        <v>#REF!</v>
      </c>
      <c r="P42" t="e">
        <f t="shared" ref="P42:P73" si="29">IF(OR(N42="Yes",O42="Yes"),"No",IF(AND(K42="",F42&lt;=$B$5),"Yes","No"))</f>
        <v>#REF!</v>
      </c>
      <c r="Q42">
        <f>SUM($A$10:A42)</f>
        <v>561</v>
      </c>
      <c r="S42" s="15" t="e">
        <f>IF(T42="","",RANK(T42,$T$10:$T$50,1)+COUNTIF(T$10:T42,T42)-1)</f>
        <v>#REF!</v>
      </c>
      <c r="T42" t="e">
        <f t="shared" si="15"/>
        <v>#REF!</v>
      </c>
      <c r="U42" t="e">
        <f t="shared" si="16"/>
        <v>#REF!</v>
      </c>
      <c r="V42" t="e">
        <f t="shared" si="17"/>
        <v>#REF!</v>
      </c>
      <c r="W42" t="e">
        <f t="shared" si="18"/>
        <v>#REF!</v>
      </c>
      <c r="X42" t="e">
        <f t="shared" si="19"/>
        <v>#REF!</v>
      </c>
      <c r="Y42" t="e">
        <f t="shared" si="20"/>
        <v>#REF!</v>
      </c>
      <c r="Z42" t="e">
        <f t="shared" si="21"/>
        <v>#REF!</v>
      </c>
      <c r="AA42" t="e">
        <f t="shared" si="22"/>
        <v>#REF!</v>
      </c>
      <c r="AD42" t="e">
        <f>'1. Project Details'!#REF!</f>
        <v>#REF!</v>
      </c>
      <c r="AE42" t="e">
        <f t="shared" si="5"/>
        <v>#REF!</v>
      </c>
      <c r="AF42" t="e">
        <f t="shared" si="23"/>
        <v>#REF!</v>
      </c>
      <c r="AG42" s="15" t="e">
        <f>IF(AF42="","",RANK(AF42,$AF$10:$AF$50)+COUNTIF(AF$10:AF42,AF42)-1)</f>
        <v>#REF!</v>
      </c>
      <c r="AI42" t="e">
        <f>'1. Project Details'!#REF!</f>
        <v>#REF!</v>
      </c>
      <c r="AK42">
        <v>33</v>
      </c>
      <c r="AL42" t="e">
        <f t="shared" ref="AL42:AL73" si="30">IF(SUM($S$10:$S$109)&lt;$Q42,"",VLOOKUP($AK42,$S$10:$AA$109,3,FALSE))</f>
        <v>#REF!</v>
      </c>
      <c r="AM42" t="e">
        <f t="shared" si="24"/>
        <v>#REF!</v>
      </c>
      <c r="AO42" t="e">
        <f t="shared" ref="AO42:AO73" si="31">IF(SUM($S$10:$S$109)&lt;$Q42,"",VLOOKUP(AK42,$S$10:$AA$109,5,FALSE))</f>
        <v>#REF!</v>
      </c>
      <c r="AP42" t="e">
        <f t="shared" ref="AP42:AP73" si="32">IF(SUM($S$10:$S$109)&lt;$Q42,"",VLOOKUP($AK42,$S$10:$AA$109,8,FALSE))</f>
        <v>#REF!</v>
      </c>
      <c r="AQ42" s="12" t="e">
        <f t="shared" ref="AQ42:AQ73" si="33">IF(SUM($S$10:$S$109)&lt;$Q42,"",VLOOKUP($AK42,$S$10:$AA$109,7,FALSE))</f>
        <v>#REF!</v>
      </c>
      <c r="AR42" t="e">
        <f t="shared" ref="AR42:AR73" si="34">IF(SUM($S$10:$S$109)&lt;$Q42,"",VLOOKUP($AK42,$S$10:$AA$109,9,FALSE))</f>
        <v>#REF!</v>
      </c>
      <c r="AW42"/>
    </row>
    <row r="43" spans="1:49">
      <c r="A43">
        <v>34</v>
      </c>
      <c r="B43" t="e">
        <f t="shared" si="25"/>
        <v>#REF!</v>
      </c>
      <c r="C43" t="e">
        <f t="shared" si="26"/>
        <v>#REF!</v>
      </c>
      <c r="D43" t="e">
        <f t="shared" si="11"/>
        <v>#REF!</v>
      </c>
      <c r="E43" s="354" t="e">
        <f>IF(#REF!="","",#REF!)</f>
        <v>#REF!</v>
      </c>
      <c r="F43" s="354" t="e">
        <f>IF(#REF!="","",#REF!)</f>
        <v>#REF!</v>
      </c>
      <c r="G43" s="354" t="e">
        <f>IF(#REF!="","",#REF!)</f>
        <v>#REF!</v>
      </c>
      <c r="H43" s="354" t="e">
        <f>IF(#REF!="","",#REF!)</f>
        <v>#REF!</v>
      </c>
      <c r="I43" s="354" t="e">
        <f t="shared" si="12"/>
        <v>#REF!</v>
      </c>
      <c r="J43" s="355" t="e">
        <f>IF(#REF!="","",#REF!)</f>
        <v>#REF!</v>
      </c>
      <c r="K43" s="355" t="e">
        <f>IF(#REF!="","",#REF!)</f>
        <v>#REF!</v>
      </c>
      <c r="L43" s="12" t="e">
        <f t="shared" si="13"/>
        <v>#REF!</v>
      </c>
      <c r="M43" t="e">
        <f t="shared" si="14"/>
        <v>#REF!</v>
      </c>
      <c r="N43" t="e">
        <f t="shared" si="27"/>
        <v>#REF!</v>
      </c>
      <c r="O43" t="e">
        <f t="shared" si="28"/>
        <v>#REF!</v>
      </c>
      <c r="P43" t="e">
        <f t="shared" si="29"/>
        <v>#REF!</v>
      </c>
      <c r="Q43">
        <f>SUM($A$10:A43)</f>
        <v>595</v>
      </c>
      <c r="S43" s="15" t="e">
        <f>IF(T43="","",RANK(T43,$T$10:$T$50,1)+COUNTIF(T$10:T43,T43)-1)</f>
        <v>#REF!</v>
      </c>
      <c r="T43" t="e">
        <f t="shared" si="15"/>
        <v>#REF!</v>
      </c>
      <c r="U43" t="e">
        <f t="shared" si="16"/>
        <v>#REF!</v>
      </c>
      <c r="V43" t="e">
        <f t="shared" si="17"/>
        <v>#REF!</v>
      </c>
      <c r="W43" t="e">
        <f t="shared" si="18"/>
        <v>#REF!</v>
      </c>
      <c r="X43" t="e">
        <f t="shared" si="19"/>
        <v>#REF!</v>
      </c>
      <c r="Y43" t="e">
        <f t="shared" si="20"/>
        <v>#REF!</v>
      </c>
      <c r="Z43" t="e">
        <f t="shared" si="21"/>
        <v>#REF!</v>
      </c>
      <c r="AA43" t="e">
        <f t="shared" si="22"/>
        <v>#REF!</v>
      </c>
      <c r="AD43" t="e">
        <f>'1. Project Details'!#REF!</f>
        <v>#REF!</v>
      </c>
      <c r="AE43" t="e">
        <f t="shared" si="5"/>
        <v>#REF!</v>
      </c>
      <c r="AF43" t="e">
        <f t="shared" si="23"/>
        <v>#REF!</v>
      </c>
      <c r="AG43" s="15" t="e">
        <f>IF(AF43="","",RANK(AF43,$AF$10:$AF$50)+COUNTIF(AF$10:AF43,AF43)-1)</f>
        <v>#REF!</v>
      </c>
      <c r="AI43" t="e">
        <f>'1. Project Details'!#REF!</f>
        <v>#REF!</v>
      </c>
      <c r="AK43">
        <v>34</v>
      </c>
      <c r="AL43" t="e">
        <f t="shared" si="30"/>
        <v>#REF!</v>
      </c>
      <c r="AM43" t="e">
        <f t="shared" si="24"/>
        <v>#REF!</v>
      </c>
      <c r="AO43" t="e">
        <f t="shared" si="31"/>
        <v>#REF!</v>
      </c>
      <c r="AP43" t="e">
        <f t="shared" si="32"/>
        <v>#REF!</v>
      </c>
      <c r="AQ43" s="12" t="e">
        <f t="shared" si="33"/>
        <v>#REF!</v>
      </c>
      <c r="AR43" t="e">
        <f t="shared" si="34"/>
        <v>#REF!</v>
      </c>
      <c r="AW43"/>
    </row>
    <row r="44" spans="1:49">
      <c r="A44">
        <v>35</v>
      </c>
      <c r="B44" t="e">
        <f t="shared" si="25"/>
        <v>#REF!</v>
      </c>
      <c r="C44" t="e">
        <f t="shared" si="26"/>
        <v>#REF!</v>
      </c>
      <c r="D44" t="e">
        <f t="shared" si="11"/>
        <v>#REF!</v>
      </c>
      <c r="E44" s="354" t="e">
        <f>IF(#REF!="","",#REF!)</f>
        <v>#REF!</v>
      </c>
      <c r="F44" s="354" t="e">
        <f>IF(#REF!="","",#REF!)</f>
        <v>#REF!</v>
      </c>
      <c r="G44" s="354" t="e">
        <f>IF(#REF!="","",#REF!)</f>
        <v>#REF!</v>
      </c>
      <c r="H44" s="354" t="e">
        <f>IF(#REF!="","",#REF!)</f>
        <v>#REF!</v>
      </c>
      <c r="I44" s="354" t="e">
        <f t="shared" si="12"/>
        <v>#REF!</v>
      </c>
      <c r="J44" s="355" t="e">
        <f>IF(#REF!="","",#REF!)</f>
        <v>#REF!</v>
      </c>
      <c r="K44" s="355" t="e">
        <f>IF(#REF!="","",#REF!)</f>
        <v>#REF!</v>
      </c>
      <c r="L44" s="12" t="e">
        <f t="shared" si="13"/>
        <v>#REF!</v>
      </c>
      <c r="M44" t="e">
        <f t="shared" si="14"/>
        <v>#REF!</v>
      </c>
      <c r="N44" t="e">
        <f t="shared" si="27"/>
        <v>#REF!</v>
      </c>
      <c r="O44" t="e">
        <f t="shared" si="28"/>
        <v>#REF!</v>
      </c>
      <c r="P44" t="e">
        <f t="shared" si="29"/>
        <v>#REF!</v>
      </c>
      <c r="Q44">
        <f>SUM($A$10:A44)</f>
        <v>630</v>
      </c>
      <c r="S44" s="15" t="e">
        <f>IF(T44="","",RANK(T44,$T$10:$T$50,1)+COUNTIF(T$10:T44,T44)-1)</f>
        <v>#REF!</v>
      </c>
      <c r="T44" t="e">
        <f t="shared" si="15"/>
        <v>#REF!</v>
      </c>
      <c r="U44" t="e">
        <f t="shared" si="16"/>
        <v>#REF!</v>
      </c>
      <c r="V44" t="e">
        <f t="shared" si="17"/>
        <v>#REF!</v>
      </c>
      <c r="W44" t="e">
        <f t="shared" si="18"/>
        <v>#REF!</v>
      </c>
      <c r="X44" t="e">
        <f t="shared" si="19"/>
        <v>#REF!</v>
      </c>
      <c r="Y44" t="e">
        <f t="shared" si="20"/>
        <v>#REF!</v>
      </c>
      <c r="Z44" t="e">
        <f t="shared" si="21"/>
        <v>#REF!</v>
      </c>
      <c r="AA44" t="e">
        <f t="shared" si="22"/>
        <v>#REF!</v>
      </c>
      <c r="AD44" t="e">
        <f>'1. Project Details'!#REF!</f>
        <v>#REF!</v>
      </c>
      <c r="AE44" t="e">
        <f t="shared" si="5"/>
        <v>#REF!</v>
      </c>
      <c r="AF44" t="e">
        <f t="shared" si="23"/>
        <v>#REF!</v>
      </c>
      <c r="AG44" s="15" t="e">
        <f>IF(AF44="","",RANK(AF44,$AF$10:$AF$50)+COUNTIF(AF$10:AF44,AF44)-1)</f>
        <v>#REF!</v>
      </c>
      <c r="AI44" t="e">
        <f>'1. Project Details'!#REF!</f>
        <v>#REF!</v>
      </c>
      <c r="AK44">
        <v>35</v>
      </c>
      <c r="AL44" t="e">
        <f t="shared" si="30"/>
        <v>#REF!</v>
      </c>
      <c r="AM44" t="e">
        <f t="shared" si="24"/>
        <v>#REF!</v>
      </c>
      <c r="AO44" t="e">
        <f t="shared" si="31"/>
        <v>#REF!</v>
      </c>
      <c r="AP44" t="e">
        <f t="shared" si="32"/>
        <v>#REF!</v>
      </c>
      <c r="AQ44" s="12" t="e">
        <f t="shared" si="33"/>
        <v>#REF!</v>
      </c>
      <c r="AR44" t="e">
        <f t="shared" si="34"/>
        <v>#REF!</v>
      </c>
      <c r="AW44"/>
    </row>
    <row r="45" spans="1:49">
      <c r="A45">
        <v>36</v>
      </c>
      <c r="B45" t="e">
        <f t="shared" si="25"/>
        <v>#REF!</v>
      </c>
      <c r="C45" t="e">
        <f t="shared" si="26"/>
        <v>#REF!</v>
      </c>
      <c r="D45" t="e">
        <f t="shared" si="11"/>
        <v>#REF!</v>
      </c>
      <c r="E45" s="354" t="e">
        <f>IF(#REF!="","",#REF!)</f>
        <v>#REF!</v>
      </c>
      <c r="F45" s="354" t="e">
        <f>IF(#REF!="","",#REF!)</f>
        <v>#REF!</v>
      </c>
      <c r="G45" s="354" t="e">
        <f>IF(#REF!="","",#REF!)</f>
        <v>#REF!</v>
      </c>
      <c r="H45" s="354" t="e">
        <f>IF(#REF!="","",#REF!)</f>
        <v>#REF!</v>
      </c>
      <c r="I45" s="354" t="e">
        <f t="shared" si="12"/>
        <v>#REF!</v>
      </c>
      <c r="J45" s="355" t="e">
        <f>IF(#REF!="","",#REF!)</f>
        <v>#REF!</v>
      </c>
      <c r="K45" s="355" t="e">
        <f>IF(#REF!="","",#REF!)</f>
        <v>#REF!</v>
      </c>
      <c r="L45" s="12" t="e">
        <f t="shared" si="13"/>
        <v>#REF!</v>
      </c>
      <c r="M45" t="e">
        <f t="shared" si="14"/>
        <v>#REF!</v>
      </c>
      <c r="N45" t="e">
        <f t="shared" si="27"/>
        <v>#REF!</v>
      </c>
      <c r="O45" t="e">
        <f t="shared" si="28"/>
        <v>#REF!</v>
      </c>
      <c r="P45" t="e">
        <f t="shared" si="29"/>
        <v>#REF!</v>
      </c>
      <c r="Q45">
        <f>SUM($A$10:A45)</f>
        <v>666</v>
      </c>
      <c r="S45" s="15" t="e">
        <f>IF(T45="","",RANK(T45,$T$10:$T$50,1)+COUNTIF(T$10:T45,T45)-1)</f>
        <v>#REF!</v>
      </c>
      <c r="T45" t="e">
        <f t="shared" si="15"/>
        <v>#REF!</v>
      </c>
      <c r="U45" t="e">
        <f t="shared" si="16"/>
        <v>#REF!</v>
      </c>
      <c r="V45" t="e">
        <f t="shared" si="17"/>
        <v>#REF!</v>
      </c>
      <c r="W45" t="e">
        <f t="shared" si="18"/>
        <v>#REF!</v>
      </c>
      <c r="X45" t="e">
        <f t="shared" si="19"/>
        <v>#REF!</v>
      </c>
      <c r="Y45" t="e">
        <f t="shared" si="20"/>
        <v>#REF!</v>
      </c>
      <c r="Z45" t="e">
        <f t="shared" si="21"/>
        <v>#REF!</v>
      </c>
      <c r="AA45" t="e">
        <f t="shared" si="22"/>
        <v>#REF!</v>
      </c>
      <c r="AD45" t="e">
        <f>'1. Project Details'!#REF!</f>
        <v>#REF!</v>
      </c>
      <c r="AE45" t="e">
        <f t="shared" si="5"/>
        <v>#REF!</v>
      </c>
      <c r="AF45" t="e">
        <f t="shared" si="23"/>
        <v>#REF!</v>
      </c>
      <c r="AG45" s="15" t="e">
        <f>IF(AF45="","",RANK(AF45,$AF$10:$AF$50)+COUNTIF(AF$10:AF45,AF45)-1)</f>
        <v>#REF!</v>
      </c>
      <c r="AI45" t="e">
        <f>'1. Project Details'!#REF!</f>
        <v>#REF!</v>
      </c>
      <c r="AK45">
        <v>36</v>
      </c>
      <c r="AL45" t="e">
        <f t="shared" si="30"/>
        <v>#REF!</v>
      </c>
      <c r="AM45" t="e">
        <f t="shared" si="24"/>
        <v>#REF!</v>
      </c>
      <c r="AO45" t="e">
        <f t="shared" si="31"/>
        <v>#REF!</v>
      </c>
      <c r="AP45" t="e">
        <f t="shared" si="32"/>
        <v>#REF!</v>
      </c>
      <c r="AQ45" s="12" t="e">
        <f t="shared" si="33"/>
        <v>#REF!</v>
      </c>
      <c r="AR45" t="e">
        <f t="shared" si="34"/>
        <v>#REF!</v>
      </c>
      <c r="AW45"/>
    </row>
    <row r="46" spans="1:49">
      <c r="A46">
        <v>37</v>
      </c>
      <c r="B46" t="e">
        <f t="shared" si="25"/>
        <v>#REF!</v>
      </c>
      <c r="C46" t="e">
        <f t="shared" si="26"/>
        <v>#REF!</v>
      </c>
      <c r="D46" t="e">
        <f t="shared" si="11"/>
        <v>#REF!</v>
      </c>
      <c r="E46" s="354" t="e">
        <f>IF(#REF!="","",#REF!)</f>
        <v>#REF!</v>
      </c>
      <c r="F46" s="354" t="e">
        <f>IF(#REF!="","",#REF!)</f>
        <v>#REF!</v>
      </c>
      <c r="G46" s="354" t="e">
        <f>IF(#REF!="","",#REF!)</f>
        <v>#REF!</v>
      </c>
      <c r="H46" s="354" t="e">
        <f>IF(#REF!="","",#REF!)</f>
        <v>#REF!</v>
      </c>
      <c r="I46" s="354" t="e">
        <f t="shared" si="12"/>
        <v>#REF!</v>
      </c>
      <c r="J46" s="355" t="e">
        <f>IF(#REF!="","",#REF!)</f>
        <v>#REF!</v>
      </c>
      <c r="K46" s="355" t="e">
        <f>IF(#REF!="","",#REF!)</f>
        <v>#REF!</v>
      </c>
      <c r="L46" s="12" t="e">
        <f t="shared" si="13"/>
        <v>#REF!</v>
      </c>
      <c r="M46" t="e">
        <f t="shared" si="14"/>
        <v>#REF!</v>
      </c>
      <c r="N46" t="e">
        <f t="shared" si="27"/>
        <v>#REF!</v>
      </c>
      <c r="O46" t="e">
        <f t="shared" si="28"/>
        <v>#REF!</v>
      </c>
      <c r="P46" t="e">
        <f t="shared" si="29"/>
        <v>#REF!</v>
      </c>
      <c r="Q46">
        <f>SUM($A$10:A46)</f>
        <v>703</v>
      </c>
      <c r="S46" s="15" t="e">
        <f>IF(T46="","",RANK(T46,$T$10:$T$50,1)+COUNTIF(T$10:T46,T46)-1)</f>
        <v>#REF!</v>
      </c>
      <c r="T46" t="e">
        <f t="shared" si="15"/>
        <v>#REF!</v>
      </c>
      <c r="U46" t="e">
        <f t="shared" si="16"/>
        <v>#REF!</v>
      </c>
      <c r="V46" t="e">
        <f t="shared" si="17"/>
        <v>#REF!</v>
      </c>
      <c r="W46" t="e">
        <f t="shared" si="18"/>
        <v>#REF!</v>
      </c>
      <c r="X46" t="e">
        <f t="shared" si="19"/>
        <v>#REF!</v>
      </c>
      <c r="Y46" t="e">
        <f t="shared" si="20"/>
        <v>#REF!</v>
      </c>
      <c r="Z46" t="e">
        <f t="shared" si="21"/>
        <v>#REF!</v>
      </c>
      <c r="AA46" t="e">
        <f t="shared" si="22"/>
        <v>#REF!</v>
      </c>
      <c r="AD46" t="e">
        <f>'1. Project Details'!#REF!</f>
        <v>#REF!</v>
      </c>
      <c r="AE46" t="e">
        <f t="shared" si="5"/>
        <v>#REF!</v>
      </c>
      <c r="AF46" t="e">
        <f t="shared" si="23"/>
        <v>#REF!</v>
      </c>
      <c r="AG46" s="15" t="e">
        <f>IF(AF46="","",RANK(AF46,$AF$10:$AF$50)+COUNTIF(AF$10:AF46,AF46)-1)</f>
        <v>#REF!</v>
      </c>
      <c r="AI46" t="e">
        <f>'1. Project Details'!#REF!</f>
        <v>#REF!</v>
      </c>
      <c r="AK46">
        <v>37</v>
      </c>
      <c r="AL46" t="e">
        <f t="shared" si="30"/>
        <v>#REF!</v>
      </c>
      <c r="AM46" t="e">
        <f t="shared" si="24"/>
        <v>#REF!</v>
      </c>
      <c r="AO46" t="e">
        <f t="shared" si="31"/>
        <v>#REF!</v>
      </c>
      <c r="AP46" t="e">
        <f t="shared" si="32"/>
        <v>#REF!</v>
      </c>
      <c r="AQ46" s="12" t="e">
        <f t="shared" si="33"/>
        <v>#REF!</v>
      </c>
      <c r="AR46" t="e">
        <f t="shared" si="34"/>
        <v>#REF!</v>
      </c>
      <c r="AW46"/>
    </row>
    <row r="47" spans="1:49">
      <c r="A47">
        <v>38</v>
      </c>
      <c r="B47" t="e">
        <f t="shared" si="25"/>
        <v>#REF!</v>
      </c>
      <c r="C47" t="e">
        <f t="shared" si="26"/>
        <v>#REF!</v>
      </c>
      <c r="D47" t="e">
        <f t="shared" si="11"/>
        <v>#REF!</v>
      </c>
      <c r="E47" s="354" t="e">
        <f>IF(#REF!="","",#REF!)</f>
        <v>#REF!</v>
      </c>
      <c r="F47" s="354" t="e">
        <f>IF(#REF!="","",#REF!)</f>
        <v>#REF!</v>
      </c>
      <c r="G47" s="354" t="e">
        <f>IF(#REF!="","",#REF!)</f>
        <v>#REF!</v>
      </c>
      <c r="H47" s="354" t="e">
        <f>IF(#REF!="","",#REF!)</f>
        <v>#REF!</v>
      </c>
      <c r="I47" s="354" t="e">
        <f t="shared" si="12"/>
        <v>#REF!</v>
      </c>
      <c r="J47" s="355" t="e">
        <f>IF(#REF!="","",#REF!)</f>
        <v>#REF!</v>
      </c>
      <c r="K47" s="355" t="e">
        <f>IF(#REF!="","",#REF!)</f>
        <v>#REF!</v>
      </c>
      <c r="L47" s="12" t="e">
        <f t="shared" si="13"/>
        <v>#REF!</v>
      </c>
      <c r="M47" t="e">
        <f t="shared" si="14"/>
        <v>#REF!</v>
      </c>
      <c r="N47" t="e">
        <f t="shared" si="27"/>
        <v>#REF!</v>
      </c>
      <c r="O47" t="e">
        <f t="shared" si="28"/>
        <v>#REF!</v>
      </c>
      <c r="P47" t="e">
        <f t="shared" si="29"/>
        <v>#REF!</v>
      </c>
      <c r="Q47">
        <f>SUM($A$10:A47)</f>
        <v>741</v>
      </c>
      <c r="S47" s="15" t="e">
        <f>IF(T47="","",RANK(T47,$T$10:$T$50,1)+COUNTIF(T$10:T47,T47)-1)</f>
        <v>#REF!</v>
      </c>
      <c r="T47" t="e">
        <f t="shared" si="15"/>
        <v>#REF!</v>
      </c>
      <c r="U47" t="e">
        <f t="shared" si="16"/>
        <v>#REF!</v>
      </c>
      <c r="V47" t="e">
        <f t="shared" si="17"/>
        <v>#REF!</v>
      </c>
      <c r="W47" t="e">
        <f t="shared" si="18"/>
        <v>#REF!</v>
      </c>
      <c r="X47" t="e">
        <f t="shared" si="19"/>
        <v>#REF!</v>
      </c>
      <c r="Y47" t="e">
        <f t="shared" si="20"/>
        <v>#REF!</v>
      </c>
      <c r="Z47" t="e">
        <f t="shared" si="21"/>
        <v>#REF!</v>
      </c>
      <c r="AA47" t="e">
        <f t="shared" si="22"/>
        <v>#REF!</v>
      </c>
      <c r="AD47" t="e">
        <f>'1. Project Details'!#REF!</f>
        <v>#REF!</v>
      </c>
      <c r="AE47" t="e">
        <f t="shared" si="5"/>
        <v>#REF!</v>
      </c>
      <c r="AF47" t="e">
        <f t="shared" si="23"/>
        <v>#REF!</v>
      </c>
      <c r="AG47" s="15" t="e">
        <f>IF(AF47="","",RANK(AF47,$AF$10:$AF$50)+COUNTIF(AF$10:AF47,AF47)-1)</f>
        <v>#REF!</v>
      </c>
      <c r="AI47" t="e">
        <f>'1. Project Details'!#REF!</f>
        <v>#REF!</v>
      </c>
      <c r="AK47">
        <v>38</v>
      </c>
      <c r="AL47" t="e">
        <f t="shared" si="30"/>
        <v>#REF!</v>
      </c>
      <c r="AM47" t="e">
        <f t="shared" si="24"/>
        <v>#REF!</v>
      </c>
      <c r="AO47" t="e">
        <f t="shared" si="31"/>
        <v>#REF!</v>
      </c>
      <c r="AP47" t="e">
        <f t="shared" si="32"/>
        <v>#REF!</v>
      </c>
      <c r="AQ47" s="12" t="e">
        <f t="shared" si="33"/>
        <v>#REF!</v>
      </c>
      <c r="AR47" t="e">
        <f t="shared" si="34"/>
        <v>#REF!</v>
      </c>
      <c r="AW47"/>
    </row>
    <row r="48" spans="1:49">
      <c r="A48">
        <v>39</v>
      </c>
      <c r="B48" t="e">
        <f t="shared" si="25"/>
        <v>#REF!</v>
      </c>
      <c r="C48" t="e">
        <f t="shared" si="26"/>
        <v>#REF!</v>
      </c>
      <c r="D48" t="e">
        <f t="shared" si="11"/>
        <v>#REF!</v>
      </c>
      <c r="E48" s="354" t="e">
        <f>IF(#REF!="","",#REF!)</f>
        <v>#REF!</v>
      </c>
      <c r="F48" s="354" t="e">
        <f>IF(#REF!="","",#REF!)</f>
        <v>#REF!</v>
      </c>
      <c r="G48" s="354" t="e">
        <f>IF(#REF!="","",#REF!)</f>
        <v>#REF!</v>
      </c>
      <c r="H48" s="354" t="e">
        <f>IF(#REF!="","",#REF!)</f>
        <v>#REF!</v>
      </c>
      <c r="I48" s="354" t="e">
        <f t="shared" si="12"/>
        <v>#REF!</v>
      </c>
      <c r="J48" s="355" t="e">
        <f>IF(#REF!="","",#REF!)</f>
        <v>#REF!</v>
      </c>
      <c r="K48" s="355" t="e">
        <f>IF(#REF!="","",#REF!)</f>
        <v>#REF!</v>
      </c>
      <c r="L48" s="12" t="e">
        <f t="shared" si="13"/>
        <v>#REF!</v>
      </c>
      <c r="M48" t="e">
        <f t="shared" si="14"/>
        <v>#REF!</v>
      </c>
      <c r="N48" t="e">
        <f t="shared" si="27"/>
        <v>#REF!</v>
      </c>
      <c r="O48" t="e">
        <f t="shared" si="28"/>
        <v>#REF!</v>
      </c>
      <c r="P48" t="e">
        <f t="shared" si="29"/>
        <v>#REF!</v>
      </c>
      <c r="Q48">
        <f>SUM($A$10:A48)</f>
        <v>780</v>
      </c>
      <c r="S48" s="15" t="e">
        <f>IF(T48="","",RANK(T48,$T$10:$T$50,1)+COUNTIF(T$10:T48,T48)-1)</f>
        <v>#REF!</v>
      </c>
      <c r="T48" t="e">
        <f t="shared" si="15"/>
        <v>#REF!</v>
      </c>
      <c r="U48" t="e">
        <f t="shared" si="16"/>
        <v>#REF!</v>
      </c>
      <c r="V48" t="e">
        <f t="shared" si="17"/>
        <v>#REF!</v>
      </c>
      <c r="W48" t="e">
        <f t="shared" si="18"/>
        <v>#REF!</v>
      </c>
      <c r="X48" t="e">
        <f t="shared" si="19"/>
        <v>#REF!</v>
      </c>
      <c r="Y48" t="e">
        <f t="shared" si="20"/>
        <v>#REF!</v>
      </c>
      <c r="Z48" t="e">
        <f t="shared" si="21"/>
        <v>#REF!</v>
      </c>
      <c r="AA48" t="e">
        <f t="shared" si="22"/>
        <v>#REF!</v>
      </c>
      <c r="AD48" t="e">
        <f>'1. Project Details'!#REF!</f>
        <v>#REF!</v>
      </c>
      <c r="AE48" t="e">
        <f t="shared" si="5"/>
        <v>#REF!</v>
      </c>
      <c r="AF48" t="e">
        <f t="shared" si="23"/>
        <v>#REF!</v>
      </c>
      <c r="AG48" s="15" t="e">
        <f>IF(AF48="","",RANK(AF48,$AF$10:$AF$50)+COUNTIF(AF$10:AF48,AF48)-1)</f>
        <v>#REF!</v>
      </c>
      <c r="AI48" t="e">
        <f>'1. Project Details'!#REF!</f>
        <v>#REF!</v>
      </c>
      <c r="AK48">
        <v>39</v>
      </c>
      <c r="AL48" t="e">
        <f t="shared" si="30"/>
        <v>#REF!</v>
      </c>
      <c r="AM48" t="e">
        <f t="shared" si="24"/>
        <v>#REF!</v>
      </c>
      <c r="AO48" t="e">
        <f t="shared" si="31"/>
        <v>#REF!</v>
      </c>
      <c r="AP48" t="e">
        <f t="shared" si="32"/>
        <v>#REF!</v>
      </c>
      <c r="AQ48" s="12" t="e">
        <f t="shared" si="33"/>
        <v>#REF!</v>
      </c>
      <c r="AR48" t="e">
        <f t="shared" si="34"/>
        <v>#REF!</v>
      </c>
      <c r="AW48"/>
    </row>
    <row r="49" spans="1:49">
      <c r="A49">
        <v>40</v>
      </c>
      <c r="B49" t="e">
        <f t="shared" si="25"/>
        <v>#REF!</v>
      </c>
      <c r="C49" t="e">
        <f t="shared" si="26"/>
        <v>#REF!</v>
      </c>
      <c r="D49" t="e">
        <f t="shared" si="11"/>
        <v>#REF!</v>
      </c>
      <c r="E49" s="354" t="e">
        <f>IF(#REF!="","",#REF!)</f>
        <v>#REF!</v>
      </c>
      <c r="F49" s="354" t="e">
        <f>IF(#REF!="","",#REF!)</f>
        <v>#REF!</v>
      </c>
      <c r="G49" s="354" t="e">
        <f>IF(#REF!="","",#REF!)</f>
        <v>#REF!</v>
      </c>
      <c r="H49" s="354" t="e">
        <f>IF(#REF!="","",#REF!)</f>
        <v>#REF!</v>
      </c>
      <c r="I49" s="354" t="e">
        <f t="shared" si="12"/>
        <v>#REF!</v>
      </c>
      <c r="J49" s="355" t="e">
        <f>IF(#REF!="","",#REF!)</f>
        <v>#REF!</v>
      </c>
      <c r="K49" s="355" t="e">
        <f>IF(#REF!="","",#REF!)</f>
        <v>#REF!</v>
      </c>
      <c r="L49" s="12" t="e">
        <f t="shared" si="13"/>
        <v>#REF!</v>
      </c>
      <c r="M49" t="e">
        <f t="shared" si="14"/>
        <v>#REF!</v>
      </c>
      <c r="N49" t="e">
        <f t="shared" si="27"/>
        <v>#REF!</v>
      </c>
      <c r="O49" t="e">
        <f t="shared" si="28"/>
        <v>#REF!</v>
      </c>
      <c r="P49" t="e">
        <f t="shared" si="29"/>
        <v>#REF!</v>
      </c>
      <c r="Q49">
        <f>SUM($A$10:A49)</f>
        <v>820</v>
      </c>
      <c r="S49" s="15" t="e">
        <f>IF(T49="","",RANK(T49,$T$10:$T$50,1)+COUNTIF(T$10:T49,T49)-1)</f>
        <v>#REF!</v>
      </c>
      <c r="T49" t="e">
        <f t="shared" si="15"/>
        <v>#REF!</v>
      </c>
      <c r="U49" t="e">
        <f t="shared" si="16"/>
        <v>#REF!</v>
      </c>
      <c r="V49" t="e">
        <f t="shared" si="17"/>
        <v>#REF!</v>
      </c>
      <c r="W49" t="e">
        <f t="shared" si="18"/>
        <v>#REF!</v>
      </c>
      <c r="X49" t="e">
        <f t="shared" si="19"/>
        <v>#REF!</v>
      </c>
      <c r="Y49" t="e">
        <f t="shared" si="20"/>
        <v>#REF!</v>
      </c>
      <c r="Z49" t="e">
        <f t="shared" si="21"/>
        <v>#REF!</v>
      </c>
      <c r="AA49" t="e">
        <f t="shared" si="22"/>
        <v>#REF!</v>
      </c>
      <c r="AD49" t="e">
        <f>'1. Project Details'!#REF!</f>
        <v>#REF!</v>
      </c>
      <c r="AE49" t="e">
        <f t="shared" si="5"/>
        <v>#REF!</v>
      </c>
      <c r="AF49" t="e">
        <f t="shared" si="23"/>
        <v>#REF!</v>
      </c>
      <c r="AG49" s="15" t="e">
        <f>IF(AF49="","",RANK(AF49,$AF$10:$AF$50)+COUNTIF(AF$10:AF49,AF49)-1)</f>
        <v>#REF!</v>
      </c>
      <c r="AI49" t="e">
        <f>'1. Project Details'!#REF!</f>
        <v>#REF!</v>
      </c>
      <c r="AK49">
        <v>40</v>
      </c>
      <c r="AL49" t="e">
        <f t="shared" si="30"/>
        <v>#REF!</v>
      </c>
      <c r="AM49" t="e">
        <f t="shared" si="24"/>
        <v>#REF!</v>
      </c>
      <c r="AO49" t="e">
        <f t="shared" si="31"/>
        <v>#REF!</v>
      </c>
      <c r="AP49" t="e">
        <f t="shared" si="32"/>
        <v>#REF!</v>
      </c>
      <c r="AQ49" s="12" t="e">
        <f t="shared" si="33"/>
        <v>#REF!</v>
      </c>
      <c r="AR49" t="e">
        <f t="shared" si="34"/>
        <v>#REF!</v>
      </c>
      <c r="AW49"/>
    </row>
    <row r="50" spans="1:49">
      <c r="A50">
        <v>41</v>
      </c>
      <c r="B50" t="e">
        <f t="shared" si="25"/>
        <v>#REF!</v>
      </c>
      <c r="C50" t="e">
        <f t="shared" si="26"/>
        <v>#REF!</v>
      </c>
      <c r="D50" t="e">
        <f t="shared" si="11"/>
        <v>#REF!</v>
      </c>
      <c r="E50" s="354" t="e">
        <f>IF(#REF!="","",#REF!)</f>
        <v>#REF!</v>
      </c>
      <c r="F50" s="354" t="e">
        <f>IF(#REF!="","",#REF!)</f>
        <v>#REF!</v>
      </c>
      <c r="G50" s="354" t="e">
        <f>IF(#REF!="","",#REF!)</f>
        <v>#REF!</v>
      </c>
      <c r="H50" s="354" t="e">
        <f>IF(#REF!="","",#REF!)</f>
        <v>#REF!</v>
      </c>
      <c r="I50" s="354" t="e">
        <f t="shared" si="12"/>
        <v>#REF!</v>
      </c>
      <c r="J50" s="355" t="e">
        <f>IF(#REF!="","",#REF!)</f>
        <v>#REF!</v>
      </c>
      <c r="K50" s="355" t="e">
        <f>IF(#REF!="","",#REF!)</f>
        <v>#REF!</v>
      </c>
      <c r="L50" s="12" t="e">
        <f t="shared" si="13"/>
        <v>#REF!</v>
      </c>
      <c r="M50" t="e">
        <f t="shared" si="14"/>
        <v>#REF!</v>
      </c>
      <c r="N50" t="e">
        <f t="shared" si="27"/>
        <v>#REF!</v>
      </c>
      <c r="O50" t="e">
        <f t="shared" si="28"/>
        <v>#REF!</v>
      </c>
      <c r="P50" t="e">
        <f t="shared" si="29"/>
        <v>#REF!</v>
      </c>
      <c r="Q50">
        <f>SUM($A$10:A50)</f>
        <v>861</v>
      </c>
      <c r="S50" s="15" t="e">
        <f>IF(T50="","",RANK(T50,$T$10:$T$50,1)+COUNTIF(T$10:T50,T50)-1)</f>
        <v>#REF!</v>
      </c>
      <c r="T50" t="e">
        <f t="shared" si="15"/>
        <v>#REF!</v>
      </c>
      <c r="U50" t="e">
        <f t="shared" si="16"/>
        <v>#REF!</v>
      </c>
      <c r="V50" t="e">
        <f t="shared" si="17"/>
        <v>#REF!</v>
      </c>
      <c r="W50" t="e">
        <f t="shared" si="18"/>
        <v>#REF!</v>
      </c>
      <c r="X50" t="e">
        <f t="shared" si="19"/>
        <v>#REF!</v>
      </c>
      <c r="Y50" t="e">
        <f t="shared" si="20"/>
        <v>#REF!</v>
      </c>
      <c r="Z50" t="e">
        <f t="shared" si="21"/>
        <v>#REF!</v>
      </c>
      <c r="AA50" t="e">
        <f t="shared" si="22"/>
        <v>#REF!</v>
      </c>
      <c r="AD50" s="238" t="e">
        <f>'1. Project Details'!#REF!</f>
        <v>#REF!</v>
      </c>
      <c r="AE50" s="238" t="e">
        <f t="shared" si="5"/>
        <v>#REF!</v>
      </c>
      <c r="AF50" s="238" t="e">
        <f t="shared" si="23"/>
        <v>#REF!</v>
      </c>
      <c r="AG50" s="239" t="e">
        <f>IF(AF50="","",RANK(AF50,$AF$10:$AF$50)+COUNTIF(AF$10:AF50,AF50)-1)</f>
        <v>#REF!</v>
      </c>
      <c r="AI50">
        <f>'1. Project Details'!B25</f>
        <v>0</v>
      </c>
      <c r="AK50">
        <v>41</v>
      </c>
      <c r="AL50" t="e">
        <f t="shared" si="30"/>
        <v>#REF!</v>
      </c>
      <c r="AM50" t="e">
        <f t="shared" si="24"/>
        <v>#REF!</v>
      </c>
      <c r="AO50" t="e">
        <f t="shared" si="31"/>
        <v>#REF!</v>
      </c>
      <c r="AP50" t="e">
        <f t="shared" si="32"/>
        <v>#REF!</v>
      </c>
      <c r="AQ50" s="12" t="e">
        <f t="shared" si="33"/>
        <v>#REF!</v>
      </c>
      <c r="AR50" t="e">
        <f t="shared" si="34"/>
        <v>#REF!</v>
      </c>
      <c r="AW50"/>
    </row>
    <row r="51" spans="1:49">
      <c r="A51">
        <v>42</v>
      </c>
      <c r="B51" t="e">
        <f t="shared" si="25"/>
        <v>#REF!</v>
      </c>
      <c r="C51" t="e">
        <f t="shared" si="26"/>
        <v>#REF!</v>
      </c>
      <c r="D51" t="e">
        <f t="shared" si="11"/>
        <v>#REF!</v>
      </c>
      <c r="E51" s="354" t="e">
        <f>IF(#REF!="","",#REF!)</f>
        <v>#REF!</v>
      </c>
      <c r="F51" s="354" t="e">
        <f>IF(#REF!="","",#REF!)</f>
        <v>#REF!</v>
      </c>
      <c r="G51" s="354" t="e">
        <f>IF(#REF!="","",#REF!)</f>
        <v>#REF!</v>
      </c>
      <c r="H51" s="354" t="e">
        <f>IF(#REF!="","",#REF!)</f>
        <v>#REF!</v>
      </c>
      <c r="I51" s="354" t="e">
        <f t="shared" si="12"/>
        <v>#REF!</v>
      </c>
      <c r="J51" s="355" t="e">
        <f>IF(#REF!="","",#REF!)</f>
        <v>#REF!</v>
      </c>
      <c r="K51" s="355" t="e">
        <f>IF(#REF!="","",#REF!)</f>
        <v>#REF!</v>
      </c>
      <c r="L51" s="12" t="e">
        <f t="shared" si="13"/>
        <v>#REF!</v>
      </c>
      <c r="M51" t="e">
        <f t="shared" si="14"/>
        <v>#REF!</v>
      </c>
      <c r="N51" t="e">
        <f t="shared" si="27"/>
        <v>#REF!</v>
      </c>
      <c r="O51" t="e">
        <f t="shared" si="28"/>
        <v>#REF!</v>
      </c>
      <c r="P51" t="e">
        <f t="shared" si="29"/>
        <v>#REF!</v>
      </c>
      <c r="Q51">
        <f>SUM($A$10:A51)</f>
        <v>903</v>
      </c>
      <c r="S51" s="15" t="e">
        <f>IF(T51="","",RANK(T51,$T$10:$T$50,1)+COUNTIF(T$10:T51,T51)-1)</f>
        <v>#REF!</v>
      </c>
      <c r="T51" t="e">
        <f t="shared" si="15"/>
        <v>#REF!</v>
      </c>
      <c r="U51" t="e">
        <f t="shared" si="16"/>
        <v>#REF!</v>
      </c>
      <c r="V51" t="e">
        <f t="shared" si="17"/>
        <v>#REF!</v>
      </c>
      <c r="W51" t="e">
        <f t="shared" si="18"/>
        <v>#REF!</v>
      </c>
      <c r="X51" t="e">
        <f t="shared" si="19"/>
        <v>#REF!</v>
      </c>
      <c r="Y51" t="e">
        <f t="shared" si="20"/>
        <v>#REF!</v>
      </c>
      <c r="Z51" t="e">
        <f t="shared" si="21"/>
        <v>#REF!</v>
      </c>
      <c r="AA51" t="e">
        <f t="shared" si="22"/>
        <v>#REF!</v>
      </c>
      <c r="AK51">
        <v>42</v>
      </c>
      <c r="AL51" t="e">
        <f t="shared" si="30"/>
        <v>#REF!</v>
      </c>
      <c r="AM51" t="e">
        <f t="shared" si="24"/>
        <v>#REF!</v>
      </c>
      <c r="AO51" t="e">
        <f t="shared" si="31"/>
        <v>#REF!</v>
      </c>
      <c r="AP51" t="e">
        <f t="shared" si="32"/>
        <v>#REF!</v>
      </c>
      <c r="AQ51" s="12" t="e">
        <f t="shared" si="33"/>
        <v>#REF!</v>
      </c>
      <c r="AR51" t="e">
        <f t="shared" si="34"/>
        <v>#REF!</v>
      </c>
      <c r="AW51"/>
    </row>
    <row r="52" spans="1:49">
      <c r="A52">
        <v>43</v>
      </c>
      <c r="B52" t="e">
        <f t="shared" si="25"/>
        <v>#REF!</v>
      </c>
      <c r="C52" t="e">
        <f t="shared" si="26"/>
        <v>#REF!</v>
      </c>
      <c r="D52" t="e">
        <f t="shared" si="11"/>
        <v>#REF!</v>
      </c>
      <c r="E52" s="354" t="e">
        <f>IF(#REF!="","",#REF!)</f>
        <v>#REF!</v>
      </c>
      <c r="F52" s="354" t="e">
        <f>IF(#REF!="","",#REF!)</f>
        <v>#REF!</v>
      </c>
      <c r="G52" s="354" t="e">
        <f>IF(#REF!="","",#REF!)</f>
        <v>#REF!</v>
      </c>
      <c r="H52" s="354" t="e">
        <f>IF(#REF!="","",#REF!)</f>
        <v>#REF!</v>
      </c>
      <c r="I52" s="354" t="e">
        <f t="shared" si="12"/>
        <v>#REF!</v>
      </c>
      <c r="J52" s="355" t="e">
        <f>IF(#REF!="","",#REF!)</f>
        <v>#REF!</v>
      </c>
      <c r="K52" s="355" t="e">
        <f>IF(#REF!="","",#REF!)</f>
        <v>#REF!</v>
      </c>
      <c r="L52" s="12" t="e">
        <f t="shared" si="13"/>
        <v>#REF!</v>
      </c>
      <c r="M52" t="e">
        <f t="shared" si="14"/>
        <v>#REF!</v>
      </c>
      <c r="N52" t="e">
        <f t="shared" si="27"/>
        <v>#REF!</v>
      </c>
      <c r="O52" t="e">
        <f t="shared" si="28"/>
        <v>#REF!</v>
      </c>
      <c r="P52" t="e">
        <f t="shared" si="29"/>
        <v>#REF!</v>
      </c>
      <c r="Q52">
        <f>SUM($A$10:A52)</f>
        <v>946</v>
      </c>
      <c r="S52" s="15" t="e">
        <f>IF(T52="","",RANK(T52,$T$10:$T$50,1)+COUNTIF(T$10:T52,T52)-1)</f>
        <v>#REF!</v>
      </c>
      <c r="T52" t="e">
        <f t="shared" si="15"/>
        <v>#REF!</v>
      </c>
      <c r="U52" t="e">
        <f t="shared" si="16"/>
        <v>#REF!</v>
      </c>
      <c r="V52" t="e">
        <f t="shared" si="17"/>
        <v>#REF!</v>
      </c>
      <c r="W52" t="e">
        <f t="shared" si="18"/>
        <v>#REF!</v>
      </c>
      <c r="X52" t="e">
        <f t="shared" si="19"/>
        <v>#REF!</v>
      </c>
      <c r="Y52" t="e">
        <f t="shared" si="20"/>
        <v>#REF!</v>
      </c>
      <c r="Z52" t="e">
        <f t="shared" si="21"/>
        <v>#REF!</v>
      </c>
      <c r="AA52" t="e">
        <f t="shared" si="22"/>
        <v>#REF!</v>
      </c>
      <c r="AK52">
        <v>43</v>
      </c>
      <c r="AL52" t="e">
        <f t="shared" si="30"/>
        <v>#REF!</v>
      </c>
      <c r="AM52" t="e">
        <f t="shared" si="24"/>
        <v>#REF!</v>
      </c>
      <c r="AO52" t="e">
        <f t="shared" si="31"/>
        <v>#REF!</v>
      </c>
      <c r="AP52" t="e">
        <f t="shared" si="32"/>
        <v>#REF!</v>
      </c>
      <c r="AQ52" s="12" t="e">
        <f t="shared" si="33"/>
        <v>#REF!</v>
      </c>
      <c r="AR52" t="e">
        <f t="shared" si="34"/>
        <v>#REF!</v>
      </c>
      <c r="AW52"/>
    </row>
    <row r="53" spans="1:49">
      <c r="A53">
        <v>44</v>
      </c>
      <c r="B53" t="e">
        <f t="shared" si="25"/>
        <v>#REF!</v>
      </c>
      <c r="C53" t="e">
        <f t="shared" si="26"/>
        <v>#REF!</v>
      </c>
      <c r="D53" t="e">
        <f t="shared" si="11"/>
        <v>#REF!</v>
      </c>
      <c r="E53" s="354" t="e">
        <f>IF(#REF!="","",#REF!)</f>
        <v>#REF!</v>
      </c>
      <c r="F53" s="354" t="e">
        <f>IF(#REF!="","",#REF!)</f>
        <v>#REF!</v>
      </c>
      <c r="G53" s="354" t="e">
        <f>IF(#REF!="","",#REF!)</f>
        <v>#REF!</v>
      </c>
      <c r="H53" s="354" t="e">
        <f>IF(#REF!="","",#REF!)</f>
        <v>#REF!</v>
      </c>
      <c r="I53" s="354" t="e">
        <f t="shared" si="12"/>
        <v>#REF!</v>
      </c>
      <c r="J53" s="355" t="e">
        <f>IF(#REF!="","",#REF!)</f>
        <v>#REF!</v>
      </c>
      <c r="K53" s="355" t="e">
        <f>IF(#REF!="","",#REF!)</f>
        <v>#REF!</v>
      </c>
      <c r="L53" s="12" t="e">
        <f t="shared" si="13"/>
        <v>#REF!</v>
      </c>
      <c r="M53" t="e">
        <f t="shared" si="14"/>
        <v>#REF!</v>
      </c>
      <c r="N53" t="e">
        <f t="shared" si="27"/>
        <v>#REF!</v>
      </c>
      <c r="O53" t="e">
        <f t="shared" si="28"/>
        <v>#REF!</v>
      </c>
      <c r="P53" t="e">
        <f t="shared" si="29"/>
        <v>#REF!</v>
      </c>
      <c r="Q53">
        <f>SUM($A$10:A53)</f>
        <v>990</v>
      </c>
      <c r="S53" s="15" t="e">
        <f>IF(T53="","",RANK(T53,$T$10:$T$50,1)+COUNTIF(T$10:T53,T53)-1)</f>
        <v>#REF!</v>
      </c>
      <c r="T53" t="e">
        <f t="shared" si="15"/>
        <v>#REF!</v>
      </c>
      <c r="U53" t="e">
        <f t="shared" si="16"/>
        <v>#REF!</v>
      </c>
      <c r="V53" t="e">
        <f t="shared" si="17"/>
        <v>#REF!</v>
      </c>
      <c r="W53" t="e">
        <f t="shared" si="18"/>
        <v>#REF!</v>
      </c>
      <c r="X53" t="e">
        <f t="shared" si="19"/>
        <v>#REF!</v>
      </c>
      <c r="Y53" t="e">
        <f t="shared" si="20"/>
        <v>#REF!</v>
      </c>
      <c r="Z53" t="e">
        <f t="shared" si="21"/>
        <v>#REF!</v>
      </c>
      <c r="AA53" t="e">
        <f t="shared" si="22"/>
        <v>#REF!</v>
      </c>
      <c r="AK53">
        <v>44</v>
      </c>
      <c r="AL53" t="e">
        <f t="shared" si="30"/>
        <v>#REF!</v>
      </c>
      <c r="AM53" t="e">
        <f t="shared" si="24"/>
        <v>#REF!</v>
      </c>
      <c r="AO53" t="e">
        <f t="shared" si="31"/>
        <v>#REF!</v>
      </c>
      <c r="AP53" t="e">
        <f t="shared" si="32"/>
        <v>#REF!</v>
      </c>
      <c r="AQ53" s="12" t="e">
        <f t="shared" si="33"/>
        <v>#REF!</v>
      </c>
      <c r="AR53" t="e">
        <f t="shared" si="34"/>
        <v>#REF!</v>
      </c>
      <c r="AW53"/>
    </row>
    <row r="54" spans="1:49">
      <c r="A54">
        <v>45</v>
      </c>
      <c r="B54" t="e">
        <f t="shared" si="25"/>
        <v>#REF!</v>
      </c>
      <c r="C54" t="e">
        <f t="shared" si="26"/>
        <v>#REF!</v>
      </c>
      <c r="D54" t="e">
        <f t="shared" si="11"/>
        <v>#REF!</v>
      </c>
      <c r="E54" s="354" t="e">
        <f>IF(#REF!="","",#REF!)</f>
        <v>#REF!</v>
      </c>
      <c r="F54" s="354" t="e">
        <f>IF(#REF!="","",#REF!)</f>
        <v>#REF!</v>
      </c>
      <c r="G54" s="354" t="e">
        <f>IF(#REF!="","",#REF!)</f>
        <v>#REF!</v>
      </c>
      <c r="H54" s="354" t="e">
        <f>IF(#REF!="","",#REF!)</f>
        <v>#REF!</v>
      </c>
      <c r="I54" s="354" t="e">
        <f t="shared" si="12"/>
        <v>#REF!</v>
      </c>
      <c r="J54" s="355" t="e">
        <f>IF(#REF!="","",#REF!)</f>
        <v>#REF!</v>
      </c>
      <c r="K54" s="355" t="e">
        <f>IF(#REF!="","",#REF!)</f>
        <v>#REF!</v>
      </c>
      <c r="L54" s="12" t="e">
        <f t="shared" si="13"/>
        <v>#REF!</v>
      </c>
      <c r="M54" t="e">
        <f t="shared" si="14"/>
        <v>#REF!</v>
      </c>
      <c r="N54" t="e">
        <f t="shared" si="27"/>
        <v>#REF!</v>
      </c>
      <c r="O54" t="e">
        <f t="shared" si="28"/>
        <v>#REF!</v>
      </c>
      <c r="P54" t="e">
        <f t="shared" si="29"/>
        <v>#REF!</v>
      </c>
      <c r="Q54">
        <f>SUM($A$10:A54)</f>
        <v>1035</v>
      </c>
      <c r="S54" s="15" t="e">
        <f>IF(T54="","",RANK(T54,$T$10:$T$50,1)+COUNTIF(T$10:T54,T54)-1)</f>
        <v>#REF!</v>
      </c>
      <c r="T54" t="e">
        <f t="shared" si="15"/>
        <v>#REF!</v>
      </c>
      <c r="U54" t="e">
        <f t="shared" si="16"/>
        <v>#REF!</v>
      </c>
      <c r="V54" t="e">
        <f t="shared" si="17"/>
        <v>#REF!</v>
      </c>
      <c r="W54" t="e">
        <f t="shared" si="18"/>
        <v>#REF!</v>
      </c>
      <c r="X54" t="e">
        <f t="shared" si="19"/>
        <v>#REF!</v>
      </c>
      <c r="Y54" t="e">
        <f t="shared" si="20"/>
        <v>#REF!</v>
      </c>
      <c r="Z54" t="e">
        <f t="shared" si="21"/>
        <v>#REF!</v>
      </c>
      <c r="AA54" t="e">
        <f t="shared" si="22"/>
        <v>#REF!</v>
      </c>
      <c r="AK54">
        <v>45</v>
      </c>
      <c r="AL54" t="e">
        <f t="shared" si="30"/>
        <v>#REF!</v>
      </c>
      <c r="AM54" t="e">
        <f t="shared" si="24"/>
        <v>#REF!</v>
      </c>
      <c r="AO54" t="e">
        <f t="shared" si="31"/>
        <v>#REF!</v>
      </c>
      <c r="AP54" t="e">
        <f t="shared" si="32"/>
        <v>#REF!</v>
      </c>
      <c r="AQ54" s="12" t="e">
        <f t="shared" si="33"/>
        <v>#REF!</v>
      </c>
      <c r="AR54" t="e">
        <f t="shared" si="34"/>
        <v>#REF!</v>
      </c>
      <c r="AW54"/>
    </row>
    <row r="55" spans="1:49">
      <c r="A55">
        <v>46</v>
      </c>
      <c r="B55" t="e">
        <f t="shared" si="25"/>
        <v>#REF!</v>
      </c>
      <c r="C55" t="e">
        <f t="shared" si="26"/>
        <v>#REF!</v>
      </c>
      <c r="D55" t="e">
        <f t="shared" si="11"/>
        <v>#REF!</v>
      </c>
      <c r="E55" s="354" t="e">
        <f>IF(#REF!="","",#REF!)</f>
        <v>#REF!</v>
      </c>
      <c r="F55" s="354" t="e">
        <f>IF(#REF!="","",#REF!)</f>
        <v>#REF!</v>
      </c>
      <c r="G55" s="354" t="e">
        <f>IF(#REF!="","",#REF!)</f>
        <v>#REF!</v>
      </c>
      <c r="H55" s="354" t="e">
        <f>IF(#REF!="","",#REF!)</f>
        <v>#REF!</v>
      </c>
      <c r="I55" s="354" t="e">
        <f t="shared" si="12"/>
        <v>#REF!</v>
      </c>
      <c r="J55" s="355" t="e">
        <f>IF(#REF!="","",#REF!)</f>
        <v>#REF!</v>
      </c>
      <c r="K55" s="355" t="e">
        <f>IF(#REF!="","",#REF!)</f>
        <v>#REF!</v>
      </c>
      <c r="L55" s="12" t="e">
        <f t="shared" si="13"/>
        <v>#REF!</v>
      </c>
      <c r="M55" t="e">
        <f t="shared" si="14"/>
        <v>#REF!</v>
      </c>
      <c r="N55" t="e">
        <f t="shared" si="27"/>
        <v>#REF!</v>
      </c>
      <c r="O55" t="e">
        <f t="shared" si="28"/>
        <v>#REF!</v>
      </c>
      <c r="P55" t="e">
        <f t="shared" si="29"/>
        <v>#REF!</v>
      </c>
      <c r="Q55">
        <f>SUM($A$10:A55)</f>
        <v>1081</v>
      </c>
      <c r="S55" s="15" t="e">
        <f>IF(T55="","",RANK(T55,$T$10:$T$50,1)+COUNTIF(T$10:T55,T55)-1)</f>
        <v>#REF!</v>
      </c>
      <c r="T55" t="e">
        <f t="shared" si="15"/>
        <v>#REF!</v>
      </c>
      <c r="U55" t="e">
        <f t="shared" si="16"/>
        <v>#REF!</v>
      </c>
      <c r="V55" t="e">
        <f t="shared" si="17"/>
        <v>#REF!</v>
      </c>
      <c r="W55" t="e">
        <f t="shared" si="18"/>
        <v>#REF!</v>
      </c>
      <c r="X55" t="e">
        <f t="shared" si="19"/>
        <v>#REF!</v>
      </c>
      <c r="Y55" t="e">
        <f t="shared" si="20"/>
        <v>#REF!</v>
      </c>
      <c r="Z55" t="e">
        <f t="shared" si="21"/>
        <v>#REF!</v>
      </c>
      <c r="AA55" t="e">
        <f t="shared" si="22"/>
        <v>#REF!</v>
      </c>
      <c r="AK55">
        <v>46</v>
      </c>
      <c r="AL55" t="e">
        <f t="shared" si="30"/>
        <v>#REF!</v>
      </c>
      <c r="AM55" t="e">
        <f t="shared" si="24"/>
        <v>#REF!</v>
      </c>
      <c r="AO55" t="e">
        <f t="shared" si="31"/>
        <v>#REF!</v>
      </c>
      <c r="AP55" t="e">
        <f t="shared" si="32"/>
        <v>#REF!</v>
      </c>
      <c r="AQ55" s="12" t="e">
        <f t="shared" si="33"/>
        <v>#REF!</v>
      </c>
      <c r="AR55" t="e">
        <f t="shared" si="34"/>
        <v>#REF!</v>
      </c>
      <c r="AW55"/>
    </row>
    <row r="56" spans="1:49">
      <c r="A56">
        <v>47</v>
      </c>
      <c r="B56" t="e">
        <f t="shared" si="25"/>
        <v>#REF!</v>
      </c>
      <c r="C56" t="e">
        <f t="shared" si="26"/>
        <v>#REF!</v>
      </c>
      <c r="D56" t="e">
        <f t="shared" si="11"/>
        <v>#REF!</v>
      </c>
      <c r="E56" s="354" t="e">
        <f>IF(#REF!="","",#REF!)</f>
        <v>#REF!</v>
      </c>
      <c r="F56" s="354" t="e">
        <f>IF(#REF!="","",#REF!)</f>
        <v>#REF!</v>
      </c>
      <c r="G56" s="354" t="e">
        <f>IF(#REF!="","",#REF!)</f>
        <v>#REF!</v>
      </c>
      <c r="H56" s="354" t="e">
        <f>IF(#REF!="","",#REF!)</f>
        <v>#REF!</v>
      </c>
      <c r="I56" s="354" t="e">
        <f t="shared" si="12"/>
        <v>#REF!</v>
      </c>
      <c r="J56" s="355" t="e">
        <f>IF(#REF!="","",#REF!)</f>
        <v>#REF!</v>
      </c>
      <c r="K56" s="355" t="e">
        <f>IF(#REF!="","",#REF!)</f>
        <v>#REF!</v>
      </c>
      <c r="L56" s="12" t="e">
        <f t="shared" si="13"/>
        <v>#REF!</v>
      </c>
      <c r="M56" t="e">
        <f t="shared" si="14"/>
        <v>#REF!</v>
      </c>
      <c r="N56" t="e">
        <f t="shared" si="27"/>
        <v>#REF!</v>
      </c>
      <c r="O56" t="e">
        <f t="shared" si="28"/>
        <v>#REF!</v>
      </c>
      <c r="P56" t="e">
        <f t="shared" si="29"/>
        <v>#REF!</v>
      </c>
      <c r="Q56">
        <f>SUM($A$10:A56)</f>
        <v>1128</v>
      </c>
      <c r="S56" s="15" t="e">
        <f>IF(T56="","",RANK(T56,$T$10:$T$50,1)+COUNTIF(T$10:T56,T56)-1)</f>
        <v>#REF!</v>
      </c>
      <c r="T56" t="e">
        <f t="shared" si="15"/>
        <v>#REF!</v>
      </c>
      <c r="U56" t="e">
        <f t="shared" si="16"/>
        <v>#REF!</v>
      </c>
      <c r="V56" t="e">
        <f t="shared" si="17"/>
        <v>#REF!</v>
      </c>
      <c r="W56" t="e">
        <f t="shared" si="18"/>
        <v>#REF!</v>
      </c>
      <c r="X56" t="e">
        <f t="shared" si="19"/>
        <v>#REF!</v>
      </c>
      <c r="Y56" t="e">
        <f t="shared" si="20"/>
        <v>#REF!</v>
      </c>
      <c r="Z56" t="e">
        <f t="shared" si="21"/>
        <v>#REF!</v>
      </c>
      <c r="AA56" t="e">
        <f t="shared" si="22"/>
        <v>#REF!</v>
      </c>
      <c r="AK56">
        <v>47</v>
      </c>
      <c r="AL56" t="e">
        <f t="shared" si="30"/>
        <v>#REF!</v>
      </c>
      <c r="AM56" t="e">
        <f t="shared" si="24"/>
        <v>#REF!</v>
      </c>
      <c r="AO56" t="e">
        <f t="shared" si="31"/>
        <v>#REF!</v>
      </c>
      <c r="AP56" t="e">
        <f t="shared" si="32"/>
        <v>#REF!</v>
      </c>
      <c r="AQ56" s="12" t="e">
        <f t="shared" si="33"/>
        <v>#REF!</v>
      </c>
      <c r="AR56" t="e">
        <f t="shared" si="34"/>
        <v>#REF!</v>
      </c>
      <c r="AW56"/>
    </row>
    <row r="57" spans="1:49">
      <c r="A57">
        <v>48</v>
      </c>
      <c r="B57" t="e">
        <f t="shared" si="25"/>
        <v>#REF!</v>
      </c>
      <c r="C57" t="e">
        <f t="shared" si="26"/>
        <v>#REF!</v>
      </c>
      <c r="D57" t="e">
        <f t="shared" si="11"/>
        <v>#REF!</v>
      </c>
      <c r="E57" s="354" t="e">
        <f>IF(#REF!="","",#REF!)</f>
        <v>#REF!</v>
      </c>
      <c r="F57" s="354" t="e">
        <f>IF(#REF!="","",#REF!)</f>
        <v>#REF!</v>
      </c>
      <c r="G57" s="354" t="e">
        <f>IF(#REF!="","",#REF!)</f>
        <v>#REF!</v>
      </c>
      <c r="H57" s="354" t="e">
        <f>IF(#REF!="","",#REF!)</f>
        <v>#REF!</v>
      </c>
      <c r="I57" s="354" t="e">
        <f t="shared" si="12"/>
        <v>#REF!</v>
      </c>
      <c r="J57" s="355" t="e">
        <f>IF(#REF!="","",#REF!)</f>
        <v>#REF!</v>
      </c>
      <c r="K57" s="355" t="e">
        <f>IF(#REF!="","",#REF!)</f>
        <v>#REF!</v>
      </c>
      <c r="L57" s="12" t="e">
        <f t="shared" si="13"/>
        <v>#REF!</v>
      </c>
      <c r="M57" t="e">
        <f t="shared" si="14"/>
        <v>#REF!</v>
      </c>
      <c r="N57" t="e">
        <f t="shared" si="27"/>
        <v>#REF!</v>
      </c>
      <c r="O57" t="e">
        <f t="shared" si="28"/>
        <v>#REF!</v>
      </c>
      <c r="P57" t="e">
        <f t="shared" si="29"/>
        <v>#REF!</v>
      </c>
      <c r="Q57">
        <f>SUM($A$10:A57)</f>
        <v>1176</v>
      </c>
      <c r="S57" s="15" t="e">
        <f>IF(T57="","",RANK(T57,$T$10:$T$50,1)+COUNTIF(T$10:T57,T57)-1)</f>
        <v>#REF!</v>
      </c>
      <c r="T57" t="e">
        <f t="shared" si="15"/>
        <v>#REF!</v>
      </c>
      <c r="U57" t="e">
        <f t="shared" si="16"/>
        <v>#REF!</v>
      </c>
      <c r="V57" t="e">
        <f t="shared" si="17"/>
        <v>#REF!</v>
      </c>
      <c r="W57" t="e">
        <f t="shared" si="18"/>
        <v>#REF!</v>
      </c>
      <c r="X57" t="e">
        <f t="shared" si="19"/>
        <v>#REF!</v>
      </c>
      <c r="Y57" t="e">
        <f t="shared" si="20"/>
        <v>#REF!</v>
      </c>
      <c r="Z57" t="e">
        <f t="shared" si="21"/>
        <v>#REF!</v>
      </c>
      <c r="AA57" t="e">
        <f t="shared" si="22"/>
        <v>#REF!</v>
      </c>
      <c r="AK57">
        <v>48</v>
      </c>
      <c r="AL57" t="e">
        <f t="shared" si="30"/>
        <v>#REF!</v>
      </c>
      <c r="AM57" t="e">
        <f t="shared" si="24"/>
        <v>#REF!</v>
      </c>
      <c r="AO57" t="e">
        <f t="shared" si="31"/>
        <v>#REF!</v>
      </c>
      <c r="AP57" t="e">
        <f t="shared" si="32"/>
        <v>#REF!</v>
      </c>
      <c r="AQ57" s="12" t="e">
        <f t="shared" si="33"/>
        <v>#REF!</v>
      </c>
      <c r="AR57" t="e">
        <f t="shared" si="34"/>
        <v>#REF!</v>
      </c>
      <c r="AW57"/>
    </row>
    <row r="58" spans="1:49">
      <c r="A58">
        <v>49</v>
      </c>
      <c r="B58" t="e">
        <f t="shared" si="25"/>
        <v>#REF!</v>
      </c>
      <c r="C58" t="e">
        <f t="shared" si="26"/>
        <v>#REF!</v>
      </c>
      <c r="D58" t="e">
        <f t="shared" si="11"/>
        <v>#REF!</v>
      </c>
      <c r="E58" s="354" t="e">
        <f>IF(#REF!="","",#REF!)</f>
        <v>#REF!</v>
      </c>
      <c r="F58" s="354" t="e">
        <f>IF(#REF!="","",#REF!)</f>
        <v>#REF!</v>
      </c>
      <c r="G58" s="354" t="e">
        <f>IF(#REF!="","",#REF!)</f>
        <v>#REF!</v>
      </c>
      <c r="H58" s="354" t="e">
        <f>IF(#REF!="","",#REF!)</f>
        <v>#REF!</v>
      </c>
      <c r="I58" s="354" t="e">
        <f t="shared" si="12"/>
        <v>#REF!</v>
      </c>
      <c r="J58" s="355" t="e">
        <f>IF(#REF!="","",#REF!)</f>
        <v>#REF!</v>
      </c>
      <c r="K58" s="355" t="e">
        <f>IF(#REF!="","",#REF!)</f>
        <v>#REF!</v>
      </c>
      <c r="L58" s="12" t="e">
        <f t="shared" si="13"/>
        <v>#REF!</v>
      </c>
      <c r="M58" t="e">
        <f t="shared" si="14"/>
        <v>#REF!</v>
      </c>
      <c r="N58" t="e">
        <f t="shared" si="27"/>
        <v>#REF!</v>
      </c>
      <c r="O58" t="e">
        <f t="shared" si="28"/>
        <v>#REF!</v>
      </c>
      <c r="P58" t="e">
        <f t="shared" si="29"/>
        <v>#REF!</v>
      </c>
      <c r="Q58">
        <f>SUM($A$10:A58)</f>
        <v>1225</v>
      </c>
      <c r="S58" s="15" t="e">
        <f>IF(T58="","",RANK(T58,$T$10:$T$50,1)+COUNTIF(T$10:T58,T58)-1)</f>
        <v>#REF!</v>
      </c>
      <c r="T58" t="e">
        <f t="shared" si="15"/>
        <v>#REF!</v>
      </c>
      <c r="U58" t="e">
        <f t="shared" si="16"/>
        <v>#REF!</v>
      </c>
      <c r="V58" t="e">
        <f t="shared" si="17"/>
        <v>#REF!</v>
      </c>
      <c r="W58" t="e">
        <f t="shared" si="18"/>
        <v>#REF!</v>
      </c>
      <c r="X58" t="e">
        <f t="shared" si="19"/>
        <v>#REF!</v>
      </c>
      <c r="Y58" t="e">
        <f t="shared" si="20"/>
        <v>#REF!</v>
      </c>
      <c r="Z58" t="e">
        <f t="shared" si="21"/>
        <v>#REF!</v>
      </c>
      <c r="AA58" t="e">
        <f t="shared" si="22"/>
        <v>#REF!</v>
      </c>
      <c r="AK58">
        <v>49</v>
      </c>
      <c r="AL58" t="e">
        <f t="shared" si="30"/>
        <v>#REF!</v>
      </c>
      <c r="AM58" t="e">
        <f t="shared" si="24"/>
        <v>#REF!</v>
      </c>
      <c r="AO58" t="e">
        <f t="shared" si="31"/>
        <v>#REF!</v>
      </c>
      <c r="AP58" t="e">
        <f t="shared" si="32"/>
        <v>#REF!</v>
      </c>
      <c r="AQ58" s="12" t="e">
        <f t="shared" si="33"/>
        <v>#REF!</v>
      </c>
      <c r="AR58" t="e">
        <f t="shared" si="34"/>
        <v>#REF!</v>
      </c>
      <c r="AW58"/>
    </row>
    <row r="59" spans="1:49">
      <c r="A59">
        <v>50</v>
      </c>
      <c r="B59" t="e">
        <f t="shared" si="25"/>
        <v>#REF!</v>
      </c>
      <c r="C59" t="e">
        <f t="shared" si="26"/>
        <v>#REF!</v>
      </c>
      <c r="D59" t="e">
        <f t="shared" si="11"/>
        <v>#REF!</v>
      </c>
      <c r="E59" s="354" t="e">
        <f>IF(#REF!="","",#REF!)</f>
        <v>#REF!</v>
      </c>
      <c r="F59" s="354" t="e">
        <f>IF(#REF!="","",#REF!)</f>
        <v>#REF!</v>
      </c>
      <c r="G59" s="354" t="e">
        <f>IF(#REF!="","",#REF!)</f>
        <v>#REF!</v>
      </c>
      <c r="H59" s="354" t="e">
        <f>IF(#REF!="","",#REF!)</f>
        <v>#REF!</v>
      </c>
      <c r="I59" s="354" t="e">
        <f t="shared" si="12"/>
        <v>#REF!</v>
      </c>
      <c r="J59" s="355" t="e">
        <f>IF(#REF!="","",#REF!)</f>
        <v>#REF!</v>
      </c>
      <c r="K59" s="355" t="e">
        <f>IF(#REF!="","",#REF!)</f>
        <v>#REF!</v>
      </c>
      <c r="L59" s="12" t="e">
        <f t="shared" si="13"/>
        <v>#REF!</v>
      </c>
      <c r="M59" t="e">
        <f t="shared" si="14"/>
        <v>#REF!</v>
      </c>
      <c r="N59" t="e">
        <f t="shared" si="27"/>
        <v>#REF!</v>
      </c>
      <c r="O59" t="e">
        <f t="shared" si="28"/>
        <v>#REF!</v>
      </c>
      <c r="P59" t="e">
        <f t="shared" si="29"/>
        <v>#REF!</v>
      </c>
      <c r="Q59">
        <f>SUM($A$10:A59)</f>
        <v>1275</v>
      </c>
      <c r="S59" s="15" t="e">
        <f>IF(T59="","",RANK(T59,$T$10:$T$50,1)+COUNTIF(T$10:T59,T59)-1)</f>
        <v>#REF!</v>
      </c>
      <c r="T59" t="e">
        <f t="shared" si="15"/>
        <v>#REF!</v>
      </c>
      <c r="U59" t="e">
        <f t="shared" si="16"/>
        <v>#REF!</v>
      </c>
      <c r="V59" t="e">
        <f t="shared" si="17"/>
        <v>#REF!</v>
      </c>
      <c r="W59" t="e">
        <f t="shared" si="18"/>
        <v>#REF!</v>
      </c>
      <c r="X59" t="e">
        <f t="shared" si="19"/>
        <v>#REF!</v>
      </c>
      <c r="Y59" t="e">
        <f t="shared" si="20"/>
        <v>#REF!</v>
      </c>
      <c r="Z59" t="e">
        <f t="shared" si="21"/>
        <v>#REF!</v>
      </c>
      <c r="AA59" t="e">
        <f t="shared" si="22"/>
        <v>#REF!</v>
      </c>
      <c r="AK59">
        <v>50</v>
      </c>
      <c r="AL59" t="e">
        <f t="shared" si="30"/>
        <v>#REF!</v>
      </c>
      <c r="AM59" t="e">
        <f t="shared" si="24"/>
        <v>#REF!</v>
      </c>
      <c r="AO59" t="e">
        <f t="shared" si="31"/>
        <v>#REF!</v>
      </c>
      <c r="AP59" t="e">
        <f t="shared" si="32"/>
        <v>#REF!</v>
      </c>
      <c r="AQ59" s="12" t="e">
        <f t="shared" si="33"/>
        <v>#REF!</v>
      </c>
      <c r="AR59" t="e">
        <f t="shared" si="34"/>
        <v>#REF!</v>
      </c>
      <c r="AW59"/>
    </row>
    <row r="60" spans="1:49">
      <c r="A60">
        <v>51</v>
      </c>
      <c r="B60" t="e">
        <f t="shared" si="25"/>
        <v>#REF!</v>
      </c>
      <c r="C60" t="e">
        <f t="shared" si="26"/>
        <v>#REF!</v>
      </c>
      <c r="D60" t="e">
        <f t="shared" si="11"/>
        <v>#REF!</v>
      </c>
      <c r="E60" s="354" t="e">
        <f>IF(#REF!="","",#REF!)</f>
        <v>#REF!</v>
      </c>
      <c r="F60" s="354" t="e">
        <f>IF(#REF!="","",#REF!)</f>
        <v>#REF!</v>
      </c>
      <c r="G60" s="354" t="e">
        <f>IF(#REF!="","",#REF!)</f>
        <v>#REF!</v>
      </c>
      <c r="H60" s="354" t="e">
        <f>IF(#REF!="","",#REF!)</f>
        <v>#REF!</v>
      </c>
      <c r="I60" s="354" t="e">
        <f t="shared" si="12"/>
        <v>#REF!</v>
      </c>
      <c r="J60" s="355" t="e">
        <f>IF(#REF!="","",#REF!)</f>
        <v>#REF!</v>
      </c>
      <c r="K60" s="355" t="e">
        <f>IF(#REF!="","",#REF!)</f>
        <v>#REF!</v>
      </c>
      <c r="L60" s="12" t="e">
        <f t="shared" si="13"/>
        <v>#REF!</v>
      </c>
      <c r="M60" t="e">
        <f t="shared" si="14"/>
        <v>#REF!</v>
      </c>
      <c r="N60" t="e">
        <f t="shared" si="27"/>
        <v>#REF!</v>
      </c>
      <c r="O60" t="e">
        <f t="shared" si="28"/>
        <v>#REF!</v>
      </c>
      <c r="P60" t="e">
        <f t="shared" si="29"/>
        <v>#REF!</v>
      </c>
      <c r="Q60">
        <f>SUM($A$10:A60)</f>
        <v>1326</v>
      </c>
      <c r="S60" s="15" t="e">
        <f>IF(T60="","",RANK(T60,$T$10:$T$50,1)+COUNTIF(T$10:T60,T60)-1)</f>
        <v>#REF!</v>
      </c>
      <c r="T60" t="e">
        <f t="shared" si="15"/>
        <v>#REF!</v>
      </c>
      <c r="U60" t="e">
        <f t="shared" si="16"/>
        <v>#REF!</v>
      </c>
      <c r="V60" t="e">
        <f t="shared" si="17"/>
        <v>#REF!</v>
      </c>
      <c r="W60" t="e">
        <f t="shared" si="18"/>
        <v>#REF!</v>
      </c>
      <c r="X60" t="e">
        <f t="shared" si="19"/>
        <v>#REF!</v>
      </c>
      <c r="Y60" t="e">
        <f t="shared" si="20"/>
        <v>#REF!</v>
      </c>
      <c r="Z60" t="e">
        <f t="shared" si="21"/>
        <v>#REF!</v>
      </c>
      <c r="AA60" t="e">
        <f t="shared" si="22"/>
        <v>#REF!</v>
      </c>
      <c r="AK60">
        <v>51</v>
      </c>
      <c r="AL60" t="e">
        <f t="shared" si="30"/>
        <v>#REF!</v>
      </c>
      <c r="AM60" t="e">
        <f t="shared" si="24"/>
        <v>#REF!</v>
      </c>
      <c r="AO60" t="e">
        <f t="shared" si="31"/>
        <v>#REF!</v>
      </c>
      <c r="AP60" t="e">
        <f t="shared" si="32"/>
        <v>#REF!</v>
      </c>
      <c r="AQ60" s="12" t="e">
        <f t="shared" si="33"/>
        <v>#REF!</v>
      </c>
      <c r="AR60" t="e">
        <f t="shared" si="34"/>
        <v>#REF!</v>
      </c>
      <c r="AW60"/>
    </row>
    <row r="61" spans="1:49">
      <c r="A61">
        <v>52</v>
      </c>
      <c r="B61" t="e">
        <f t="shared" si="25"/>
        <v>#REF!</v>
      </c>
      <c r="C61" t="e">
        <f t="shared" si="26"/>
        <v>#REF!</v>
      </c>
      <c r="D61" t="e">
        <f t="shared" si="11"/>
        <v>#REF!</v>
      </c>
      <c r="E61" s="354" t="e">
        <f>IF(#REF!="","",#REF!)</f>
        <v>#REF!</v>
      </c>
      <c r="F61" s="354" t="e">
        <f>IF(#REF!="","",#REF!)</f>
        <v>#REF!</v>
      </c>
      <c r="G61" s="354" t="e">
        <f>IF(#REF!="","",#REF!)</f>
        <v>#REF!</v>
      </c>
      <c r="H61" s="354" t="e">
        <f>IF(#REF!="","",#REF!)</f>
        <v>#REF!</v>
      </c>
      <c r="I61" s="354" t="e">
        <f t="shared" si="12"/>
        <v>#REF!</v>
      </c>
      <c r="J61" s="355" t="e">
        <f>IF(#REF!="","",#REF!)</f>
        <v>#REF!</v>
      </c>
      <c r="K61" s="355" t="e">
        <f>IF(#REF!="","",#REF!)</f>
        <v>#REF!</v>
      </c>
      <c r="L61" s="12" t="e">
        <f t="shared" si="13"/>
        <v>#REF!</v>
      </c>
      <c r="M61" t="e">
        <f t="shared" si="14"/>
        <v>#REF!</v>
      </c>
      <c r="N61" t="e">
        <f t="shared" si="27"/>
        <v>#REF!</v>
      </c>
      <c r="O61" t="e">
        <f t="shared" si="28"/>
        <v>#REF!</v>
      </c>
      <c r="P61" t="e">
        <f t="shared" si="29"/>
        <v>#REF!</v>
      </c>
      <c r="Q61">
        <f>SUM($A$10:A61)</f>
        <v>1378</v>
      </c>
      <c r="S61" s="15" t="e">
        <f>IF(T61="","",RANK(T61,$T$10:$T$50,1)+COUNTIF(T$10:T61,T61)-1)</f>
        <v>#REF!</v>
      </c>
      <c r="T61" t="e">
        <f t="shared" si="15"/>
        <v>#REF!</v>
      </c>
      <c r="U61" t="e">
        <f t="shared" si="16"/>
        <v>#REF!</v>
      </c>
      <c r="V61" t="e">
        <f t="shared" si="17"/>
        <v>#REF!</v>
      </c>
      <c r="W61" t="e">
        <f t="shared" si="18"/>
        <v>#REF!</v>
      </c>
      <c r="X61" t="e">
        <f t="shared" si="19"/>
        <v>#REF!</v>
      </c>
      <c r="Y61" t="e">
        <f t="shared" si="20"/>
        <v>#REF!</v>
      </c>
      <c r="Z61" t="e">
        <f t="shared" si="21"/>
        <v>#REF!</v>
      </c>
      <c r="AA61" t="e">
        <f t="shared" si="22"/>
        <v>#REF!</v>
      </c>
      <c r="AK61">
        <v>52</v>
      </c>
      <c r="AL61" t="e">
        <f t="shared" si="30"/>
        <v>#REF!</v>
      </c>
      <c r="AM61" t="e">
        <f t="shared" si="24"/>
        <v>#REF!</v>
      </c>
      <c r="AO61" t="e">
        <f t="shared" si="31"/>
        <v>#REF!</v>
      </c>
      <c r="AP61" t="e">
        <f t="shared" si="32"/>
        <v>#REF!</v>
      </c>
      <c r="AQ61" s="12" t="e">
        <f t="shared" si="33"/>
        <v>#REF!</v>
      </c>
      <c r="AR61" t="e">
        <f t="shared" si="34"/>
        <v>#REF!</v>
      </c>
      <c r="AW61"/>
    </row>
    <row r="62" spans="1:49">
      <c r="A62">
        <v>53</v>
      </c>
      <c r="B62" t="e">
        <f t="shared" si="25"/>
        <v>#REF!</v>
      </c>
      <c r="C62" t="e">
        <f t="shared" si="26"/>
        <v>#REF!</v>
      </c>
      <c r="D62" t="e">
        <f t="shared" si="11"/>
        <v>#REF!</v>
      </c>
      <c r="E62" s="354" t="e">
        <f>IF(#REF!="","",#REF!)</f>
        <v>#REF!</v>
      </c>
      <c r="F62" s="354" t="e">
        <f>IF(#REF!="","",#REF!)</f>
        <v>#REF!</v>
      </c>
      <c r="G62" s="354" t="e">
        <f>IF(#REF!="","",#REF!)</f>
        <v>#REF!</v>
      </c>
      <c r="H62" s="354" t="e">
        <f>IF(#REF!="","",#REF!)</f>
        <v>#REF!</v>
      </c>
      <c r="I62" s="354" t="e">
        <f t="shared" si="12"/>
        <v>#REF!</v>
      </c>
      <c r="J62" s="355" t="e">
        <f>IF(#REF!="","",#REF!)</f>
        <v>#REF!</v>
      </c>
      <c r="K62" s="355" t="e">
        <f>IF(#REF!="","",#REF!)</f>
        <v>#REF!</v>
      </c>
      <c r="L62" s="12" t="e">
        <f t="shared" si="13"/>
        <v>#REF!</v>
      </c>
      <c r="M62" t="e">
        <f t="shared" si="14"/>
        <v>#REF!</v>
      </c>
      <c r="N62" t="e">
        <f t="shared" si="27"/>
        <v>#REF!</v>
      </c>
      <c r="O62" t="e">
        <f t="shared" si="28"/>
        <v>#REF!</v>
      </c>
      <c r="P62" t="e">
        <f t="shared" si="29"/>
        <v>#REF!</v>
      </c>
      <c r="Q62">
        <f>SUM($A$10:A62)</f>
        <v>1431</v>
      </c>
      <c r="S62" s="15" t="e">
        <f>IF(T62="","",RANK(T62,$T$10:$T$50,1)+COUNTIF(T$10:T62,T62)-1)</f>
        <v>#REF!</v>
      </c>
      <c r="T62" t="e">
        <f t="shared" si="15"/>
        <v>#REF!</v>
      </c>
      <c r="U62" t="e">
        <f t="shared" si="16"/>
        <v>#REF!</v>
      </c>
      <c r="V62" t="e">
        <f t="shared" si="17"/>
        <v>#REF!</v>
      </c>
      <c r="W62" t="e">
        <f t="shared" si="18"/>
        <v>#REF!</v>
      </c>
      <c r="X62" t="e">
        <f t="shared" si="19"/>
        <v>#REF!</v>
      </c>
      <c r="Y62" t="e">
        <f t="shared" si="20"/>
        <v>#REF!</v>
      </c>
      <c r="Z62" t="e">
        <f t="shared" si="21"/>
        <v>#REF!</v>
      </c>
      <c r="AA62" t="e">
        <f t="shared" si="22"/>
        <v>#REF!</v>
      </c>
      <c r="AK62">
        <v>53</v>
      </c>
      <c r="AL62" t="e">
        <f t="shared" si="30"/>
        <v>#REF!</v>
      </c>
      <c r="AM62" t="e">
        <f t="shared" si="24"/>
        <v>#REF!</v>
      </c>
      <c r="AO62" t="e">
        <f t="shared" si="31"/>
        <v>#REF!</v>
      </c>
      <c r="AP62" t="e">
        <f t="shared" si="32"/>
        <v>#REF!</v>
      </c>
      <c r="AQ62" s="12" t="e">
        <f t="shared" si="33"/>
        <v>#REF!</v>
      </c>
      <c r="AR62" t="e">
        <f t="shared" si="34"/>
        <v>#REF!</v>
      </c>
      <c r="AW62"/>
    </row>
    <row r="63" spans="1:49">
      <c r="A63">
        <v>54</v>
      </c>
      <c r="B63" t="e">
        <f t="shared" si="25"/>
        <v>#REF!</v>
      </c>
      <c r="C63" t="e">
        <f t="shared" si="26"/>
        <v>#REF!</v>
      </c>
      <c r="D63" t="e">
        <f t="shared" si="11"/>
        <v>#REF!</v>
      </c>
      <c r="E63" s="354" t="e">
        <f>IF(#REF!="","",#REF!)</f>
        <v>#REF!</v>
      </c>
      <c r="F63" s="354" t="e">
        <f>IF(#REF!="","",#REF!)</f>
        <v>#REF!</v>
      </c>
      <c r="G63" s="354" t="e">
        <f>IF(#REF!="","",#REF!)</f>
        <v>#REF!</v>
      </c>
      <c r="H63" s="354" t="e">
        <f>IF(#REF!="","",#REF!)</f>
        <v>#REF!</v>
      </c>
      <c r="I63" s="354" t="e">
        <f t="shared" si="12"/>
        <v>#REF!</v>
      </c>
      <c r="J63" s="355" t="e">
        <f>IF(#REF!="","",#REF!)</f>
        <v>#REF!</v>
      </c>
      <c r="K63" s="355" t="e">
        <f>IF(#REF!="","",#REF!)</f>
        <v>#REF!</v>
      </c>
      <c r="L63" s="12" t="e">
        <f t="shared" si="13"/>
        <v>#REF!</v>
      </c>
      <c r="M63" t="e">
        <f t="shared" si="14"/>
        <v>#REF!</v>
      </c>
      <c r="N63" t="e">
        <f t="shared" si="27"/>
        <v>#REF!</v>
      </c>
      <c r="O63" t="e">
        <f t="shared" si="28"/>
        <v>#REF!</v>
      </c>
      <c r="P63" t="e">
        <f t="shared" si="29"/>
        <v>#REF!</v>
      </c>
      <c r="Q63">
        <f>SUM($A$10:A63)</f>
        <v>1485</v>
      </c>
      <c r="S63" s="15" t="e">
        <f>IF(T63="","",RANK(T63,$T$10:$T$50,1)+COUNTIF(T$10:T63,T63)-1)</f>
        <v>#REF!</v>
      </c>
      <c r="T63" t="e">
        <f t="shared" si="15"/>
        <v>#REF!</v>
      </c>
      <c r="U63" t="e">
        <f t="shared" si="16"/>
        <v>#REF!</v>
      </c>
      <c r="V63" t="e">
        <f t="shared" si="17"/>
        <v>#REF!</v>
      </c>
      <c r="W63" t="e">
        <f t="shared" si="18"/>
        <v>#REF!</v>
      </c>
      <c r="X63" t="e">
        <f t="shared" si="19"/>
        <v>#REF!</v>
      </c>
      <c r="Y63" t="e">
        <f t="shared" si="20"/>
        <v>#REF!</v>
      </c>
      <c r="Z63" t="e">
        <f t="shared" si="21"/>
        <v>#REF!</v>
      </c>
      <c r="AA63" t="e">
        <f t="shared" si="22"/>
        <v>#REF!</v>
      </c>
      <c r="AK63">
        <v>54</v>
      </c>
      <c r="AL63" t="e">
        <f t="shared" si="30"/>
        <v>#REF!</v>
      </c>
      <c r="AM63" t="e">
        <f t="shared" si="24"/>
        <v>#REF!</v>
      </c>
      <c r="AO63" t="e">
        <f t="shared" si="31"/>
        <v>#REF!</v>
      </c>
      <c r="AP63" t="e">
        <f t="shared" si="32"/>
        <v>#REF!</v>
      </c>
      <c r="AQ63" s="12" t="e">
        <f t="shared" si="33"/>
        <v>#REF!</v>
      </c>
      <c r="AR63" t="e">
        <f t="shared" si="34"/>
        <v>#REF!</v>
      </c>
      <c r="AW63"/>
    </row>
    <row r="64" spans="1:49">
      <c r="A64">
        <v>55</v>
      </c>
      <c r="B64" t="e">
        <f t="shared" si="25"/>
        <v>#REF!</v>
      </c>
      <c r="C64" t="e">
        <f t="shared" si="26"/>
        <v>#REF!</v>
      </c>
      <c r="D64" t="e">
        <f t="shared" si="11"/>
        <v>#REF!</v>
      </c>
      <c r="E64" s="354" t="e">
        <f>IF(#REF!="","",#REF!)</f>
        <v>#REF!</v>
      </c>
      <c r="F64" s="354" t="e">
        <f>IF(#REF!="","",#REF!)</f>
        <v>#REF!</v>
      </c>
      <c r="G64" s="354" t="e">
        <f>IF(#REF!="","",#REF!)</f>
        <v>#REF!</v>
      </c>
      <c r="H64" s="354" t="e">
        <f>IF(#REF!="","",#REF!)</f>
        <v>#REF!</v>
      </c>
      <c r="I64" s="354" t="e">
        <f t="shared" si="12"/>
        <v>#REF!</v>
      </c>
      <c r="J64" s="355" t="e">
        <f>IF(#REF!="","",#REF!)</f>
        <v>#REF!</v>
      </c>
      <c r="K64" s="355" t="e">
        <f>IF(#REF!="","",#REF!)</f>
        <v>#REF!</v>
      </c>
      <c r="L64" s="12" t="e">
        <f t="shared" si="13"/>
        <v>#REF!</v>
      </c>
      <c r="M64" t="e">
        <f t="shared" si="14"/>
        <v>#REF!</v>
      </c>
      <c r="N64" t="e">
        <f t="shared" si="27"/>
        <v>#REF!</v>
      </c>
      <c r="O64" t="e">
        <f t="shared" si="28"/>
        <v>#REF!</v>
      </c>
      <c r="P64" t="e">
        <f t="shared" si="29"/>
        <v>#REF!</v>
      </c>
      <c r="Q64">
        <f>SUM($A$10:A64)</f>
        <v>1540</v>
      </c>
      <c r="S64" s="15" t="e">
        <f>IF(T64="","",RANK(T64,$T$10:$T$50,1)+COUNTIF(T$10:T64,T64)-1)</f>
        <v>#REF!</v>
      </c>
      <c r="T64" t="e">
        <f t="shared" si="15"/>
        <v>#REF!</v>
      </c>
      <c r="U64" t="e">
        <f t="shared" si="16"/>
        <v>#REF!</v>
      </c>
      <c r="V64" t="e">
        <f t="shared" si="17"/>
        <v>#REF!</v>
      </c>
      <c r="W64" t="e">
        <f t="shared" si="18"/>
        <v>#REF!</v>
      </c>
      <c r="X64" t="e">
        <f t="shared" si="19"/>
        <v>#REF!</v>
      </c>
      <c r="Y64" t="e">
        <f t="shared" si="20"/>
        <v>#REF!</v>
      </c>
      <c r="Z64" t="e">
        <f t="shared" si="21"/>
        <v>#REF!</v>
      </c>
      <c r="AA64" t="e">
        <f t="shared" si="22"/>
        <v>#REF!</v>
      </c>
      <c r="AK64">
        <v>55</v>
      </c>
      <c r="AL64" t="e">
        <f t="shared" si="30"/>
        <v>#REF!</v>
      </c>
      <c r="AM64" t="e">
        <f t="shared" si="24"/>
        <v>#REF!</v>
      </c>
      <c r="AO64" t="e">
        <f t="shared" si="31"/>
        <v>#REF!</v>
      </c>
      <c r="AP64" t="e">
        <f t="shared" si="32"/>
        <v>#REF!</v>
      </c>
      <c r="AQ64" s="12" t="e">
        <f t="shared" si="33"/>
        <v>#REF!</v>
      </c>
      <c r="AR64" t="e">
        <f t="shared" si="34"/>
        <v>#REF!</v>
      </c>
      <c r="AW64"/>
    </row>
    <row r="65" spans="1:49">
      <c r="A65">
        <v>56</v>
      </c>
      <c r="B65" t="e">
        <f t="shared" si="25"/>
        <v>#REF!</v>
      </c>
      <c r="C65" t="e">
        <f t="shared" si="26"/>
        <v>#REF!</v>
      </c>
      <c r="D65" t="e">
        <f t="shared" si="11"/>
        <v>#REF!</v>
      </c>
      <c r="E65" s="354" t="e">
        <f>IF(#REF!="","",#REF!)</f>
        <v>#REF!</v>
      </c>
      <c r="F65" s="354" t="e">
        <f>IF(#REF!="","",#REF!)</f>
        <v>#REF!</v>
      </c>
      <c r="G65" s="354" t="e">
        <f>IF(#REF!="","",#REF!)</f>
        <v>#REF!</v>
      </c>
      <c r="H65" s="354" t="e">
        <f>IF(#REF!="","",#REF!)</f>
        <v>#REF!</v>
      </c>
      <c r="I65" s="354" t="e">
        <f t="shared" si="12"/>
        <v>#REF!</v>
      </c>
      <c r="J65" s="355" t="e">
        <f>IF(#REF!="","",#REF!)</f>
        <v>#REF!</v>
      </c>
      <c r="K65" s="355" t="e">
        <f>IF(#REF!="","",#REF!)</f>
        <v>#REF!</v>
      </c>
      <c r="L65" s="12" t="e">
        <f t="shared" si="13"/>
        <v>#REF!</v>
      </c>
      <c r="M65" t="e">
        <f t="shared" si="14"/>
        <v>#REF!</v>
      </c>
      <c r="N65" t="e">
        <f t="shared" si="27"/>
        <v>#REF!</v>
      </c>
      <c r="O65" t="e">
        <f t="shared" si="28"/>
        <v>#REF!</v>
      </c>
      <c r="P65" t="e">
        <f t="shared" si="29"/>
        <v>#REF!</v>
      </c>
      <c r="Q65">
        <f>SUM($A$10:A65)</f>
        <v>1596</v>
      </c>
      <c r="S65" s="15" t="e">
        <f>IF(T65="","",RANK(T65,$T$10:$T$50,1)+COUNTIF(T$10:T65,T65)-1)</f>
        <v>#REF!</v>
      </c>
      <c r="T65" t="e">
        <f t="shared" si="15"/>
        <v>#REF!</v>
      </c>
      <c r="U65" t="e">
        <f t="shared" si="16"/>
        <v>#REF!</v>
      </c>
      <c r="V65" t="e">
        <f t="shared" si="17"/>
        <v>#REF!</v>
      </c>
      <c r="W65" t="e">
        <f t="shared" si="18"/>
        <v>#REF!</v>
      </c>
      <c r="X65" t="e">
        <f t="shared" si="19"/>
        <v>#REF!</v>
      </c>
      <c r="Y65" t="e">
        <f t="shared" si="20"/>
        <v>#REF!</v>
      </c>
      <c r="Z65" t="e">
        <f t="shared" si="21"/>
        <v>#REF!</v>
      </c>
      <c r="AA65" t="e">
        <f t="shared" si="22"/>
        <v>#REF!</v>
      </c>
      <c r="AK65">
        <v>56</v>
      </c>
      <c r="AL65" t="e">
        <f t="shared" si="30"/>
        <v>#REF!</v>
      </c>
      <c r="AM65" t="e">
        <f t="shared" si="24"/>
        <v>#REF!</v>
      </c>
      <c r="AO65" t="e">
        <f t="shared" si="31"/>
        <v>#REF!</v>
      </c>
      <c r="AP65" t="e">
        <f t="shared" si="32"/>
        <v>#REF!</v>
      </c>
      <c r="AQ65" s="12" t="e">
        <f t="shared" si="33"/>
        <v>#REF!</v>
      </c>
      <c r="AR65" t="e">
        <f t="shared" si="34"/>
        <v>#REF!</v>
      </c>
      <c r="AW65"/>
    </row>
    <row r="66" spans="1:49">
      <c r="A66">
        <v>57</v>
      </c>
      <c r="B66" t="e">
        <f t="shared" si="25"/>
        <v>#REF!</v>
      </c>
      <c r="C66" t="e">
        <f t="shared" si="26"/>
        <v>#REF!</v>
      </c>
      <c r="D66" t="e">
        <f t="shared" si="11"/>
        <v>#REF!</v>
      </c>
      <c r="E66" s="354" t="e">
        <f>IF(#REF!="","",#REF!)</f>
        <v>#REF!</v>
      </c>
      <c r="F66" s="354" t="e">
        <f>IF(#REF!="","",#REF!)</f>
        <v>#REF!</v>
      </c>
      <c r="G66" s="354" t="e">
        <f>IF(#REF!="","",#REF!)</f>
        <v>#REF!</v>
      </c>
      <c r="H66" s="354" t="e">
        <f>IF(#REF!="","",#REF!)</f>
        <v>#REF!</v>
      </c>
      <c r="I66" s="354" t="e">
        <f t="shared" si="12"/>
        <v>#REF!</v>
      </c>
      <c r="J66" s="355" t="e">
        <f>IF(#REF!="","",#REF!)</f>
        <v>#REF!</v>
      </c>
      <c r="K66" s="355" t="e">
        <f>IF(#REF!="","",#REF!)</f>
        <v>#REF!</v>
      </c>
      <c r="L66" s="12" t="e">
        <f t="shared" si="13"/>
        <v>#REF!</v>
      </c>
      <c r="M66" t="e">
        <f t="shared" si="14"/>
        <v>#REF!</v>
      </c>
      <c r="N66" t="e">
        <f t="shared" si="27"/>
        <v>#REF!</v>
      </c>
      <c r="O66" t="e">
        <f t="shared" si="28"/>
        <v>#REF!</v>
      </c>
      <c r="P66" t="e">
        <f t="shared" si="29"/>
        <v>#REF!</v>
      </c>
      <c r="Q66">
        <f>SUM($A$10:A66)</f>
        <v>1653</v>
      </c>
      <c r="S66" s="15" t="e">
        <f>IF(T66="","",RANK(T66,$T$10:$T$50,1)+COUNTIF(T$10:T66,T66)-1)</f>
        <v>#REF!</v>
      </c>
      <c r="T66" t="e">
        <f t="shared" si="15"/>
        <v>#REF!</v>
      </c>
      <c r="U66" t="e">
        <f t="shared" si="16"/>
        <v>#REF!</v>
      </c>
      <c r="V66" t="e">
        <f t="shared" si="17"/>
        <v>#REF!</v>
      </c>
      <c r="W66" t="e">
        <f t="shared" si="18"/>
        <v>#REF!</v>
      </c>
      <c r="X66" t="e">
        <f t="shared" si="19"/>
        <v>#REF!</v>
      </c>
      <c r="Y66" t="e">
        <f t="shared" si="20"/>
        <v>#REF!</v>
      </c>
      <c r="Z66" t="e">
        <f t="shared" si="21"/>
        <v>#REF!</v>
      </c>
      <c r="AA66" t="e">
        <f t="shared" si="22"/>
        <v>#REF!</v>
      </c>
      <c r="AK66">
        <v>57</v>
      </c>
      <c r="AL66" t="e">
        <f t="shared" si="30"/>
        <v>#REF!</v>
      </c>
      <c r="AM66" t="e">
        <f t="shared" si="24"/>
        <v>#REF!</v>
      </c>
      <c r="AO66" t="e">
        <f t="shared" si="31"/>
        <v>#REF!</v>
      </c>
      <c r="AP66" t="e">
        <f t="shared" si="32"/>
        <v>#REF!</v>
      </c>
      <c r="AQ66" s="12" t="e">
        <f t="shared" si="33"/>
        <v>#REF!</v>
      </c>
      <c r="AR66" t="e">
        <f t="shared" si="34"/>
        <v>#REF!</v>
      </c>
      <c r="AW66"/>
    </row>
    <row r="67" spans="1:49">
      <c r="A67">
        <v>58</v>
      </c>
      <c r="B67" t="e">
        <f t="shared" si="25"/>
        <v>#REF!</v>
      </c>
      <c r="C67" t="e">
        <f t="shared" si="26"/>
        <v>#REF!</v>
      </c>
      <c r="D67" t="e">
        <f t="shared" si="11"/>
        <v>#REF!</v>
      </c>
      <c r="E67" s="354" t="e">
        <f>IF(#REF!="","",#REF!)</f>
        <v>#REF!</v>
      </c>
      <c r="F67" s="354" t="e">
        <f>IF(#REF!="","",#REF!)</f>
        <v>#REF!</v>
      </c>
      <c r="G67" s="354" t="e">
        <f>IF(#REF!="","",#REF!)</f>
        <v>#REF!</v>
      </c>
      <c r="H67" s="354" t="e">
        <f>IF(#REF!="","",#REF!)</f>
        <v>#REF!</v>
      </c>
      <c r="I67" s="354" t="e">
        <f t="shared" si="12"/>
        <v>#REF!</v>
      </c>
      <c r="J67" s="355" t="e">
        <f>IF(#REF!="","",#REF!)</f>
        <v>#REF!</v>
      </c>
      <c r="K67" s="355" t="e">
        <f>IF(#REF!="","",#REF!)</f>
        <v>#REF!</v>
      </c>
      <c r="L67" s="12" t="e">
        <f t="shared" si="13"/>
        <v>#REF!</v>
      </c>
      <c r="M67" t="e">
        <f t="shared" si="14"/>
        <v>#REF!</v>
      </c>
      <c r="N67" t="e">
        <f t="shared" si="27"/>
        <v>#REF!</v>
      </c>
      <c r="O67" t="e">
        <f t="shared" si="28"/>
        <v>#REF!</v>
      </c>
      <c r="P67" t="e">
        <f t="shared" si="29"/>
        <v>#REF!</v>
      </c>
      <c r="Q67">
        <f>SUM($A$10:A67)</f>
        <v>1711</v>
      </c>
      <c r="S67" s="15" t="e">
        <f>IF(T67="","",RANK(T67,$T$10:$T$50,1)+COUNTIF(T$10:T67,T67)-1)</f>
        <v>#REF!</v>
      </c>
      <c r="T67" t="e">
        <f t="shared" si="15"/>
        <v>#REF!</v>
      </c>
      <c r="U67" t="e">
        <f t="shared" si="16"/>
        <v>#REF!</v>
      </c>
      <c r="V67" t="e">
        <f t="shared" si="17"/>
        <v>#REF!</v>
      </c>
      <c r="W67" t="e">
        <f t="shared" si="18"/>
        <v>#REF!</v>
      </c>
      <c r="X67" t="e">
        <f t="shared" si="19"/>
        <v>#REF!</v>
      </c>
      <c r="Y67" t="e">
        <f t="shared" si="20"/>
        <v>#REF!</v>
      </c>
      <c r="Z67" t="e">
        <f t="shared" si="21"/>
        <v>#REF!</v>
      </c>
      <c r="AA67" t="e">
        <f t="shared" si="22"/>
        <v>#REF!</v>
      </c>
      <c r="AK67">
        <v>58</v>
      </c>
      <c r="AL67" t="e">
        <f t="shared" si="30"/>
        <v>#REF!</v>
      </c>
      <c r="AM67" t="e">
        <f t="shared" si="24"/>
        <v>#REF!</v>
      </c>
      <c r="AO67" t="e">
        <f t="shared" si="31"/>
        <v>#REF!</v>
      </c>
      <c r="AP67" t="e">
        <f t="shared" si="32"/>
        <v>#REF!</v>
      </c>
      <c r="AQ67" s="12" t="e">
        <f t="shared" si="33"/>
        <v>#REF!</v>
      </c>
      <c r="AR67" t="e">
        <f t="shared" si="34"/>
        <v>#REF!</v>
      </c>
      <c r="AW67"/>
    </row>
    <row r="68" spans="1:49">
      <c r="A68">
        <v>59</v>
      </c>
      <c r="B68" t="e">
        <f t="shared" si="25"/>
        <v>#REF!</v>
      </c>
      <c r="C68" t="e">
        <f t="shared" si="26"/>
        <v>#REF!</v>
      </c>
      <c r="D68" t="e">
        <f t="shared" si="11"/>
        <v>#REF!</v>
      </c>
      <c r="E68" s="354" t="e">
        <f>IF(#REF!="","",#REF!)</f>
        <v>#REF!</v>
      </c>
      <c r="F68" s="354" t="e">
        <f>IF(#REF!="","",#REF!)</f>
        <v>#REF!</v>
      </c>
      <c r="G68" s="354" t="e">
        <f>IF(#REF!="","",#REF!)</f>
        <v>#REF!</v>
      </c>
      <c r="H68" s="354" t="e">
        <f>IF(#REF!="","",#REF!)</f>
        <v>#REF!</v>
      </c>
      <c r="I68" s="354" t="e">
        <f t="shared" si="12"/>
        <v>#REF!</v>
      </c>
      <c r="J68" s="355" t="e">
        <f>IF(#REF!="","",#REF!)</f>
        <v>#REF!</v>
      </c>
      <c r="K68" s="355" t="e">
        <f>IF(#REF!="","",#REF!)</f>
        <v>#REF!</v>
      </c>
      <c r="L68" s="12" t="e">
        <f t="shared" si="13"/>
        <v>#REF!</v>
      </c>
      <c r="M68" t="e">
        <f t="shared" si="14"/>
        <v>#REF!</v>
      </c>
      <c r="N68" t="e">
        <f t="shared" si="27"/>
        <v>#REF!</v>
      </c>
      <c r="O68" t="e">
        <f t="shared" si="28"/>
        <v>#REF!</v>
      </c>
      <c r="P68" t="e">
        <f t="shared" si="29"/>
        <v>#REF!</v>
      </c>
      <c r="Q68">
        <f>SUM($A$10:A68)</f>
        <v>1770</v>
      </c>
      <c r="S68" s="15" t="e">
        <f>IF(T68="","",RANK(T68,$T$10:$T$50,1)+COUNTIF(T$10:T68,T68)-1)</f>
        <v>#REF!</v>
      </c>
      <c r="T68" t="e">
        <f t="shared" si="15"/>
        <v>#REF!</v>
      </c>
      <c r="U68" t="e">
        <f t="shared" si="16"/>
        <v>#REF!</v>
      </c>
      <c r="V68" t="e">
        <f t="shared" si="17"/>
        <v>#REF!</v>
      </c>
      <c r="W68" t="e">
        <f t="shared" si="18"/>
        <v>#REF!</v>
      </c>
      <c r="X68" t="e">
        <f t="shared" si="19"/>
        <v>#REF!</v>
      </c>
      <c r="Y68" t="e">
        <f t="shared" si="20"/>
        <v>#REF!</v>
      </c>
      <c r="Z68" t="e">
        <f t="shared" si="21"/>
        <v>#REF!</v>
      </c>
      <c r="AA68" t="e">
        <f t="shared" si="22"/>
        <v>#REF!</v>
      </c>
      <c r="AK68">
        <v>59</v>
      </c>
      <c r="AL68" t="e">
        <f t="shared" si="30"/>
        <v>#REF!</v>
      </c>
      <c r="AM68" t="e">
        <f t="shared" si="24"/>
        <v>#REF!</v>
      </c>
      <c r="AO68" t="e">
        <f t="shared" si="31"/>
        <v>#REF!</v>
      </c>
      <c r="AP68" t="e">
        <f t="shared" si="32"/>
        <v>#REF!</v>
      </c>
      <c r="AQ68" s="12" t="e">
        <f t="shared" si="33"/>
        <v>#REF!</v>
      </c>
      <c r="AR68" t="e">
        <f t="shared" si="34"/>
        <v>#REF!</v>
      </c>
      <c r="AW68"/>
    </row>
    <row r="69" spans="1:49">
      <c r="A69">
        <v>60</v>
      </c>
      <c r="B69" t="e">
        <f t="shared" si="25"/>
        <v>#REF!</v>
      </c>
      <c r="C69" t="e">
        <f t="shared" si="26"/>
        <v>#REF!</v>
      </c>
      <c r="D69" t="e">
        <f t="shared" si="11"/>
        <v>#REF!</v>
      </c>
      <c r="E69" s="354" t="e">
        <f>IF(#REF!="","",#REF!)</f>
        <v>#REF!</v>
      </c>
      <c r="F69" s="354" t="e">
        <f>IF(#REF!="","",#REF!)</f>
        <v>#REF!</v>
      </c>
      <c r="G69" s="354" t="e">
        <f>IF(#REF!="","",#REF!)</f>
        <v>#REF!</v>
      </c>
      <c r="H69" s="354" t="e">
        <f>IF(#REF!="","",#REF!)</f>
        <v>#REF!</v>
      </c>
      <c r="I69" s="354" t="e">
        <f t="shared" si="12"/>
        <v>#REF!</v>
      </c>
      <c r="J69" s="355" t="e">
        <f>IF(#REF!="","",#REF!)</f>
        <v>#REF!</v>
      </c>
      <c r="K69" s="355" t="e">
        <f>IF(#REF!="","",#REF!)</f>
        <v>#REF!</v>
      </c>
      <c r="L69" s="12" t="e">
        <f t="shared" si="13"/>
        <v>#REF!</v>
      </c>
      <c r="M69" t="e">
        <f t="shared" si="14"/>
        <v>#REF!</v>
      </c>
      <c r="N69" t="e">
        <f t="shared" si="27"/>
        <v>#REF!</v>
      </c>
      <c r="O69" t="e">
        <f t="shared" si="28"/>
        <v>#REF!</v>
      </c>
      <c r="P69" t="e">
        <f t="shared" si="29"/>
        <v>#REF!</v>
      </c>
      <c r="Q69">
        <f>SUM($A$10:A69)</f>
        <v>1830</v>
      </c>
      <c r="S69" s="15" t="e">
        <f>IF(T69="","",RANK(T69,$T$10:$T$50,1)+COUNTIF(T$10:T69,T69)-1)</f>
        <v>#REF!</v>
      </c>
      <c r="T69" t="e">
        <f t="shared" si="15"/>
        <v>#REF!</v>
      </c>
      <c r="U69" t="e">
        <f t="shared" si="16"/>
        <v>#REF!</v>
      </c>
      <c r="V69" t="e">
        <f t="shared" si="17"/>
        <v>#REF!</v>
      </c>
      <c r="W69" t="e">
        <f t="shared" si="18"/>
        <v>#REF!</v>
      </c>
      <c r="X69" t="e">
        <f t="shared" si="19"/>
        <v>#REF!</v>
      </c>
      <c r="Y69" t="e">
        <f t="shared" si="20"/>
        <v>#REF!</v>
      </c>
      <c r="Z69" t="e">
        <f t="shared" si="21"/>
        <v>#REF!</v>
      </c>
      <c r="AA69" t="e">
        <f t="shared" si="22"/>
        <v>#REF!</v>
      </c>
      <c r="AK69">
        <v>60</v>
      </c>
      <c r="AL69" t="e">
        <f t="shared" si="30"/>
        <v>#REF!</v>
      </c>
      <c r="AM69" t="e">
        <f t="shared" si="24"/>
        <v>#REF!</v>
      </c>
      <c r="AO69" t="e">
        <f t="shared" si="31"/>
        <v>#REF!</v>
      </c>
      <c r="AP69" t="e">
        <f t="shared" si="32"/>
        <v>#REF!</v>
      </c>
      <c r="AQ69" s="12" t="e">
        <f t="shared" si="33"/>
        <v>#REF!</v>
      </c>
      <c r="AR69" t="e">
        <f t="shared" si="34"/>
        <v>#REF!</v>
      </c>
      <c r="AW69"/>
    </row>
    <row r="70" spans="1:49">
      <c r="A70">
        <v>61</v>
      </c>
      <c r="B70" t="e">
        <f t="shared" si="25"/>
        <v>#REF!</v>
      </c>
      <c r="C70" t="e">
        <f t="shared" si="26"/>
        <v>#REF!</v>
      </c>
      <c r="D70" t="e">
        <f t="shared" si="11"/>
        <v>#REF!</v>
      </c>
      <c r="E70" s="354" t="e">
        <f>IF(#REF!="","",#REF!)</f>
        <v>#REF!</v>
      </c>
      <c r="F70" s="354" t="e">
        <f>IF(#REF!="","",#REF!)</f>
        <v>#REF!</v>
      </c>
      <c r="G70" s="354" t="e">
        <f>IF(#REF!="","",#REF!)</f>
        <v>#REF!</v>
      </c>
      <c r="H70" s="354" t="e">
        <f>IF(#REF!="","",#REF!)</f>
        <v>#REF!</v>
      </c>
      <c r="I70" s="354" t="e">
        <f t="shared" si="12"/>
        <v>#REF!</v>
      </c>
      <c r="J70" s="355" t="e">
        <f>IF(#REF!="","",#REF!)</f>
        <v>#REF!</v>
      </c>
      <c r="K70" s="355" t="e">
        <f>IF(#REF!="","",#REF!)</f>
        <v>#REF!</v>
      </c>
      <c r="L70" s="12" t="e">
        <f t="shared" si="13"/>
        <v>#REF!</v>
      </c>
      <c r="M70" t="e">
        <f t="shared" si="14"/>
        <v>#REF!</v>
      </c>
      <c r="N70" t="e">
        <f t="shared" si="27"/>
        <v>#REF!</v>
      </c>
      <c r="O70" t="e">
        <f t="shared" si="28"/>
        <v>#REF!</v>
      </c>
      <c r="P70" t="e">
        <f t="shared" si="29"/>
        <v>#REF!</v>
      </c>
      <c r="Q70">
        <f>SUM($A$10:A70)</f>
        <v>1891</v>
      </c>
      <c r="S70" s="15" t="e">
        <f>IF(T70="","",RANK(T70,$T$10:$T$50,1)+COUNTIF(T$10:T70,T70)-1)</f>
        <v>#REF!</v>
      </c>
      <c r="T70" t="e">
        <f t="shared" si="15"/>
        <v>#REF!</v>
      </c>
      <c r="U70" t="e">
        <f t="shared" si="16"/>
        <v>#REF!</v>
      </c>
      <c r="V70" t="e">
        <f t="shared" si="17"/>
        <v>#REF!</v>
      </c>
      <c r="W70" t="e">
        <f t="shared" si="18"/>
        <v>#REF!</v>
      </c>
      <c r="X70" t="e">
        <f t="shared" si="19"/>
        <v>#REF!</v>
      </c>
      <c r="Y70" t="e">
        <f t="shared" si="20"/>
        <v>#REF!</v>
      </c>
      <c r="Z70" t="e">
        <f t="shared" si="21"/>
        <v>#REF!</v>
      </c>
      <c r="AA70" t="e">
        <f t="shared" si="22"/>
        <v>#REF!</v>
      </c>
      <c r="AK70">
        <v>61</v>
      </c>
      <c r="AL70" t="e">
        <f t="shared" si="30"/>
        <v>#REF!</v>
      </c>
      <c r="AM70" t="e">
        <f t="shared" si="24"/>
        <v>#REF!</v>
      </c>
      <c r="AO70" t="e">
        <f t="shared" si="31"/>
        <v>#REF!</v>
      </c>
      <c r="AP70" t="e">
        <f t="shared" si="32"/>
        <v>#REF!</v>
      </c>
      <c r="AQ70" s="12" t="e">
        <f t="shared" si="33"/>
        <v>#REF!</v>
      </c>
      <c r="AR70" t="e">
        <f t="shared" si="34"/>
        <v>#REF!</v>
      </c>
      <c r="AW70"/>
    </row>
    <row r="71" spans="1:49">
      <c r="A71">
        <v>62</v>
      </c>
      <c r="B71" t="e">
        <f t="shared" si="25"/>
        <v>#REF!</v>
      </c>
      <c r="C71" t="e">
        <f t="shared" si="26"/>
        <v>#REF!</v>
      </c>
      <c r="D71" t="e">
        <f t="shared" si="11"/>
        <v>#REF!</v>
      </c>
      <c r="E71" s="354" t="e">
        <f>IF(#REF!="","",#REF!)</f>
        <v>#REF!</v>
      </c>
      <c r="F71" s="354" t="e">
        <f>IF(#REF!="","",#REF!)</f>
        <v>#REF!</v>
      </c>
      <c r="G71" s="354" t="e">
        <f>IF(#REF!="","",#REF!)</f>
        <v>#REF!</v>
      </c>
      <c r="H71" s="354" t="e">
        <f>IF(#REF!="","",#REF!)</f>
        <v>#REF!</v>
      </c>
      <c r="I71" s="354" t="e">
        <f t="shared" si="12"/>
        <v>#REF!</v>
      </c>
      <c r="J71" s="355" t="e">
        <f>IF(#REF!="","",#REF!)</f>
        <v>#REF!</v>
      </c>
      <c r="K71" s="355" t="e">
        <f>IF(#REF!="","",#REF!)</f>
        <v>#REF!</v>
      </c>
      <c r="L71" s="12" t="e">
        <f t="shared" si="13"/>
        <v>#REF!</v>
      </c>
      <c r="M71" t="e">
        <f t="shared" si="14"/>
        <v>#REF!</v>
      </c>
      <c r="N71" t="e">
        <f t="shared" si="27"/>
        <v>#REF!</v>
      </c>
      <c r="O71" t="e">
        <f t="shared" si="28"/>
        <v>#REF!</v>
      </c>
      <c r="P71" t="e">
        <f t="shared" si="29"/>
        <v>#REF!</v>
      </c>
      <c r="Q71">
        <f>SUM($A$10:A71)</f>
        <v>1953</v>
      </c>
      <c r="S71" s="15" t="e">
        <f>IF(T71="","",RANK(T71,$T$10:$T$50,1)+COUNTIF(T$10:T71,T71)-1)</f>
        <v>#REF!</v>
      </c>
      <c r="T71" t="e">
        <f t="shared" si="15"/>
        <v>#REF!</v>
      </c>
      <c r="U71" t="e">
        <f t="shared" si="16"/>
        <v>#REF!</v>
      </c>
      <c r="V71" t="e">
        <f t="shared" si="17"/>
        <v>#REF!</v>
      </c>
      <c r="W71" t="e">
        <f t="shared" si="18"/>
        <v>#REF!</v>
      </c>
      <c r="X71" t="e">
        <f t="shared" si="19"/>
        <v>#REF!</v>
      </c>
      <c r="Y71" t="e">
        <f t="shared" si="20"/>
        <v>#REF!</v>
      </c>
      <c r="Z71" t="e">
        <f t="shared" si="21"/>
        <v>#REF!</v>
      </c>
      <c r="AA71" t="e">
        <f t="shared" si="22"/>
        <v>#REF!</v>
      </c>
      <c r="AK71">
        <v>62</v>
      </c>
      <c r="AL71" t="e">
        <f t="shared" si="30"/>
        <v>#REF!</v>
      </c>
      <c r="AM71" t="e">
        <f t="shared" si="24"/>
        <v>#REF!</v>
      </c>
      <c r="AO71" t="e">
        <f t="shared" si="31"/>
        <v>#REF!</v>
      </c>
      <c r="AP71" t="e">
        <f t="shared" si="32"/>
        <v>#REF!</v>
      </c>
      <c r="AQ71" s="12" t="e">
        <f t="shared" si="33"/>
        <v>#REF!</v>
      </c>
      <c r="AR71" t="e">
        <f t="shared" si="34"/>
        <v>#REF!</v>
      </c>
      <c r="AW71"/>
    </row>
    <row r="72" spans="1:49">
      <c r="A72">
        <v>63</v>
      </c>
      <c r="B72" t="e">
        <f t="shared" si="25"/>
        <v>#REF!</v>
      </c>
      <c r="C72" t="e">
        <f t="shared" si="26"/>
        <v>#REF!</v>
      </c>
      <c r="D72" t="e">
        <f t="shared" si="11"/>
        <v>#REF!</v>
      </c>
      <c r="E72" s="354" t="e">
        <f>IF(#REF!="","",#REF!)</f>
        <v>#REF!</v>
      </c>
      <c r="F72" s="354" t="e">
        <f>IF(#REF!="","",#REF!)</f>
        <v>#REF!</v>
      </c>
      <c r="G72" s="354" t="e">
        <f>IF(#REF!="","",#REF!)</f>
        <v>#REF!</v>
      </c>
      <c r="H72" s="354" t="e">
        <f>IF(#REF!="","",#REF!)</f>
        <v>#REF!</v>
      </c>
      <c r="I72" s="354" t="e">
        <f t="shared" si="12"/>
        <v>#REF!</v>
      </c>
      <c r="J72" s="355" t="e">
        <f>IF(#REF!="","",#REF!)</f>
        <v>#REF!</v>
      </c>
      <c r="K72" s="355" t="e">
        <f>IF(#REF!="","",#REF!)</f>
        <v>#REF!</v>
      </c>
      <c r="L72" s="12" t="e">
        <f t="shared" si="13"/>
        <v>#REF!</v>
      </c>
      <c r="M72" t="e">
        <f t="shared" si="14"/>
        <v>#REF!</v>
      </c>
      <c r="N72" t="e">
        <f t="shared" si="27"/>
        <v>#REF!</v>
      </c>
      <c r="O72" t="e">
        <f t="shared" si="28"/>
        <v>#REF!</v>
      </c>
      <c r="P72" t="e">
        <f t="shared" si="29"/>
        <v>#REF!</v>
      </c>
      <c r="Q72">
        <f>SUM($A$10:A72)</f>
        <v>2016</v>
      </c>
      <c r="S72" s="15" t="e">
        <f>IF(T72="","",RANK(T72,$T$10:$T$50,1)+COUNTIF(T$10:T72,T72)-1)</f>
        <v>#REF!</v>
      </c>
      <c r="T72" t="e">
        <f t="shared" si="15"/>
        <v>#REF!</v>
      </c>
      <c r="U72" t="e">
        <f t="shared" si="16"/>
        <v>#REF!</v>
      </c>
      <c r="V72" t="e">
        <f t="shared" si="17"/>
        <v>#REF!</v>
      </c>
      <c r="W72" t="e">
        <f t="shared" si="18"/>
        <v>#REF!</v>
      </c>
      <c r="X72" t="e">
        <f t="shared" si="19"/>
        <v>#REF!</v>
      </c>
      <c r="Y72" t="e">
        <f t="shared" si="20"/>
        <v>#REF!</v>
      </c>
      <c r="Z72" t="e">
        <f t="shared" si="21"/>
        <v>#REF!</v>
      </c>
      <c r="AA72" t="e">
        <f t="shared" si="22"/>
        <v>#REF!</v>
      </c>
      <c r="AK72">
        <v>63</v>
      </c>
      <c r="AL72" t="e">
        <f t="shared" si="30"/>
        <v>#REF!</v>
      </c>
      <c r="AM72" t="e">
        <f t="shared" si="24"/>
        <v>#REF!</v>
      </c>
      <c r="AO72" t="e">
        <f t="shared" si="31"/>
        <v>#REF!</v>
      </c>
      <c r="AP72" t="e">
        <f t="shared" si="32"/>
        <v>#REF!</v>
      </c>
      <c r="AQ72" s="12" t="e">
        <f t="shared" si="33"/>
        <v>#REF!</v>
      </c>
      <c r="AR72" t="e">
        <f t="shared" si="34"/>
        <v>#REF!</v>
      </c>
      <c r="AW72"/>
    </row>
    <row r="73" spans="1:49">
      <c r="A73">
        <v>64</v>
      </c>
      <c r="B73" t="e">
        <f t="shared" si="25"/>
        <v>#REF!</v>
      </c>
      <c r="C73" t="e">
        <f t="shared" si="26"/>
        <v>#REF!</v>
      </c>
      <c r="D73" t="e">
        <f t="shared" si="11"/>
        <v>#REF!</v>
      </c>
      <c r="E73" s="354" t="e">
        <f>IF(#REF!="","",#REF!)</f>
        <v>#REF!</v>
      </c>
      <c r="F73" s="354" t="e">
        <f>IF(#REF!="","",#REF!)</f>
        <v>#REF!</v>
      </c>
      <c r="G73" s="354" t="e">
        <f>IF(#REF!="","",#REF!)</f>
        <v>#REF!</v>
      </c>
      <c r="H73" s="354" t="e">
        <f>IF(#REF!="","",#REF!)</f>
        <v>#REF!</v>
      </c>
      <c r="I73" s="354" t="e">
        <f t="shared" si="12"/>
        <v>#REF!</v>
      </c>
      <c r="J73" s="355" t="e">
        <f>IF(#REF!="","",#REF!)</f>
        <v>#REF!</v>
      </c>
      <c r="K73" s="355" t="e">
        <f>IF(#REF!="","",#REF!)</f>
        <v>#REF!</v>
      </c>
      <c r="L73" s="12" t="e">
        <f t="shared" si="13"/>
        <v>#REF!</v>
      </c>
      <c r="M73" t="e">
        <f t="shared" si="14"/>
        <v>#REF!</v>
      </c>
      <c r="N73" t="e">
        <f t="shared" si="27"/>
        <v>#REF!</v>
      </c>
      <c r="O73" t="e">
        <f t="shared" si="28"/>
        <v>#REF!</v>
      </c>
      <c r="P73" t="e">
        <f t="shared" si="29"/>
        <v>#REF!</v>
      </c>
      <c r="Q73">
        <f>SUM($A$10:A73)</f>
        <v>2080</v>
      </c>
      <c r="S73" s="15" t="e">
        <f>IF(T73="","",RANK(T73,$T$10:$T$50,1)+COUNTIF(T$10:T73,T73)-1)</f>
        <v>#REF!</v>
      </c>
      <c r="T73" t="e">
        <f t="shared" si="15"/>
        <v>#REF!</v>
      </c>
      <c r="U73" t="e">
        <f t="shared" si="16"/>
        <v>#REF!</v>
      </c>
      <c r="V73" t="e">
        <f t="shared" si="17"/>
        <v>#REF!</v>
      </c>
      <c r="W73" t="e">
        <f t="shared" si="18"/>
        <v>#REF!</v>
      </c>
      <c r="X73" t="e">
        <f t="shared" si="19"/>
        <v>#REF!</v>
      </c>
      <c r="Y73" t="e">
        <f t="shared" si="20"/>
        <v>#REF!</v>
      </c>
      <c r="Z73" t="e">
        <f t="shared" si="21"/>
        <v>#REF!</v>
      </c>
      <c r="AA73" t="e">
        <f t="shared" si="22"/>
        <v>#REF!</v>
      </c>
      <c r="AK73">
        <v>64</v>
      </c>
      <c r="AL73" t="e">
        <f t="shared" si="30"/>
        <v>#REF!</v>
      </c>
      <c r="AM73" t="e">
        <f t="shared" si="24"/>
        <v>#REF!</v>
      </c>
      <c r="AO73" t="e">
        <f t="shared" si="31"/>
        <v>#REF!</v>
      </c>
      <c r="AP73" t="e">
        <f t="shared" si="32"/>
        <v>#REF!</v>
      </c>
      <c r="AQ73" s="12" t="e">
        <f t="shared" si="33"/>
        <v>#REF!</v>
      </c>
      <c r="AR73" t="e">
        <f t="shared" si="34"/>
        <v>#REF!</v>
      </c>
      <c r="AW73"/>
    </row>
    <row r="74" spans="1:49">
      <c r="A74">
        <v>65</v>
      </c>
      <c r="B74" t="e">
        <f t="shared" ref="B74:B105" si="35">IF(OR(N74="Yes",O74="Yes",P74="Yes"),A74,"")</f>
        <v>#REF!</v>
      </c>
      <c r="C74" t="e">
        <f t="shared" ref="C74:C105" si="36">IF(B74="","",RANK(B74,$B$10:$B$109,1))</f>
        <v>#REF!</v>
      </c>
      <c r="D74" t="e">
        <f t="shared" si="11"/>
        <v>#REF!</v>
      </c>
      <c r="E74" s="354" t="e">
        <f>IF(#REF!="","",#REF!)</f>
        <v>#REF!</v>
      </c>
      <c r="F74" s="354" t="e">
        <f>IF(#REF!="","",#REF!)</f>
        <v>#REF!</v>
      </c>
      <c r="G74" s="354" t="e">
        <f>IF(#REF!="","",#REF!)</f>
        <v>#REF!</v>
      </c>
      <c r="H74" s="354" t="e">
        <f>IF(#REF!="","",#REF!)</f>
        <v>#REF!</v>
      </c>
      <c r="I74" s="354" t="e">
        <f t="shared" si="12"/>
        <v>#REF!</v>
      </c>
      <c r="J74" s="355" t="e">
        <f>IF(#REF!="","",#REF!)</f>
        <v>#REF!</v>
      </c>
      <c r="K74" s="355" t="e">
        <f>IF(#REF!="","",#REF!)</f>
        <v>#REF!</v>
      </c>
      <c r="L74" s="12" t="e">
        <f t="shared" si="13"/>
        <v>#REF!</v>
      </c>
      <c r="M74" t="e">
        <f t="shared" si="14"/>
        <v>#REF!</v>
      </c>
      <c r="N74" t="e">
        <f t="shared" ref="N74:N109" si="37">IF(E74="","",IF(AND(G74&lt;=$B$4,K74="",NOT(J74="")),"Yes","No"))</f>
        <v>#REF!</v>
      </c>
      <c r="O74" t="e">
        <f t="shared" ref="O74:O109" si="38">IF(E74="","",IF(AND(G74&lt;=$B$4,J74=""),"Yes","No"))</f>
        <v>#REF!</v>
      </c>
      <c r="P74" t="e">
        <f t="shared" ref="P74:P105" si="39">IF(OR(N74="Yes",O74="Yes"),"No",IF(AND(K74="",F74&lt;=$B$5),"Yes","No"))</f>
        <v>#REF!</v>
      </c>
      <c r="Q74">
        <f>SUM($A$10:A74)</f>
        <v>2145</v>
      </c>
      <c r="S74" s="15" t="e">
        <f>IF(T74="","",RANK(T74,$T$10:$T$50,1)+COUNTIF(T$10:T74,T74)-1)</f>
        <v>#REF!</v>
      </c>
      <c r="T74" t="e">
        <f t="shared" si="15"/>
        <v>#REF!</v>
      </c>
      <c r="U74" t="e">
        <f t="shared" si="16"/>
        <v>#REF!</v>
      </c>
      <c r="V74" t="e">
        <f t="shared" si="17"/>
        <v>#REF!</v>
      </c>
      <c r="W74" t="e">
        <f t="shared" si="18"/>
        <v>#REF!</v>
      </c>
      <c r="X74" t="e">
        <f t="shared" si="19"/>
        <v>#REF!</v>
      </c>
      <c r="Y74" t="e">
        <f t="shared" si="20"/>
        <v>#REF!</v>
      </c>
      <c r="Z74" t="e">
        <f t="shared" si="21"/>
        <v>#REF!</v>
      </c>
      <c r="AA74" t="e">
        <f t="shared" si="22"/>
        <v>#REF!</v>
      </c>
      <c r="AK74">
        <v>65</v>
      </c>
      <c r="AL74" t="e">
        <f t="shared" ref="AL74:AL109" si="40">IF(SUM($S$10:$S$109)&lt;$Q74,"",VLOOKUP($AK74,$S$10:$AA$109,3,FALSE))</f>
        <v>#REF!</v>
      </c>
      <c r="AM74" t="e">
        <f t="shared" si="24"/>
        <v>#REF!</v>
      </c>
      <c r="AO74" t="e">
        <f t="shared" ref="AO74:AO109" si="41">IF(SUM($S$10:$S$109)&lt;$Q74,"",VLOOKUP(AK74,$S$10:$AA$109,5,FALSE))</f>
        <v>#REF!</v>
      </c>
      <c r="AP74" t="e">
        <f t="shared" ref="AP74:AP109" si="42">IF(SUM($S$10:$S$109)&lt;$Q74,"",VLOOKUP($AK74,$S$10:$AA$109,8,FALSE))</f>
        <v>#REF!</v>
      </c>
      <c r="AQ74" s="12" t="e">
        <f t="shared" ref="AQ74:AQ109" si="43">IF(SUM($S$10:$S$109)&lt;$Q74,"",VLOOKUP($AK74,$S$10:$AA$109,7,FALSE))</f>
        <v>#REF!</v>
      </c>
      <c r="AR74" t="e">
        <f t="shared" ref="AR74:AR109" si="44">IF(SUM($S$10:$S$109)&lt;$Q74,"",VLOOKUP($AK74,$S$10:$AA$109,9,FALSE))</f>
        <v>#REF!</v>
      </c>
      <c r="AW74"/>
    </row>
    <row r="75" spans="1:49">
      <c r="A75">
        <v>66</v>
      </c>
      <c r="B75" t="e">
        <f t="shared" si="35"/>
        <v>#REF!</v>
      </c>
      <c r="C75" t="e">
        <f t="shared" si="36"/>
        <v>#REF!</v>
      </c>
      <c r="D75" t="e">
        <f t="shared" ref="D75:D109" si="45">IF(C75="","",E75)</f>
        <v>#REF!</v>
      </c>
      <c r="E75" s="354" t="e">
        <f>IF(#REF!="","",#REF!)</f>
        <v>#REF!</v>
      </c>
      <c r="F75" s="354" t="e">
        <f>IF(#REF!="","",#REF!)</f>
        <v>#REF!</v>
      </c>
      <c r="G75" s="354" t="e">
        <f>IF(#REF!="","",#REF!)</f>
        <v>#REF!</v>
      </c>
      <c r="H75" s="354" t="e">
        <f>IF(#REF!="","",#REF!)</f>
        <v>#REF!</v>
      </c>
      <c r="I75" s="354" t="e">
        <f t="shared" ref="I75:I109" si="46">IF(AND(H75="",NOT(E75="")),"Unassigned",H75)</f>
        <v>#REF!</v>
      </c>
      <c r="J75" s="355" t="e">
        <f>IF(#REF!="","",#REF!)</f>
        <v>#REF!</v>
      </c>
      <c r="K75" s="355" t="e">
        <f>IF(#REF!="","",#REF!)</f>
        <v>#REF!</v>
      </c>
      <c r="L75" s="12" t="e">
        <f t="shared" ref="L75:L108" si="47">IF(E75="","",IF(AND(J75="",K75=""),$L$2,IF(NOT(K75=""),$L$3,$L$4)))</f>
        <v>#REF!</v>
      </c>
      <c r="M75" t="e">
        <f t="shared" ref="M75:M109" si="48">IF(N75="Yes",$O$2,IF(O75="Yes",$O$3,IF(P75="Yes",$O$4,"")))</f>
        <v>#REF!</v>
      </c>
      <c r="N75" t="e">
        <f t="shared" si="37"/>
        <v>#REF!</v>
      </c>
      <c r="O75" t="e">
        <f t="shared" si="38"/>
        <v>#REF!</v>
      </c>
      <c r="P75" t="e">
        <f t="shared" si="39"/>
        <v>#REF!</v>
      </c>
      <c r="Q75">
        <f>SUM($A$10:A75)</f>
        <v>2211</v>
      </c>
      <c r="S75" s="15" t="e">
        <f>IF(T75="","",RANK(T75,$T$10:$T$50,1)+COUNTIF(T$10:T75,T75)-1)</f>
        <v>#REF!</v>
      </c>
      <c r="T75" t="e">
        <f t="shared" ref="T75:T109" si="49">IF(U75="","",VLOOKUP(U75,$AD$10:$AG$50,4,FALSE))</f>
        <v>#REF!</v>
      </c>
      <c r="U75" t="e">
        <f t="shared" ref="U75:U109" si="50">IF(V75="","",VLOOKUP(V75,$C$10:$K$109,7,FALSE))</f>
        <v>#REF!</v>
      </c>
      <c r="V75" t="e">
        <f t="shared" ref="V75:V109" si="51">IF(Q75&lt;=SUM($C$10:$C$109),A75,"")</f>
        <v>#REF!</v>
      </c>
      <c r="W75" t="e">
        <f t="shared" ref="W75:W109" si="52">VLOOKUP(V75,$C$10:$K$109,2,FALSE)</f>
        <v>#REF!</v>
      </c>
      <c r="X75" t="e">
        <f t="shared" ref="X75:X109" si="53">IF($W75="","",VLOOKUP($W75,$E$10:$P$109,2,FALSE))</f>
        <v>#REF!</v>
      </c>
      <c r="Y75" t="e">
        <f t="shared" ref="Y75:Y109" si="54">IF($W75="","",VLOOKUP($W75,$E$10:$P$109,3,FALSE))</f>
        <v>#REF!</v>
      </c>
      <c r="Z75" t="e">
        <f t="shared" ref="Z75:Z109" si="55">IF($W75="","",VLOOKUP($W75,$E$10:$P$109,8,FALSE))</f>
        <v>#REF!</v>
      </c>
      <c r="AA75" t="e">
        <f t="shared" ref="AA75:AA109" si="56">IF($W75="","",VLOOKUP($W75,$E$10:$P$109,9,FALSE))</f>
        <v>#REF!</v>
      </c>
      <c r="AK75">
        <v>66</v>
      </c>
      <c r="AL75" t="e">
        <f t="shared" si="40"/>
        <v>#REF!</v>
      </c>
      <c r="AM75" t="e">
        <f t="shared" si="24"/>
        <v>#REF!</v>
      </c>
      <c r="AO75" t="e">
        <f t="shared" si="41"/>
        <v>#REF!</v>
      </c>
      <c r="AP75" t="e">
        <f t="shared" si="42"/>
        <v>#REF!</v>
      </c>
      <c r="AQ75" s="12" t="e">
        <f t="shared" si="43"/>
        <v>#REF!</v>
      </c>
      <c r="AR75" t="e">
        <f t="shared" si="44"/>
        <v>#REF!</v>
      </c>
      <c r="AW75"/>
    </row>
    <row r="76" spans="1:49">
      <c r="A76">
        <v>67</v>
      </c>
      <c r="B76" t="e">
        <f t="shared" si="35"/>
        <v>#REF!</v>
      </c>
      <c r="C76" t="e">
        <f t="shared" si="36"/>
        <v>#REF!</v>
      </c>
      <c r="D76" t="e">
        <f t="shared" si="45"/>
        <v>#REF!</v>
      </c>
      <c r="E76" s="354" t="e">
        <f>IF(#REF!="","",#REF!)</f>
        <v>#REF!</v>
      </c>
      <c r="F76" s="354" t="e">
        <f>IF(#REF!="","",#REF!)</f>
        <v>#REF!</v>
      </c>
      <c r="G76" s="354" t="e">
        <f>IF(#REF!="","",#REF!)</f>
        <v>#REF!</v>
      </c>
      <c r="H76" s="354" t="e">
        <f>IF(#REF!="","",#REF!)</f>
        <v>#REF!</v>
      </c>
      <c r="I76" s="354" t="e">
        <f t="shared" si="46"/>
        <v>#REF!</v>
      </c>
      <c r="J76" s="355" t="e">
        <f>IF(#REF!="","",#REF!)</f>
        <v>#REF!</v>
      </c>
      <c r="K76" s="355" t="e">
        <f>IF(#REF!="","",#REF!)</f>
        <v>#REF!</v>
      </c>
      <c r="L76" s="12" t="e">
        <f t="shared" si="47"/>
        <v>#REF!</v>
      </c>
      <c r="M76" t="e">
        <f t="shared" si="48"/>
        <v>#REF!</v>
      </c>
      <c r="N76" t="e">
        <f t="shared" si="37"/>
        <v>#REF!</v>
      </c>
      <c r="O76" t="e">
        <f t="shared" si="38"/>
        <v>#REF!</v>
      </c>
      <c r="P76" t="e">
        <f t="shared" si="39"/>
        <v>#REF!</v>
      </c>
      <c r="Q76">
        <f>SUM($A$10:A76)</f>
        <v>2278</v>
      </c>
      <c r="S76" s="15" t="e">
        <f>IF(T76="","",RANK(T76,$T$10:$T$50,1)+COUNTIF(T$10:T76,T76)-1)</f>
        <v>#REF!</v>
      </c>
      <c r="T76" t="e">
        <f t="shared" si="49"/>
        <v>#REF!</v>
      </c>
      <c r="U76" t="e">
        <f t="shared" si="50"/>
        <v>#REF!</v>
      </c>
      <c r="V76" t="e">
        <f t="shared" si="51"/>
        <v>#REF!</v>
      </c>
      <c r="W76" t="e">
        <f t="shared" si="52"/>
        <v>#REF!</v>
      </c>
      <c r="X76" t="e">
        <f t="shared" si="53"/>
        <v>#REF!</v>
      </c>
      <c r="Y76" t="e">
        <f t="shared" si="54"/>
        <v>#REF!</v>
      </c>
      <c r="Z76" t="e">
        <f t="shared" si="55"/>
        <v>#REF!</v>
      </c>
      <c r="AA76" t="e">
        <f t="shared" si="56"/>
        <v>#REF!</v>
      </c>
      <c r="AK76">
        <v>67</v>
      </c>
      <c r="AL76" t="e">
        <f t="shared" si="40"/>
        <v>#REF!</v>
      </c>
      <c r="AM76" t="e">
        <f t="shared" ref="AM76:AM109" si="57">IF(AL76="","",IF(AL76=AL75,"",AL76))</f>
        <v>#REF!</v>
      </c>
      <c r="AO76" t="e">
        <f t="shared" si="41"/>
        <v>#REF!</v>
      </c>
      <c r="AP76" t="e">
        <f t="shared" si="42"/>
        <v>#REF!</v>
      </c>
      <c r="AQ76" s="12" t="e">
        <f t="shared" si="43"/>
        <v>#REF!</v>
      </c>
      <c r="AR76" t="e">
        <f t="shared" si="44"/>
        <v>#REF!</v>
      </c>
      <c r="AW76"/>
    </row>
    <row r="77" spans="1:49">
      <c r="A77">
        <v>68</v>
      </c>
      <c r="B77" t="e">
        <f t="shared" si="35"/>
        <v>#REF!</v>
      </c>
      <c r="C77" t="e">
        <f t="shared" si="36"/>
        <v>#REF!</v>
      </c>
      <c r="D77" t="e">
        <f t="shared" si="45"/>
        <v>#REF!</v>
      </c>
      <c r="E77" s="354" t="e">
        <f>IF(#REF!="","",#REF!)</f>
        <v>#REF!</v>
      </c>
      <c r="F77" s="354" t="e">
        <f>IF(#REF!="","",#REF!)</f>
        <v>#REF!</v>
      </c>
      <c r="G77" s="354" t="e">
        <f>IF(#REF!="","",#REF!)</f>
        <v>#REF!</v>
      </c>
      <c r="H77" s="354" t="e">
        <f>IF(#REF!="","",#REF!)</f>
        <v>#REF!</v>
      </c>
      <c r="I77" s="354" t="e">
        <f t="shared" si="46"/>
        <v>#REF!</v>
      </c>
      <c r="J77" s="355" t="e">
        <f>IF(#REF!="","",#REF!)</f>
        <v>#REF!</v>
      </c>
      <c r="K77" s="355" t="e">
        <f>IF(#REF!="","",#REF!)</f>
        <v>#REF!</v>
      </c>
      <c r="L77" s="12" t="e">
        <f t="shared" si="47"/>
        <v>#REF!</v>
      </c>
      <c r="M77" t="e">
        <f t="shared" si="48"/>
        <v>#REF!</v>
      </c>
      <c r="N77" t="e">
        <f t="shared" si="37"/>
        <v>#REF!</v>
      </c>
      <c r="O77" t="e">
        <f t="shared" si="38"/>
        <v>#REF!</v>
      </c>
      <c r="P77" t="e">
        <f t="shared" si="39"/>
        <v>#REF!</v>
      </c>
      <c r="Q77">
        <f>SUM($A$10:A77)</f>
        <v>2346</v>
      </c>
      <c r="S77" s="15" t="e">
        <f>IF(T77="","",RANK(T77,$T$10:$T$50,1)+COUNTIF(T$10:T77,T77)-1)</f>
        <v>#REF!</v>
      </c>
      <c r="T77" t="e">
        <f t="shared" si="49"/>
        <v>#REF!</v>
      </c>
      <c r="U77" t="e">
        <f t="shared" si="50"/>
        <v>#REF!</v>
      </c>
      <c r="V77" t="e">
        <f t="shared" si="51"/>
        <v>#REF!</v>
      </c>
      <c r="W77" t="e">
        <f t="shared" si="52"/>
        <v>#REF!</v>
      </c>
      <c r="X77" t="e">
        <f t="shared" si="53"/>
        <v>#REF!</v>
      </c>
      <c r="Y77" t="e">
        <f t="shared" si="54"/>
        <v>#REF!</v>
      </c>
      <c r="Z77" t="e">
        <f t="shared" si="55"/>
        <v>#REF!</v>
      </c>
      <c r="AA77" t="e">
        <f t="shared" si="56"/>
        <v>#REF!</v>
      </c>
      <c r="AK77">
        <v>68</v>
      </c>
      <c r="AL77" t="e">
        <f t="shared" si="40"/>
        <v>#REF!</v>
      </c>
      <c r="AM77" t="e">
        <f t="shared" si="57"/>
        <v>#REF!</v>
      </c>
      <c r="AO77" t="e">
        <f t="shared" si="41"/>
        <v>#REF!</v>
      </c>
      <c r="AP77" t="e">
        <f t="shared" si="42"/>
        <v>#REF!</v>
      </c>
      <c r="AQ77" s="12" t="e">
        <f t="shared" si="43"/>
        <v>#REF!</v>
      </c>
      <c r="AR77" t="e">
        <f t="shared" si="44"/>
        <v>#REF!</v>
      </c>
      <c r="AW77"/>
    </row>
    <row r="78" spans="1:49">
      <c r="A78">
        <v>69</v>
      </c>
      <c r="B78" t="e">
        <f t="shared" si="35"/>
        <v>#REF!</v>
      </c>
      <c r="C78" t="e">
        <f t="shared" si="36"/>
        <v>#REF!</v>
      </c>
      <c r="D78" t="e">
        <f t="shared" si="45"/>
        <v>#REF!</v>
      </c>
      <c r="E78" s="354" t="e">
        <f>IF(#REF!="","",#REF!)</f>
        <v>#REF!</v>
      </c>
      <c r="F78" s="354" t="e">
        <f>IF(#REF!="","",#REF!)</f>
        <v>#REF!</v>
      </c>
      <c r="G78" s="354" t="e">
        <f>IF(#REF!="","",#REF!)</f>
        <v>#REF!</v>
      </c>
      <c r="H78" s="354" t="e">
        <f>IF(#REF!="","",#REF!)</f>
        <v>#REF!</v>
      </c>
      <c r="I78" s="354" t="e">
        <f t="shared" si="46"/>
        <v>#REF!</v>
      </c>
      <c r="J78" s="355" t="e">
        <f>IF(#REF!="","",#REF!)</f>
        <v>#REF!</v>
      </c>
      <c r="K78" s="355" t="e">
        <f>IF(#REF!="","",#REF!)</f>
        <v>#REF!</v>
      </c>
      <c r="L78" s="12" t="e">
        <f t="shared" si="47"/>
        <v>#REF!</v>
      </c>
      <c r="M78" t="e">
        <f t="shared" si="48"/>
        <v>#REF!</v>
      </c>
      <c r="N78" t="e">
        <f t="shared" si="37"/>
        <v>#REF!</v>
      </c>
      <c r="O78" t="e">
        <f t="shared" si="38"/>
        <v>#REF!</v>
      </c>
      <c r="P78" t="e">
        <f t="shared" si="39"/>
        <v>#REF!</v>
      </c>
      <c r="Q78">
        <f>SUM($A$10:A78)</f>
        <v>2415</v>
      </c>
      <c r="S78" s="15" t="e">
        <f>IF(T78="","",RANK(T78,$T$10:$T$50,1)+COUNTIF(T$10:T78,T78)-1)</f>
        <v>#REF!</v>
      </c>
      <c r="T78" t="e">
        <f t="shared" si="49"/>
        <v>#REF!</v>
      </c>
      <c r="U78" t="e">
        <f t="shared" si="50"/>
        <v>#REF!</v>
      </c>
      <c r="V78" t="e">
        <f t="shared" si="51"/>
        <v>#REF!</v>
      </c>
      <c r="W78" t="e">
        <f t="shared" si="52"/>
        <v>#REF!</v>
      </c>
      <c r="X78" t="e">
        <f t="shared" si="53"/>
        <v>#REF!</v>
      </c>
      <c r="Y78" t="e">
        <f t="shared" si="54"/>
        <v>#REF!</v>
      </c>
      <c r="Z78" t="e">
        <f t="shared" si="55"/>
        <v>#REF!</v>
      </c>
      <c r="AA78" t="e">
        <f t="shared" si="56"/>
        <v>#REF!</v>
      </c>
      <c r="AK78">
        <v>69</v>
      </c>
      <c r="AL78" t="e">
        <f t="shared" si="40"/>
        <v>#REF!</v>
      </c>
      <c r="AM78" t="e">
        <f t="shared" si="57"/>
        <v>#REF!</v>
      </c>
      <c r="AO78" t="e">
        <f t="shared" si="41"/>
        <v>#REF!</v>
      </c>
      <c r="AP78" t="e">
        <f t="shared" si="42"/>
        <v>#REF!</v>
      </c>
      <c r="AQ78" s="12" t="e">
        <f t="shared" si="43"/>
        <v>#REF!</v>
      </c>
      <c r="AR78" t="e">
        <f t="shared" si="44"/>
        <v>#REF!</v>
      </c>
      <c r="AW78"/>
    </row>
    <row r="79" spans="1:49">
      <c r="A79">
        <v>70</v>
      </c>
      <c r="B79" t="e">
        <f t="shared" si="35"/>
        <v>#REF!</v>
      </c>
      <c r="C79" t="e">
        <f t="shared" si="36"/>
        <v>#REF!</v>
      </c>
      <c r="D79" t="e">
        <f t="shared" si="45"/>
        <v>#REF!</v>
      </c>
      <c r="E79" s="354" t="e">
        <f>IF(#REF!="","",#REF!)</f>
        <v>#REF!</v>
      </c>
      <c r="F79" s="354" t="e">
        <f>IF(#REF!="","",#REF!)</f>
        <v>#REF!</v>
      </c>
      <c r="G79" s="354" t="e">
        <f>IF(#REF!="","",#REF!)</f>
        <v>#REF!</v>
      </c>
      <c r="H79" s="354" t="e">
        <f>IF(#REF!="","",#REF!)</f>
        <v>#REF!</v>
      </c>
      <c r="I79" s="354" t="e">
        <f t="shared" si="46"/>
        <v>#REF!</v>
      </c>
      <c r="J79" s="355" t="e">
        <f>IF(#REF!="","",#REF!)</f>
        <v>#REF!</v>
      </c>
      <c r="K79" s="355" t="e">
        <f>IF(#REF!="","",#REF!)</f>
        <v>#REF!</v>
      </c>
      <c r="L79" s="12" t="e">
        <f t="shared" si="47"/>
        <v>#REF!</v>
      </c>
      <c r="M79" t="e">
        <f t="shared" si="48"/>
        <v>#REF!</v>
      </c>
      <c r="N79" t="e">
        <f t="shared" si="37"/>
        <v>#REF!</v>
      </c>
      <c r="O79" t="e">
        <f t="shared" si="38"/>
        <v>#REF!</v>
      </c>
      <c r="P79" t="e">
        <f t="shared" si="39"/>
        <v>#REF!</v>
      </c>
      <c r="Q79">
        <f>SUM($A$10:A79)</f>
        <v>2485</v>
      </c>
      <c r="S79" s="15" t="e">
        <f>IF(T79="","",RANK(T79,$T$10:$T$50,1)+COUNTIF(T$10:T79,T79)-1)</f>
        <v>#REF!</v>
      </c>
      <c r="T79" t="e">
        <f t="shared" si="49"/>
        <v>#REF!</v>
      </c>
      <c r="U79" t="e">
        <f t="shared" si="50"/>
        <v>#REF!</v>
      </c>
      <c r="V79" t="e">
        <f t="shared" si="51"/>
        <v>#REF!</v>
      </c>
      <c r="W79" t="e">
        <f t="shared" si="52"/>
        <v>#REF!</v>
      </c>
      <c r="X79" t="e">
        <f t="shared" si="53"/>
        <v>#REF!</v>
      </c>
      <c r="Y79" t="e">
        <f t="shared" si="54"/>
        <v>#REF!</v>
      </c>
      <c r="Z79" t="e">
        <f t="shared" si="55"/>
        <v>#REF!</v>
      </c>
      <c r="AA79" t="e">
        <f t="shared" si="56"/>
        <v>#REF!</v>
      </c>
      <c r="AK79">
        <v>70</v>
      </c>
      <c r="AL79" t="e">
        <f t="shared" si="40"/>
        <v>#REF!</v>
      </c>
      <c r="AM79" t="e">
        <f t="shared" si="57"/>
        <v>#REF!</v>
      </c>
      <c r="AO79" t="e">
        <f t="shared" si="41"/>
        <v>#REF!</v>
      </c>
      <c r="AP79" t="e">
        <f t="shared" si="42"/>
        <v>#REF!</v>
      </c>
      <c r="AQ79" s="12" t="e">
        <f t="shared" si="43"/>
        <v>#REF!</v>
      </c>
      <c r="AR79" t="e">
        <f t="shared" si="44"/>
        <v>#REF!</v>
      </c>
      <c r="AW79"/>
    </row>
    <row r="80" spans="1:49">
      <c r="A80">
        <v>71</v>
      </c>
      <c r="B80" t="e">
        <f t="shared" si="35"/>
        <v>#REF!</v>
      </c>
      <c r="C80" t="e">
        <f t="shared" si="36"/>
        <v>#REF!</v>
      </c>
      <c r="D80" t="e">
        <f t="shared" si="45"/>
        <v>#REF!</v>
      </c>
      <c r="E80" s="354" t="e">
        <f>IF(#REF!="","",#REF!)</f>
        <v>#REF!</v>
      </c>
      <c r="F80" s="354" t="e">
        <f>IF(#REF!="","",#REF!)</f>
        <v>#REF!</v>
      </c>
      <c r="G80" s="354" t="e">
        <f>IF(#REF!="","",#REF!)</f>
        <v>#REF!</v>
      </c>
      <c r="H80" s="354" t="e">
        <f>IF(#REF!="","",#REF!)</f>
        <v>#REF!</v>
      </c>
      <c r="I80" s="354" t="e">
        <f t="shared" si="46"/>
        <v>#REF!</v>
      </c>
      <c r="J80" s="355" t="e">
        <f>IF(#REF!="","",#REF!)</f>
        <v>#REF!</v>
      </c>
      <c r="K80" s="355" t="e">
        <f>IF(#REF!="","",#REF!)</f>
        <v>#REF!</v>
      </c>
      <c r="L80" s="12" t="e">
        <f t="shared" si="47"/>
        <v>#REF!</v>
      </c>
      <c r="M80" t="e">
        <f t="shared" si="48"/>
        <v>#REF!</v>
      </c>
      <c r="N80" t="e">
        <f t="shared" si="37"/>
        <v>#REF!</v>
      </c>
      <c r="O80" t="e">
        <f t="shared" si="38"/>
        <v>#REF!</v>
      </c>
      <c r="P80" t="e">
        <f t="shared" si="39"/>
        <v>#REF!</v>
      </c>
      <c r="Q80">
        <f>SUM($A$10:A80)</f>
        <v>2556</v>
      </c>
      <c r="S80" s="15" t="e">
        <f>IF(T80="","",RANK(T80,$T$10:$T$50,1)+COUNTIF(T$10:T80,T80)-1)</f>
        <v>#REF!</v>
      </c>
      <c r="T80" t="e">
        <f t="shared" si="49"/>
        <v>#REF!</v>
      </c>
      <c r="U80" t="e">
        <f t="shared" si="50"/>
        <v>#REF!</v>
      </c>
      <c r="V80" t="e">
        <f t="shared" si="51"/>
        <v>#REF!</v>
      </c>
      <c r="W80" t="e">
        <f t="shared" si="52"/>
        <v>#REF!</v>
      </c>
      <c r="X80" t="e">
        <f t="shared" si="53"/>
        <v>#REF!</v>
      </c>
      <c r="Y80" t="e">
        <f t="shared" si="54"/>
        <v>#REF!</v>
      </c>
      <c r="Z80" t="e">
        <f t="shared" si="55"/>
        <v>#REF!</v>
      </c>
      <c r="AA80" t="e">
        <f t="shared" si="56"/>
        <v>#REF!</v>
      </c>
      <c r="AK80">
        <v>71</v>
      </c>
      <c r="AL80" t="e">
        <f t="shared" si="40"/>
        <v>#REF!</v>
      </c>
      <c r="AM80" t="e">
        <f t="shared" si="57"/>
        <v>#REF!</v>
      </c>
      <c r="AO80" t="e">
        <f t="shared" si="41"/>
        <v>#REF!</v>
      </c>
      <c r="AP80" t="e">
        <f t="shared" si="42"/>
        <v>#REF!</v>
      </c>
      <c r="AQ80" s="12" t="e">
        <f t="shared" si="43"/>
        <v>#REF!</v>
      </c>
      <c r="AR80" t="e">
        <f t="shared" si="44"/>
        <v>#REF!</v>
      </c>
      <c r="AW80"/>
    </row>
    <row r="81" spans="1:49">
      <c r="A81">
        <v>72</v>
      </c>
      <c r="B81" t="e">
        <f t="shared" si="35"/>
        <v>#REF!</v>
      </c>
      <c r="C81" t="e">
        <f t="shared" si="36"/>
        <v>#REF!</v>
      </c>
      <c r="D81" t="e">
        <f t="shared" si="45"/>
        <v>#REF!</v>
      </c>
      <c r="E81" s="354" t="e">
        <f>IF(#REF!="","",#REF!)</f>
        <v>#REF!</v>
      </c>
      <c r="F81" s="354" t="e">
        <f>IF(#REF!="","",#REF!)</f>
        <v>#REF!</v>
      </c>
      <c r="G81" s="354" t="e">
        <f>IF(#REF!="","",#REF!)</f>
        <v>#REF!</v>
      </c>
      <c r="H81" s="354" t="e">
        <f>IF(#REF!="","",#REF!)</f>
        <v>#REF!</v>
      </c>
      <c r="I81" s="354" t="e">
        <f t="shared" si="46"/>
        <v>#REF!</v>
      </c>
      <c r="J81" s="355" t="e">
        <f>IF(#REF!="","",#REF!)</f>
        <v>#REF!</v>
      </c>
      <c r="K81" s="355" t="e">
        <f>IF(#REF!="","",#REF!)</f>
        <v>#REF!</v>
      </c>
      <c r="L81" s="12" t="e">
        <f t="shared" si="47"/>
        <v>#REF!</v>
      </c>
      <c r="M81" t="e">
        <f t="shared" si="48"/>
        <v>#REF!</v>
      </c>
      <c r="N81" t="e">
        <f t="shared" si="37"/>
        <v>#REF!</v>
      </c>
      <c r="O81" t="e">
        <f t="shared" si="38"/>
        <v>#REF!</v>
      </c>
      <c r="P81" t="e">
        <f t="shared" si="39"/>
        <v>#REF!</v>
      </c>
      <c r="Q81">
        <f>SUM($A$10:A81)</f>
        <v>2628</v>
      </c>
      <c r="S81" s="15" t="e">
        <f>IF(T81="","",RANK(T81,$T$10:$T$50,1)+COUNTIF(T$10:T81,T81)-1)</f>
        <v>#REF!</v>
      </c>
      <c r="T81" t="e">
        <f t="shared" si="49"/>
        <v>#REF!</v>
      </c>
      <c r="U81" t="e">
        <f t="shared" si="50"/>
        <v>#REF!</v>
      </c>
      <c r="V81" t="e">
        <f t="shared" si="51"/>
        <v>#REF!</v>
      </c>
      <c r="W81" t="e">
        <f t="shared" si="52"/>
        <v>#REF!</v>
      </c>
      <c r="X81" t="e">
        <f t="shared" si="53"/>
        <v>#REF!</v>
      </c>
      <c r="Y81" t="e">
        <f t="shared" si="54"/>
        <v>#REF!</v>
      </c>
      <c r="Z81" t="e">
        <f t="shared" si="55"/>
        <v>#REF!</v>
      </c>
      <c r="AA81" t="e">
        <f t="shared" si="56"/>
        <v>#REF!</v>
      </c>
      <c r="AK81">
        <v>72</v>
      </c>
      <c r="AL81" t="e">
        <f t="shared" si="40"/>
        <v>#REF!</v>
      </c>
      <c r="AM81" t="e">
        <f t="shared" si="57"/>
        <v>#REF!</v>
      </c>
      <c r="AO81" t="e">
        <f t="shared" si="41"/>
        <v>#REF!</v>
      </c>
      <c r="AP81" t="e">
        <f t="shared" si="42"/>
        <v>#REF!</v>
      </c>
      <c r="AQ81" s="12" t="e">
        <f t="shared" si="43"/>
        <v>#REF!</v>
      </c>
      <c r="AR81" t="e">
        <f t="shared" si="44"/>
        <v>#REF!</v>
      </c>
      <c r="AW81"/>
    </row>
    <row r="82" spans="1:49">
      <c r="A82">
        <v>73</v>
      </c>
      <c r="B82" t="e">
        <f t="shared" si="35"/>
        <v>#REF!</v>
      </c>
      <c r="C82" t="e">
        <f t="shared" si="36"/>
        <v>#REF!</v>
      </c>
      <c r="D82" t="e">
        <f t="shared" si="45"/>
        <v>#REF!</v>
      </c>
      <c r="E82" s="354" t="e">
        <f>IF(#REF!="","",#REF!)</f>
        <v>#REF!</v>
      </c>
      <c r="F82" s="354" t="e">
        <f>IF(#REF!="","",#REF!)</f>
        <v>#REF!</v>
      </c>
      <c r="G82" s="354" t="e">
        <f>IF(#REF!="","",#REF!)</f>
        <v>#REF!</v>
      </c>
      <c r="H82" s="354" t="e">
        <f>IF(#REF!="","",#REF!)</f>
        <v>#REF!</v>
      </c>
      <c r="I82" s="354" t="e">
        <f t="shared" si="46"/>
        <v>#REF!</v>
      </c>
      <c r="J82" s="355" t="e">
        <f>IF(#REF!="","",#REF!)</f>
        <v>#REF!</v>
      </c>
      <c r="K82" s="355" t="e">
        <f>IF(#REF!="","",#REF!)</f>
        <v>#REF!</v>
      </c>
      <c r="L82" s="12" t="e">
        <f t="shared" si="47"/>
        <v>#REF!</v>
      </c>
      <c r="M82" t="e">
        <f t="shared" si="48"/>
        <v>#REF!</v>
      </c>
      <c r="N82" t="e">
        <f t="shared" si="37"/>
        <v>#REF!</v>
      </c>
      <c r="O82" t="e">
        <f t="shared" si="38"/>
        <v>#REF!</v>
      </c>
      <c r="P82" t="e">
        <f t="shared" si="39"/>
        <v>#REF!</v>
      </c>
      <c r="Q82">
        <f>SUM($A$10:A82)</f>
        <v>2701</v>
      </c>
      <c r="S82" s="15" t="e">
        <f>IF(T82="","",RANK(T82,$T$10:$T$50,1)+COUNTIF(T$10:T82,T82)-1)</f>
        <v>#REF!</v>
      </c>
      <c r="T82" t="e">
        <f t="shared" si="49"/>
        <v>#REF!</v>
      </c>
      <c r="U82" t="e">
        <f t="shared" si="50"/>
        <v>#REF!</v>
      </c>
      <c r="V82" t="e">
        <f t="shared" si="51"/>
        <v>#REF!</v>
      </c>
      <c r="W82" t="e">
        <f t="shared" si="52"/>
        <v>#REF!</v>
      </c>
      <c r="X82" t="e">
        <f t="shared" si="53"/>
        <v>#REF!</v>
      </c>
      <c r="Y82" t="e">
        <f t="shared" si="54"/>
        <v>#REF!</v>
      </c>
      <c r="Z82" t="e">
        <f t="shared" si="55"/>
        <v>#REF!</v>
      </c>
      <c r="AA82" t="e">
        <f t="shared" si="56"/>
        <v>#REF!</v>
      </c>
      <c r="AK82">
        <v>73</v>
      </c>
      <c r="AL82" t="e">
        <f t="shared" si="40"/>
        <v>#REF!</v>
      </c>
      <c r="AM82" t="e">
        <f t="shared" si="57"/>
        <v>#REF!</v>
      </c>
      <c r="AO82" t="e">
        <f t="shared" si="41"/>
        <v>#REF!</v>
      </c>
      <c r="AP82" t="e">
        <f t="shared" si="42"/>
        <v>#REF!</v>
      </c>
      <c r="AQ82" s="12" t="e">
        <f t="shared" si="43"/>
        <v>#REF!</v>
      </c>
      <c r="AR82" t="e">
        <f t="shared" si="44"/>
        <v>#REF!</v>
      </c>
      <c r="AW82"/>
    </row>
    <row r="83" spans="1:49">
      <c r="A83">
        <v>74</v>
      </c>
      <c r="B83" t="e">
        <f t="shared" si="35"/>
        <v>#REF!</v>
      </c>
      <c r="C83" t="e">
        <f t="shared" si="36"/>
        <v>#REF!</v>
      </c>
      <c r="D83" t="e">
        <f t="shared" si="45"/>
        <v>#REF!</v>
      </c>
      <c r="E83" s="354" t="e">
        <f>IF(#REF!="","",#REF!)</f>
        <v>#REF!</v>
      </c>
      <c r="F83" s="354" t="e">
        <f>IF(#REF!="","",#REF!)</f>
        <v>#REF!</v>
      </c>
      <c r="G83" s="354" t="e">
        <f>IF(#REF!="","",#REF!)</f>
        <v>#REF!</v>
      </c>
      <c r="H83" s="354" t="e">
        <f>IF(#REF!="","",#REF!)</f>
        <v>#REF!</v>
      </c>
      <c r="I83" s="354" t="e">
        <f t="shared" si="46"/>
        <v>#REF!</v>
      </c>
      <c r="J83" s="355" t="e">
        <f>IF(#REF!="","",#REF!)</f>
        <v>#REF!</v>
      </c>
      <c r="K83" s="355" t="e">
        <f>IF(#REF!="","",#REF!)</f>
        <v>#REF!</v>
      </c>
      <c r="L83" s="12" t="e">
        <f t="shared" si="47"/>
        <v>#REF!</v>
      </c>
      <c r="M83" t="e">
        <f t="shared" si="48"/>
        <v>#REF!</v>
      </c>
      <c r="N83" t="e">
        <f t="shared" si="37"/>
        <v>#REF!</v>
      </c>
      <c r="O83" t="e">
        <f t="shared" si="38"/>
        <v>#REF!</v>
      </c>
      <c r="P83" t="e">
        <f t="shared" si="39"/>
        <v>#REF!</v>
      </c>
      <c r="Q83">
        <f>SUM($A$10:A83)</f>
        <v>2775</v>
      </c>
      <c r="S83" s="15" t="e">
        <f>IF(T83="","",RANK(T83,$T$10:$T$50,1)+COUNTIF(T$10:T83,T83)-1)</f>
        <v>#REF!</v>
      </c>
      <c r="T83" t="e">
        <f t="shared" si="49"/>
        <v>#REF!</v>
      </c>
      <c r="U83" t="e">
        <f t="shared" si="50"/>
        <v>#REF!</v>
      </c>
      <c r="V83" t="e">
        <f t="shared" si="51"/>
        <v>#REF!</v>
      </c>
      <c r="W83" t="e">
        <f t="shared" si="52"/>
        <v>#REF!</v>
      </c>
      <c r="X83" t="e">
        <f t="shared" si="53"/>
        <v>#REF!</v>
      </c>
      <c r="Y83" t="e">
        <f t="shared" si="54"/>
        <v>#REF!</v>
      </c>
      <c r="Z83" t="e">
        <f t="shared" si="55"/>
        <v>#REF!</v>
      </c>
      <c r="AA83" t="e">
        <f t="shared" si="56"/>
        <v>#REF!</v>
      </c>
      <c r="AK83">
        <v>74</v>
      </c>
      <c r="AL83" t="e">
        <f t="shared" si="40"/>
        <v>#REF!</v>
      </c>
      <c r="AM83" t="e">
        <f t="shared" si="57"/>
        <v>#REF!</v>
      </c>
      <c r="AO83" t="e">
        <f t="shared" si="41"/>
        <v>#REF!</v>
      </c>
      <c r="AP83" t="e">
        <f t="shared" si="42"/>
        <v>#REF!</v>
      </c>
      <c r="AQ83" s="12" t="e">
        <f t="shared" si="43"/>
        <v>#REF!</v>
      </c>
      <c r="AR83" t="e">
        <f t="shared" si="44"/>
        <v>#REF!</v>
      </c>
      <c r="AW83"/>
    </row>
    <row r="84" spans="1:49">
      <c r="A84">
        <v>75</v>
      </c>
      <c r="B84" t="e">
        <f t="shared" si="35"/>
        <v>#REF!</v>
      </c>
      <c r="C84" t="e">
        <f t="shared" si="36"/>
        <v>#REF!</v>
      </c>
      <c r="D84" t="e">
        <f t="shared" si="45"/>
        <v>#REF!</v>
      </c>
      <c r="E84" s="354" t="e">
        <f>IF(#REF!="","",#REF!)</f>
        <v>#REF!</v>
      </c>
      <c r="F84" s="354" t="e">
        <f>IF(#REF!="","",#REF!)</f>
        <v>#REF!</v>
      </c>
      <c r="G84" s="354" t="e">
        <f>IF(#REF!="","",#REF!)</f>
        <v>#REF!</v>
      </c>
      <c r="H84" s="354" t="e">
        <f>IF(#REF!="","",#REF!)</f>
        <v>#REF!</v>
      </c>
      <c r="I84" s="354" t="e">
        <f t="shared" si="46"/>
        <v>#REF!</v>
      </c>
      <c r="J84" s="355" t="e">
        <f>IF(#REF!="","",#REF!)</f>
        <v>#REF!</v>
      </c>
      <c r="K84" s="355" t="e">
        <f>IF(#REF!="","",#REF!)</f>
        <v>#REF!</v>
      </c>
      <c r="L84" s="12" t="e">
        <f t="shared" si="47"/>
        <v>#REF!</v>
      </c>
      <c r="M84" t="e">
        <f t="shared" si="48"/>
        <v>#REF!</v>
      </c>
      <c r="N84" t="e">
        <f t="shared" si="37"/>
        <v>#REF!</v>
      </c>
      <c r="O84" t="e">
        <f t="shared" si="38"/>
        <v>#REF!</v>
      </c>
      <c r="P84" t="e">
        <f t="shared" si="39"/>
        <v>#REF!</v>
      </c>
      <c r="Q84">
        <f>SUM($A$10:A84)</f>
        <v>2850</v>
      </c>
      <c r="S84" s="15" t="e">
        <f>IF(T84="","",RANK(T84,$T$10:$T$50,1)+COUNTIF(T$10:T84,T84)-1)</f>
        <v>#REF!</v>
      </c>
      <c r="T84" t="e">
        <f t="shared" si="49"/>
        <v>#REF!</v>
      </c>
      <c r="U84" t="e">
        <f t="shared" si="50"/>
        <v>#REF!</v>
      </c>
      <c r="V84" t="e">
        <f t="shared" si="51"/>
        <v>#REF!</v>
      </c>
      <c r="W84" t="e">
        <f t="shared" si="52"/>
        <v>#REF!</v>
      </c>
      <c r="X84" t="e">
        <f t="shared" si="53"/>
        <v>#REF!</v>
      </c>
      <c r="Y84" t="e">
        <f t="shared" si="54"/>
        <v>#REF!</v>
      </c>
      <c r="Z84" t="e">
        <f t="shared" si="55"/>
        <v>#REF!</v>
      </c>
      <c r="AA84" t="e">
        <f t="shared" si="56"/>
        <v>#REF!</v>
      </c>
      <c r="AK84">
        <v>75</v>
      </c>
      <c r="AL84" t="e">
        <f t="shared" si="40"/>
        <v>#REF!</v>
      </c>
      <c r="AM84" t="e">
        <f t="shared" si="57"/>
        <v>#REF!</v>
      </c>
      <c r="AO84" t="e">
        <f t="shared" si="41"/>
        <v>#REF!</v>
      </c>
      <c r="AP84" t="e">
        <f t="shared" si="42"/>
        <v>#REF!</v>
      </c>
      <c r="AQ84" s="12" t="e">
        <f t="shared" si="43"/>
        <v>#REF!</v>
      </c>
      <c r="AR84" t="e">
        <f t="shared" si="44"/>
        <v>#REF!</v>
      </c>
      <c r="AW84"/>
    </row>
    <row r="85" spans="1:49">
      <c r="A85">
        <v>76</v>
      </c>
      <c r="B85" t="e">
        <f t="shared" si="35"/>
        <v>#REF!</v>
      </c>
      <c r="C85" t="e">
        <f t="shared" si="36"/>
        <v>#REF!</v>
      </c>
      <c r="D85" t="e">
        <f t="shared" si="45"/>
        <v>#REF!</v>
      </c>
      <c r="E85" s="354" t="e">
        <f>IF(#REF!="","",#REF!)</f>
        <v>#REF!</v>
      </c>
      <c r="F85" s="354" t="e">
        <f>IF(#REF!="","",#REF!)</f>
        <v>#REF!</v>
      </c>
      <c r="G85" s="354" t="e">
        <f>IF(#REF!="","",#REF!)</f>
        <v>#REF!</v>
      </c>
      <c r="H85" s="354" t="e">
        <f>IF(#REF!="","",#REF!)</f>
        <v>#REF!</v>
      </c>
      <c r="I85" s="354" t="e">
        <f t="shared" si="46"/>
        <v>#REF!</v>
      </c>
      <c r="J85" s="355" t="e">
        <f>IF(#REF!="","",#REF!)</f>
        <v>#REF!</v>
      </c>
      <c r="K85" s="355" t="e">
        <f>IF(#REF!="","",#REF!)</f>
        <v>#REF!</v>
      </c>
      <c r="L85" s="12" t="e">
        <f t="shared" si="47"/>
        <v>#REF!</v>
      </c>
      <c r="M85" t="e">
        <f t="shared" si="48"/>
        <v>#REF!</v>
      </c>
      <c r="N85" t="e">
        <f t="shared" si="37"/>
        <v>#REF!</v>
      </c>
      <c r="O85" t="e">
        <f t="shared" si="38"/>
        <v>#REF!</v>
      </c>
      <c r="P85" t="e">
        <f t="shared" si="39"/>
        <v>#REF!</v>
      </c>
      <c r="Q85">
        <f>SUM($A$10:A85)</f>
        <v>2926</v>
      </c>
      <c r="S85" s="15" t="e">
        <f>IF(T85="","",RANK(T85,$T$10:$T$50,1)+COUNTIF(T$10:T85,T85)-1)</f>
        <v>#REF!</v>
      </c>
      <c r="T85" t="e">
        <f t="shared" si="49"/>
        <v>#REF!</v>
      </c>
      <c r="U85" t="e">
        <f t="shared" si="50"/>
        <v>#REF!</v>
      </c>
      <c r="V85" t="e">
        <f t="shared" si="51"/>
        <v>#REF!</v>
      </c>
      <c r="W85" t="e">
        <f t="shared" si="52"/>
        <v>#REF!</v>
      </c>
      <c r="X85" t="e">
        <f t="shared" si="53"/>
        <v>#REF!</v>
      </c>
      <c r="Y85" t="e">
        <f t="shared" si="54"/>
        <v>#REF!</v>
      </c>
      <c r="Z85" t="e">
        <f t="shared" si="55"/>
        <v>#REF!</v>
      </c>
      <c r="AA85" t="e">
        <f t="shared" si="56"/>
        <v>#REF!</v>
      </c>
      <c r="AK85">
        <v>76</v>
      </c>
      <c r="AL85" t="e">
        <f t="shared" si="40"/>
        <v>#REF!</v>
      </c>
      <c r="AM85" t="e">
        <f t="shared" si="57"/>
        <v>#REF!</v>
      </c>
      <c r="AO85" t="e">
        <f t="shared" si="41"/>
        <v>#REF!</v>
      </c>
      <c r="AP85" t="e">
        <f t="shared" si="42"/>
        <v>#REF!</v>
      </c>
      <c r="AQ85" s="12" t="e">
        <f t="shared" si="43"/>
        <v>#REF!</v>
      </c>
      <c r="AR85" t="e">
        <f t="shared" si="44"/>
        <v>#REF!</v>
      </c>
      <c r="AW85"/>
    </row>
    <row r="86" spans="1:49">
      <c r="A86">
        <v>77</v>
      </c>
      <c r="B86" t="e">
        <f t="shared" si="35"/>
        <v>#REF!</v>
      </c>
      <c r="C86" t="e">
        <f t="shared" si="36"/>
        <v>#REF!</v>
      </c>
      <c r="D86" t="e">
        <f t="shared" si="45"/>
        <v>#REF!</v>
      </c>
      <c r="E86" s="354" t="e">
        <f>IF(#REF!="","",#REF!)</f>
        <v>#REF!</v>
      </c>
      <c r="F86" s="354" t="e">
        <f>IF(#REF!="","",#REF!)</f>
        <v>#REF!</v>
      </c>
      <c r="G86" s="354" t="e">
        <f>IF(#REF!="","",#REF!)</f>
        <v>#REF!</v>
      </c>
      <c r="H86" s="354" t="e">
        <f>IF(#REF!="","",#REF!)</f>
        <v>#REF!</v>
      </c>
      <c r="I86" s="354" t="e">
        <f t="shared" si="46"/>
        <v>#REF!</v>
      </c>
      <c r="J86" s="355" t="e">
        <f>IF(#REF!="","",#REF!)</f>
        <v>#REF!</v>
      </c>
      <c r="K86" s="355" t="e">
        <f>IF(#REF!="","",#REF!)</f>
        <v>#REF!</v>
      </c>
      <c r="L86" s="12" t="e">
        <f t="shared" si="47"/>
        <v>#REF!</v>
      </c>
      <c r="M86" t="e">
        <f t="shared" si="48"/>
        <v>#REF!</v>
      </c>
      <c r="N86" t="e">
        <f t="shared" si="37"/>
        <v>#REF!</v>
      </c>
      <c r="O86" t="e">
        <f t="shared" si="38"/>
        <v>#REF!</v>
      </c>
      <c r="P86" t="e">
        <f t="shared" si="39"/>
        <v>#REF!</v>
      </c>
      <c r="Q86">
        <f>SUM($A$10:A86)</f>
        <v>3003</v>
      </c>
      <c r="S86" s="15" t="e">
        <f>IF(T86="","",RANK(T86,$T$10:$T$50,1)+COUNTIF(T$10:T86,T86)-1)</f>
        <v>#REF!</v>
      </c>
      <c r="T86" t="e">
        <f t="shared" si="49"/>
        <v>#REF!</v>
      </c>
      <c r="U86" t="e">
        <f t="shared" si="50"/>
        <v>#REF!</v>
      </c>
      <c r="V86" t="e">
        <f t="shared" si="51"/>
        <v>#REF!</v>
      </c>
      <c r="W86" t="e">
        <f t="shared" si="52"/>
        <v>#REF!</v>
      </c>
      <c r="X86" t="e">
        <f t="shared" si="53"/>
        <v>#REF!</v>
      </c>
      <c r="Y86" t="e">
        <f t="shared" si="54"/>
        <v>#REF!</v>
      </c>
      <c r="Z86" t="e">
        <f t="shared" si="55"/>
        <v>#REF!</v>
      </c>
      <c r="AA86" t="e">
        <f t="shared" si="56"/>
        <v>#REF!</v>
      </c>
      <c r="AK86">
        <v>77</v>
      </c>
      <c r="AL86" t="e">
        <f t="shared" si="40"/>
        <v>#REF!</v>
      </c>
      <c r="AM86" t="e">
        <f t="shared" si="57"/>
        <v>#REF!</v>
      </c>
      <c r="AO86" t="e">
        <f t="shared" si="41"/>
        <v>#REF!</v>
      </c>
      <c r="AP86" t="e">
        <f t="shared" si="42"/>
        <v>#REF!</v>
      </c>
      <c r="AQ86" s="12" t="e">
        <f t="shared" si="43"/>
        <v>#REF!</v>
      </c>
      <c r="AR86" t="e">
        <f t="shared" si="44"/>
        <v>#REF!</v>
      </c>
      <c r="AW86"/>
    </row>
    <row r="87" spans="1:49">
      <c r="A87">
        <v>78</v>
      </c>
      <c r="B87" t="e">
        <f t="shared" si="35"/>
        <v>#REF!</v>
      </c>
      <c r="C87" t="e">
        <f t="shared" si="36"/>
        <v>#REF!</v>
      </c>
      <c r="D87" t="e">
        <f t="shared" si="45"/>
        <v>#REF!</v>
      </c>
      <c r="E87" s="354" t="e">
        <f>IF(#REF!="","",#REF!)</f>
        <v>#REF!</v>
      </c>
      <c r="F87" s="354" t="e">
        <f>IF(#REF!="","",#REF!)</f>
        <v>#REF!</v>
      </c>
      <c r="G87" s="354" t="e">
        <f>IF(#REF!="","",#REF!)</f>
        <v>#REF!</v>
      </c>
      <c r="H87" s="354" t="e">
        <f>IF(#REF!="","",#REF!)</f>
        <v>#REF!</v>
      </c>
      <c r="I87" s="354" t="e">
        <f t="shared" si="46"/>
        <v>#REF!</v>
      </c>
      <c r="J87" s="355" t="e">
        <f>IF(#REF!="","",#REF!)</f>
        <v>#REF!</v>
      </c>
      <c r="K87" s="355" t="e">
        <f>IF(#REF!="","",#REF!)</f>
        <v>#REF!</v>
      </c>
      <c r="L87" s="12" t="e">
        <f t="shared" si="47"/>
        <v>#REF!</v>
      </c>
      <c r="M87" t="e">
        <f t="shared" si="48"/>
        <v>#REF!</v>
      </c>
      <c r="N87" t="e">
        <f t="shared" si="37"/>
        <v>#REF!</v>
      </c>
      <c r="O87" t="e">
        <f t="shared" si="38"/>
        <v>#REF!</v>
      </c>
      <c r="P87" t="e">
        <f t="shared" si="39"/>
        <v>#REF!</v>
      </c>
      <c r="Q87">
        <f>SUM($A$10:A87)</f>
        <v>3081</v>
      </c>
      <c r="S87" s="15" t="e">
        <f>IF(T87="","",RANK(T87,$T$10:$T$50,1)+COUNTIF(T$10:T87,T87)-1)</f>
        <v>#REF!</v>
      </c>
      <c r="T87" t="e">
        <f t="shared" si="49"/>
        <v>#REF!</v>
      </c>
      <c r="U87" t="e">
        <f t="shared" si="50"/>
        <v>#REF!</v>
      </c>
      <c r="V87" t="e">
        <f t="shared" si="51"/>
        <v>#REF!</v>
      </c>
      <c r="W87" t="e">
        <f t="shared" si="52"/>
        <v>#REF!</v>
      </c>
      <c r="X87" t="e">
        <f t="shared" si="53"/>
        <v>#REF!</v>
      </c>
      <c r="Y87" t="e">
        <f t="shared" si="54"/>
        <v>#REF!</v>
      </c>
      <c r="Z87" t="e">
        <f t="shared" si="55"/>
        <v>#REF!</v>
      </c>
      <c r="AA87" t="e">
        <f t="shared" si="56"/>
        <v>#REF!</v>
      </c>
      <c r="AK87">
        <v>78</v>
      </c>
      <c r="AL87" t="e">
        <f t="shared" si="40"/>
        <v>#REF!</v>
      </c>
      <c r="AM87" t="e">
        <f t="shared" si="57"/>
        <v>#REF!</v>
      </c>
      <c r="AO87" t="e">
        <f t="shared" si="41"/>
        <v>#REF!</v>
      </c>
      <c r="AP87" t="e">
        <f t="shared" si="42"/>
        <v>#REF!</v>
      </c>
      <c r="AQ87" s="12" t="e">
        <f t="shared" si="43"/>
        <v>#REF!</v>
      </c>
      <c r="AR87" t="e">
        <f t="shared" si="44"/>
        <v>#REF!</v>
      </c>
      <c r="AW87"/>
    </row>
    <row r="88" spans="1:49">
      <c r="A88">
        <v>79</v>
      </c>
      <c r="B88" t="e">
        <f t="shared" si="35"/>
        <v>#REF!</v>
      </c>
      <c r="C88" t="e">
        <f t="shared" si="36"/>
        <v>#REF!</v>
      </c>
      <c r="D88" t="e">
        <f t="shared" si="45"/>
        <v>#REF!</v>
      </c>
      <c r="E88" s="354" t="e">
        <f>IF(#REF!="","",#REF!)</f>
        <v>#REF!</v>
      </c>
      <c r="F88" s="354" t="e">
        <f>IF(#REF!="","",#REF!)</f>
        <v>#REF!</v>
      </c>
      <c r="G88" s="354" t="e">
        <f>IF(#REF!="","",#REF!)</f>
        <v>#REF!</v>
      </c>
      <c r="H88" s="354" t="e">
        <f>IF(#REF!="","",#REF!)</f>
        <v>#REF!</v>
      </c>
      <c r="I88" s="354" t="e">
        <f t="shared" si="46"/>
        <v>#REF!</v>
      </c>
      <c r="J88" s="355" t="e">
        <f>IF(#REF!="","",#REF!)</f>
        <v>#REF!</v>
      </c>
      <c r="K88" s="355" t="e">
        <f>IF(#REF!="","",#REF!)</f>
        <v>#REF!</v>
      </c>
      <c r="L88" s="12" t="e">
        <f t="shared" si="47"/>
        <v>#REF!</v>
      </c>
      <c r="M88" t="e">
        <f t="shared" si="48"/>
        <v>#REF!</v>
      </c>
      <c r="N88" t="e">
        <f t="shared" si="37"/>
        <v>#REF!</v>
      </c>
      <c r="O88" t="e">
        <f t="shared" si="38"/>
        <v>#REF!</v>
      </c>
      <c r="P88" t="e">
        <f t="shared" si="39"/>
        <v>#REF!</v>
      </c>
      <c r="Q88">
        <f>SUM($A$10:A88)</f>
        <v>3160</v>
      </c>
      <c r="S88" s="15" t="e">
        <f>IF(T88="","",RANK(T88,$T$10:$T$50,1)+COUNTIF(T$10:T88,T88)-1)</f>
        <v>#REF!</v>
      </c>
      <c r="T88" t="e">
        <f t="shared" si="49"/>
        <v>#REF!</v>
      </c>
      <c r="U88" t="e">
        <f t="shared" si="50"/>
        <v>#REF!</v>
      </c>
      <c r="V88" t="e">
        <f t="shared" si="51"/>
        <v>#REF!</v>
      </c>
      <c r="W88" t="e">
        <f t="shared" si="52"/>
        <v>#REF!</v>
      </c>
      <c r="X88" t="e">
        <f t="shared" si="53"/>
        <v>#REF!</v>
      </c>
      <c r="Y88" t="e">
        <f t="shared" si="54"/>
        <v>#REF!</v>
      </c>
      <c r="Z88" t="e">
        <f t="shared" si="55"/>
        <v>#REF!</v>
      </c>
      <c r="AA88" t="e">
        <f t="shared" si="56"/>
        <v>#REF!</v>
      </c>
      <c r="AK88">
        <v>79</v>
      </c>
      <c r="AL88" t="e">
        <f t="shared" si="40"/>
        <v>#REF!</v>
      </c>
      <c r="AM88" t="e">
        <f t="shared" si="57"/>
        <v>#REF!</v>
      </c>
      <c r="AO88" t="e">
        <f t="shared" si="41"/>
        <v>#REF!</v>
      </c>
      <c r="AP88" t="e">
        <f t="shared" si="42"/>
        <v>#REF!</v>
      </c>
      <c r="AQ88" s="12" t="e">
        <f t="shared" si="43"/>
        <v>#REF!</v>
      </c>
      <c r="AR88" t="e">
        <f t="shared" si="44"/>
        <v>#REF!</v>
      </c>
      <c r="AW88"/>
    </row>
    <row r="89" spans="1:49">
      <c r="A89">
        <v>80</v>
      </c>
      <c r="B89" t="e">
        <f t="shared" si="35"/>
        <v>#REF!</v>
      </c>
      <c r="C89" t="e">
        <f t="shared" si="36"/>
        <v>#REF!</v>
      </c>
      <c r="D89" t="e">
        <f t="shared" si="45"/>
        <v>#REF!</v>
      </c>
      <c r="E89" s="354" t="e">
        <f>IF(#REF!="","",#REF!)</f>
        <v>#REF!</v>
      </c>
      <c r="F89" s="354" t="e">
        <f>IF(#REF!="","",#REF!)</f>
        <v>#REF!</v>
      </c>
      <c r="G89" s="354" t="e">
        <f>IF(#REF!="","",#REF!)</f>
        <v>#REF!</v>
      </c>
      <c r="H89" s="354" t="e">
        <f>IF(#REF!="","",#REF!)</f>
        <v>#REF!</v>
      </c>
      <c r="I89" s="354" t="e">
        <f t="shared" si="46"/>
        <v>#REF!</v>
      </c>
      <c r="J89" s="355" t="e">
        <f>IF(#REF!="","",#REF!)</f>
        <v>#REF!</v>
      </c>
      <c r="K89" s="355" t="e">
        <f>IF(#REF!="","",#REF!)</f>
        <v>#REF!</v>
      </c>
      <c r="L89" s="12" t="e">
        <f t="shared" si="47"/>
        <v>#REF!</v>
      </c>
      <c r="M89" t="e">
        <f t="shared" si="48"/>
        <v>#REF!</v>
      </c>
      <c r="N89" t="e">
        <f t="shared" si="37"/>
        <v>#REF!</v>
      </c>
      <c r="O89" t="e">
        <f t="shared" si="38"/>
        <v>#REF!</v>
      </c>
      <c r="P89" t="e">
        <f t="shared" si="39"/>
        <v>#REF!</v>
      </c>
      <c r="Q89">
        <f>SUM($A$10:A89)</f>
        <v>3240</v>
      </c>
      <c r="S89" s="15" t="e">
        <f>IF(T89="","",RANK(T89,$T$10:$T$50,1)+COUNTIF(T$10:T89,T89)-1)</f>
        <v>#REF!</v>
      </c>
      <c r="T89" t="e">
        <f t="shared" si="49"/>
        <v>#REF!</v>
      </c>
      <c r="U89" t="e">
        <f t="shared" si="50"/>
        <v>#REF!</v>
      </c>
      <c r="V89" t="e">
        <f t="shared" si="51"/>
        <v>#REF!</v>
      </c>
      <c r="W89" t="e">
        <f t="shared" si="52"/>
        <v>#REF!</v>
      </c>
      <c r="X89" t="e">
        <f t="shared" si="53"/>
        <v>#REF!</v>
      </c>
      <c r="Y89" t="e">
        <f t="shared" si="54"/>
        <v>#REF!</v>
      </c>
      <c r="Z89" t="e">
        <f t="shared" si="55"/>
        <v>#REF!</v>
      </c>
      <c r="AA89" t="e">
        <f t="shared" si="56"/>
        <v>#REF!</v>
      </c>
      <c r="AK89">
        <v>80</v>
      </c>
      <c r="AL89" t="e">
        <f t="shared" si="40"/>
        <v>#REF!</v>
      </c>
      <c r="AM89" t="e">
        <f t="shared" si="57"/>
        <v>#REF!</v>
      </c>
      <c r="AO89" t="e">
        <f t="shared" si="41"/>
        <v>#REF!</v>
      </c>
      <c r="AP89" t="e">
        <f t="shared" si="42"/>
        <v>#REF!</v>
      </c>
      <c r="AQ89" s="12" t="e">
        <f t="shared" si="43"/>
        <v>#REF!</v>
      </c>
      <c r="AR89" t="e">
        <f t="shared" si="44"/>
        <v>#REF!</v>
      </c>
      <c r="AW89"/>
    </row>
    <row r="90" spans="1:49">
      <c r="A90">
        <v>81</v>
      </c>
      <c r="B90" t="e">
        <f t="shared" si="35"/>
        <v>#REF!</v>
      </c>
      <c r="C90" t="e">
        <f t="shared" si="36"/>
        <v>#REF!</v>
      </c>
      <c r="D90" t="e">
        <f t="shared" si="45"/>
        <v>#REF!</v>
      </c>
      <c r="E90" s="354" t="e">
        <f>IF(#REF!="","",#REF!)</f>
        <v>#REF!</v>
      </c>
      <c r="F90" s="354" t="e">
        <f>IF(#REF!="","",#REF!)</f>
        <v>#REF!</v>
      </c>
      <c r="G90" s="354" t="e">
        <f>IF(#REF!="","",#REF!)</f>
        <v>#REF!</v>
      </c>
      <c r="H90" s="354" t="e">
        <f>IF(#REF!="","",#REF!)</f>
        <v>#REF!</v>
      </c>
      <c r="I90" s="354" t="e">
        <f t="shared" si="46"/>
        <v>#REF!</v>
      </c>
      <c r="J90" s="355" t="e">
        <f>IF(#REF!="","",#REF!)</f>
        <v>#REF!</v>
      </c>
      <c r="K90" s="355" t="e">
        <f>IF(#REF!="","",#REF!)</f>
        <v>#REF!</v>
      </c>
      <c r="L90" s="12" t="e">
        <f t="shared" si="47"/>
        <v>#REF!</v>
      </c>
      <c r="M90" t="e">
        <f t="shared" si="48"/>
        <v>#REF!</v>
      </c>
      <c r="N90" t="e">
        <f t="shared" si="37"/>
        <v>#REF!</v>
      </c>
      <c r="O90" t="e">
        <f t="shared" si="38"/>
        <v>#REF!</v>
      </c>
      <c r="P90" t="e">
        <f t="shared" si="39"/>
        <v>#REF!</v>
      </c>
      <c r="Q90">
        <f>SUM($A$10:A90)</f>
        <v>3321</v>
      </c>
      <c r="S90" s="15" t="e">
        <f>IF(T90="","",RANK(T90,$T$10:$T$50,1)+COUNTIF(T$10:T90,T90)-1)</f>
        <v>#REF!</v>
      </c>
      <c r="T90" t="e">
        <f t="shared" si="49"/>
        <v>#REF!</v>
      </c>
      <c r="U90" t="e">
        <f t="shared" si="50"/>
        <v>#REF!</v>
      </c>
      <c r="V90" t="e">
        <f t="shared" si="51"/>
        <v>#REF!</v>
      </c>
      <c r="W90" t="e">
        <f t="shared" si="52"/>
        <v>#REF!</v>
      </c>
      <c r="X90" t="e">
        <f t="shared" si="53"/>
        <v>#REF!</v>
      </c>
      <c r="Y90" t="e">
        <f t="shared" si="54"/>
        <v>#REF!</v>
      </c>
      <c r="Z90" t="e">
        <f t="shared" si="55"/>
        <v>#REF!</v>
      </c>
      <c r="AA90" t="e">
        <f t="shared" si="56"/>
        <v>#REF!</v>
      </c>
      <c r="AK90">
        <v>81</v>
      </c>
      <c r="AL90" t="e">
        <f t="shared" si="40"/>
        <v>#REF!</v>
      </c>
      <c r="AM90" t="e">
        <f t="shared" si="57"/>
        <v>#REF!</v>
      </c>
      <c r="AO90" t="e">
        <f t="shared" si="41"/>
        <v>#REF!</v>
      </c>
      <c r="AP90" t="e">
        <f t="shared" si="42"/>
        <v>#REF!</v>
      </c>
      <c r="AQ90" s="12" t="e">
        <f t="shared" si="43"/>
        <v>#REF!</v>
      </c>
      <c r="AR90" t="e">
        <f t="shared" si="44"/>
        <v>#REF!</v>
      </c>
      <c r="AW90"/>
    </row>
    <row r="91" spans="1:49">
      <c r="A91">
        <v>82</v>
      </c>
      <c r="B91" t="e">
        <f t="shared" si="35"/>
        <v>#REF!</v>
      </c>
      <c r="C91" t="e">
        <f t="shared" si="36"/>
        <v>#REF!</v>
      </c>
      <c r="D91" t="e">
        <f t="shared" si="45"/>
        <v>#REF!</v>
      </c>
      <c r="E91" s="354" t="e">
        <f>IF(#REF!="","",#REF!)</f>
        <v>#REF!</v>
      </c>
      <c r="F91" s="354" t="e">
        <f>IF(#REF!="","",#REF!)</f>
        <v>#REF!</v>
      </c>
      <c r="G91" s="354" t="e">
        <f>IF(#REF!="","",#REF!)</f>
        <v>#REF!</v>
      </c>
      <c r="H91" s="354" t="e">
        <f>IF(#REF!="","",#REF!)</f>
        <v>#REF!</v>
      </c>
      <c r="I91" s="354" t="e">
        <f t="shared" si="46"/>
        <v>#REF!</v>
      </c>
      <c r="J91" s="355" t="e">
        <f>IF(#REF!="","",#REF!)</f>
        <v>#REF!</v>
      </c>
      <c r="K91" s="355" t="e">
        <f>IF(#REF!="","",#REF!)</f>
        <v>#REF!</v>
      </c>
      <c r="L91" s="12" t="e">
        <f t="shared" si="47"/>
        <v>#REF!</v>
      </c>
      <c r="M91" t="e">
        <f t="shared" si="48"/>
        <v>#REF!</v>
      </c>
      <c r="N91" t="e">
        <f t="shared" si="37"/>
        <v>#REF!</v>
      </c>
      <c r="O91" t="e">
        <f t="shared" si="38"/>
        <v>#REF!</v>
      </c>
      <c r="P91" t="e">
        <f t="shared" si="39"/>
        <v>#REF!</v>
      </c>
      <c r="Q91">
        <f>SUM($A$10:A91)</f>
        <v>3403</v>
      </c>
      <c r="S91" s="15" t="e">
        <f>IF(T91="","",RANK(T91,$T$10:$T$50,1)+COUNTIF(T$10:T91,T91)-1)</f>
        <v>#REF!</v>
      </c>
      <c r="T91" t="e">
        <f t="shared" si="49"/>
        <v>#REF!</v>
      </c>
      <c r="U91" t="e">
        <f t="shared" si="50"/>
        <v>#REF!</v>
      </c>
      <c r="V91" t="e">
        <f t="shared" si="51"/>
        <v>#REF!</v>
      </c>
      <c r="W91" t="e">
        <f t="shared" si="52"/>
        <v>#REF!</v>
      </c>
      <c r="X91" t="e">
        <f t="shared" si="53"/>
        <v>#REF!</v>
      </c>
      <c r="Y91" t="e">
        <f t="shared" si="54"/>
        <v>#REF!</v>
      </c>
      <c r="Z91" t="e">
        <f t="shared" si="55"/>
        <v>#REF!</v>
      </c>
      <c r="AA91" t="e">
        <f t="shared" si="56"/>
        <v>#REF!</v>
      </c>
      <c r="AK91">
        <v>82</v>
      </c>
      <c r="AL91" t="e">
        <f t="shared" si="40"/>
        <v>#REF!</v>
      </c>
      <c r="AM91" t="e">
        <f t="shared" si="57"/>
        <v>#REF!</v>
      </c>
      <c r="AO91" t="e">
        <f t="shared" si="41"/>
        <v>#REF!</v>
      </c>
      <c r="AP91" t="e">
        <f t="shared" si="42"/>
        <v>#REF!</v>
      </c>
      <c r="AQ91" s="12" t="e">
        <f t="shared" si="43"/>
        <v>#REF!</v>
      </c>
      <c r="AR91" t="e">
        <f t="shared" si="44"/>
        <v>#REF!</v>
      </c>
      <c r="AW91"/>
    </row>
    <row r="92" spans="1:49">
      <c r="A92">
        <v>83</v>
      </c>
      <c r="B92" t="e">
        <f t="shared" si="35"/>
        <v>#REF!</v>
      </c>
      <c r="C92" t="e">
        <f t="shared" si="36"/>
        <v>#REF!</v>
      </c>
      <c r="D92" t="e">
        <f t="shared" si="45"/>
        <v>#REF!</v>
      </c>
      <c r="E92" s="354" t="e">
        <f>IF(#REF!="","",#REF!)</f>
        <v>#REF!</v>
      </c>
      <c r="F92" s="354" t="e">
        <f>IF(#REF!="","",#REF!)</f>
        <v>#REF!</v>
      </c>
      <c r="G92" s="354" t="e">
        <f>IF(#REF!="","",#REF!)</f>
        <v>#REF!</v>
      </c>
      <c r="H92" s="354" t="e">
        <f>IF(#REF!="","",#REF!)</f>
        <v>#REF!</v>
      </c>
      <c r="I92" s="354" t="e">
        <f t="shared" si="46"/>
        <v>#REF!</v>
      </c>
      <c r="J92" s="355" t="e">
        <f>IF(#REF!="","",#REF!)</f>
        <v>#REF!</v>
      </c>
      <c r="K92" s="355" t="e">
        <f>IF(#REF!="","",#REF!)</f>
        <v>#REF!</v>
      </c>
      <c r="L92" s="12" t="e">
        <f t="shared" si="47"/>
        <v>#REF!</v>
      </c>
      <c r="M92" t="e">
        <f t="shared" si="48"/>
        <v>#REF!</v>
      </c>
      <c r="N92" t="e">
        <f t="shared" si="37"/>
        <v>#REF!</v>
      </c>
      <c r="O92" t="e">
        <f t="shared" si="38"/>
        <v>#REF!</v>
      </c>
      <c r="P92" t="e">
        <f t="shared" si="39"/>
        <v>#REF!</v>
      </c>
      <c r="Q92">
        <f>SUM($A$10:A92)</f>
        <v>3486</v>
      </c>
      <c r="S92" s="15" t="e">
        <f>IF(T92="","",RANK(T92,$T$10:$T$50,1)+COUNTIF(T$10:T92,T92)-1)</f>
        <v>#REF!</v>
      </c>
      <c r="T92" t="e">
        <f t="shared" si="49"/>
        <v>#REF!</v>
      </c>
      <c r="U92" t="e">
        <f t="shared" si="50"/>
        <v>#REF!</v>
      </c>
      <c r="V92" t="e">
        <f t="shared" si="51"/>
        <v>#REF!</v>
      </c>
      <c r="W92" t="e">
        <f t="shared" si="52"/>
        <v>#REF!</v>
      </c>
      <c r="X92" t="e">
        <f t="shared" si="53"/>
        <v>#REF!</v>
      </c>
      <c r="Y92" t="e">
        <f t="shared" si="54"/>
        <v>#REF!</v>
      </c>
      <c r="Z92" t="e">
        <f t="shared" si="55"/>
        <v>#REF!</v>
      </c>
      <c r="AA92" t="e">
        <f t="shared" si="56"/>
        <v>#REF!</v>
      </c>
      <c r="AK92">
        <v>83</v>
      </c>
      <c r="AL92" t="e">
        <f t="shared" si="40"/>
        <v>#REF!</v>
      </c>
      <c r="AM92" t="e">
        <f t="shared" si="57"/>
        <v>#REF!</v>
      </c>
      <c r="AO92" t="e">
        <f t="shared" si="41"/>
        <v>#REF!</v>
      </c>
      <c r="AP92" t="e">
        <f t="shared" si="42"/>
        <v>#REF!</v>
      </c>
      <c r="AQ92" s="12" t="e">
        <f t="shared" si="43"/>
        <v>#REF!</v>
      </c>
      <c r="AR92" t="e">
        <f t="shared" si="44"/>
        <v>#REF!</v>
      </c>
      <c r="AW92"/>
    </row>
    <row r="93" spans="1:49">
      <c r="A93">
        <v>84</v>
      </c>
      <c r="B93" t="e">
        <f t="shared" si="35"/>
        <v>#REF!</v>
      </c>
      <c r="C93" t="e">
        <f t="shared" si="36"/>
        <v>#REF!</v>
      </c>
      <c r="D93" t="e">
        <f t="shared" si="45"/>
        <v>#REF!</v>
      </c>
      <c r="E93" s="354" t="e">
        <f>IF(#REF!="","",#REF!)</f>
        <v>#REF!</v>
      </c>
      <c r="F93" s="354" t="e">
        <f>IF(#REF!="","",#REF!)</f>
        <v>#REF!</v>
      </c>
      <c r="G93" s="354" t="e">
        <f>IF(#REF!="","",#REF!)</f>
        <v>#REF!</v>
      </c>
      <c r="H93" s="354" t="e">
        <f>IF(#REF!="","",#REF!)</f>
        <v>#REF!</v>
      </c>
      <c r="I93" s="354" t="e">
        <f t="shared" si="46"/>
        <v>#REF!</v>
      </c>
      <c r="J93" s="355" t="e">
        <f>IF(#REF!="","",#REF!)</f>
        <v>#REF!</v>
      </c>
      <c r="K93" s="355" t="e">
        <f>IF(#REF!="","",#REF!)</f>
        <v>#REF!</v>
      </c>
      <c r="L93" s="12" t="e">
        <f t="shared" si="47"/>
        <v>#REF!</v>
      </c>
      <c r="M93" t="e">
        <f t="shared" si="48"/>
        <v>#REF!</v>
      </c>
      <c r="N93" t="e">
        <f t="shared" si="37"/>
        <v>#REF!</v>
      </c>
      <c r="O93" t="e">
        <f t="shared" si="38"/>
        <v>#REF!</v>
      </c>
      <c r="P93" t="e">
        <f t="shared" si="39"/>
        <v>#REF!</v>
      </c>
      <c r="Q93">
        <f>SUM($A$10:A93)</f>
        <v>3570</v>
      </c>
      <c r="S93" s="15" t="e">
        <f>IF(T93="","",RANK(T93,$T$10:$T$50,1)+COUNTIF(T$10:T93,T93)-1)</f>
        <v>#REF!</v>
      </c>
      <c r="T93" t="e">
        <f t="shared" si="49"/>
        <v>#REF!</v>
      </c>
      <c r="U93" t="e">
        <f t="shared" si="50"/>
        <v>#REF!</v>
      </c>
      <c r="V93" t="e">
        <f t="shared" si="51"/>
        <v>#REF!</v>
      </c>
      <c r="W93" t="e">
        <f t="shared" si="52"/>
        <v>#REF!</v>
      </c>
      <c r="X93" t="e">
        <f t="shared" si="53"/>
        <v>#REF!</v>
      </c>
      <c r="Y93" t="e">
        <f t="shared" si="54"/>
        <v>#REF!</v>
      </c>
      <c r="Z93" t="e">
        <f t="shared" si="55"/>
        <v>#REF!</v>
      </c>
      <c r="AA93" t="e">
        <f t="shared" si="56"/>
        <v>#REF!</v>
      </c>
      <c r="AK93">
        <v>84</v>
      </c>
      <c r="AL93" t="e">
        <f t="shared" si="40"/>
        <v>#REF!</v>
      </c>
      <c r="AM93" t="e">
        <f t="shared" si="57"/>
        <v>#REF!</v>
      </c>
      <c r="AO93" t="e">
        <f t="shared" si="41"/>
        <v>#REF!</v>
      </c>
      <c r="AP93" t="e">
        <f t="shared" si="42"/>
        <v>#REF!</v>
      </c>
      <c r="AQ93" s="12" t="e">
        <f t="shared" si="43"/>
        <v>#REF!</v>
      </c>
      <c r="AR93" t="e">
        <f t="shared" si="44"/>
        <v>#REF!</v>
      </c>
      <c r="AW93"/>
    </row>
    <row r="94" spans="1:49">
      <c r="A94">
        <v>85</v>
      </c>
      <c r="B94" t="e">
        <f t="shared" si="35"/>
        <v>#REF!</v>
      </c>
      <c r="C94" t="e">
        <f t="shared" si="36"/>
        <v>#REF!</v>
      </c>
      <c r="D94" t="e">
        <f t="shared" si="45"/>
        <v>#REF!</v>
      </c>
      <c r="E94" s="354" t="e">
        <f>IF(#REF!="","",#REF!)</f>
        <v>#REF!</v>
      </c>
      <c r="F94" s="354" t="e">
        <f>IF(#REF!="","",#REF!)</f>
        <v>#REF!</v>
      </c>
      <c r="G94" s="354" t="e">
        <f>IF(#REF!="","",#REF!)</f>
        <v>#REF!</v>
      </c>
      <c r="H94" s="354" t="e">
        <f>IF(#REF!="","",#REF!)</f>
        <v>#REF!</v>
      </c>
      <c r="I94" s="354" t="e">
        <f t="shared" si="46"/>
        <v>#REF!</v>
      </c>
      <c r="J94" s="355" t="e">
        <f>IF(#REF!="","",#REF!)</f>
        <v>#REF!</v>
      </c>
      <c r="K94" s="355" t="e">
        <f>IF(#REF!="","",#REF!)</f>
        <v>#REF!</v>
      </c>
      <c r="L94" s="12" t="e">
        <f t="shared" si="47"/>
        <v>#REF!</v>
      </c>
      <c r="M94" t="e">
        <f t="shared" si="48"/>
        <v>#REF!</v>
      </c>
      <c r="N94" t="e">
        <f t="shared" si="37"/>
        <v>#REF!</v>
      </c>
      <c r="O94" t="e">
        <f t="shared" si="38"/>
        <v>#REF!</v>
      </c>
      <c r="P94" t="e">
        <f t="shared" si="39"/>
        <v>#REF!</v>
      </c>
      <c r="Q94">
        <f>SUM($A$10:A94)</f>
        <v>3655</v>
      </c>
      <c r="S94" s="15" t="e">
        <f>IF(T94="","",RANK(T94,$T$10:$T$50,1)+COUNTIF(T$10:T94,T94)-1)</f>
        <v>#REF!</v>
      </c>
      <c r="T94" t="e">
        <f t="shared" si="49"/>
        <v>#REF!</v>
      </c>
      <c r="U94" t="e">
        <f t="shared" si="50"/>
        <v>#REF!</v>
      </c>
      <c r="V94" t="e">
        <f t="shared" si="51"/>
        <v>#REF!</v>
      </c>
      <c r="W94" t="e">
        <f t="shared" si="52"/>
        <v>#REF!</v>
      </c>
      <c r="X94" t="e">
        <f t="shared" si="53"/>
        <v>#REF!</v>
      </c>
      <c r="Y94" t="e">
        <f t="shared" si="54"/>
        <v>#REF!</v>
      </c>
      <c r="Z94" t="e">
        <f t="shared" si="55"/>
        <v>#REF!</v>
      </c>
      <c r="AA94" t="e">
        <f t="shared" si="56"/>
        <v>#REF!</v>
      </c>
      <c r="AK94">
        <v>85</v>
      </c>
      <c r="AL94" t="e">
        <f t="shared" si="40"/>
        <v>#REF!</v>
      </c>
      <c r="AM94" t="e">
        <f t="shared" si="57"/>
        <v>#REF!</v>
      </c>
      <c r="AO94" t="e">
        <f t="shared" si="41"/>
        <v>#REF!</v>
      </c>
      <c r="AP94" t="e">
        <f t="shared" si="42"/>
        <v>#REF!</v>
      </c>
      <c r="AQ94" s="12" t="e">
        <f t="shared" si="43"/>
        <v>#REF!</v>
      </c>
      <c r="AR94" t="e">
        <f t="shared" si="44"/>
        <v>#REF!</v>
      </c>
      <c r="AW94"/>
    </row>
    <row r="95" spans="1:49">
      <c r="A95">
        <v>86</v>
      </c>
      <c r="B95" t="e">
        <f t="shared" si="35"/>
        <v>#REF!</v>
      </c>
      <c r="C95" t="e">
        <f t="shared" si="36"/>
        <v>#REF!</v>
      </c>
      <c r="D95" t="e">
        <f t="shared" si="45"/>
        <v>#REF!</v>
      </c>
      <c r="E95" s="354" t="e">
        <f>IF(#REF!="","",#REF!)</f>
        <v>#REF!</v>
      </c>
      <c r="F95" s="354" t="e">
        <f>IF(#REF!="","",#REF!)</f>
        <v>#REF!</v>
      </c>
      <c r="G95" s="354" t="e">
        <f>IF(#REF!="","",#REF!)</f>
        <v>#REF!</v>
      </c>
      <c r="H95" s="354" t="e">
        <f>IF(#REF!="","",#REF!)</f>
        <v>#REF!</v>
      </c>
      <c r="I95" s="354" t="e">
        <f t="shared" si="46"/>
        <v>#REF!</v>
      </c>
      <c r="J95" s="355" t="e">
        <f>IF(#REF!="","",#REF!)</f>
        <v>#REF!</v>
      </c>
      <c r="K95" s="355" t="e">
        <f>IF(#REF!="","",#REF!)</f>
        <v>#REF!</v>
      </c>
      <c r="L95" s="12" t="e">
        <f t="shared" si="47"/>
        <v>#REF!</v>
      </c>
      <c r="M95" t="e">
        <f t="shared" si="48"/>
        <v>#REF!</v>
      </c>
      <c r="N95" t="e">
        <f t="shared" si="37"/>
        <v>#REF!</v>
      </c>
      <c r="O95" t="e">
        <f t="shared" si="38"/>
        <v>#REF!</v>
      </c>
      <c r="P95" t="e">
        <f t="shared" si="39"/>
        <v>#REF!</v>
      </c>
      <c r="Q95">
        <f>SUM($A$10:A95)</f>
        <v>3741</v>
      </c>
      <c r="S95" s="15" t="e">
        <f>IF(T95="","",RANK(T95,$T$10:$T$50,1)+COUNTIF(T$10:T95,T95)-1)</f>
        <v>#REF!</v>
      </c>
      <c r="T95" t="e">
        <f t="shared" si="49"/>
        <v>#REF!</v>
      </c>
      <c r="U95" t="e">
        <f t="shared" si="50"/>
        <v>#REF!</v>
      </c>
      <c r="V95" t="e">
        <f t="shared" si="51"/>
        <v>#REF!</v>
      </c>
      <c r="W95" t="e">
        <f t="shared" si="52"/>
        <v>#REF!</v>
      </c>
      <c r="X95" t="e">
        <f t="shared" si="53"/>
        <v>#REF!</v>
      </c>
      <c r="Y95" t="e">
        <f t="shared" si="54"/>
        <v>#REF!</v>
      </c>
      <c r="Z95" t="e">
        <f t="shared" si="55"/>
        <v>#REF!</v>
      </c>
      <c r="AA95" t="e">
        <f t="shared" si="56"/>
        <v>#REF!</v>
      </c>
      <c r="AK95">
        <v>86</v>
      </c>
      <c r="AL95" t="e">
        <f t="shared" si="40"/>
        <v>#REF!</v>
      </c>
      <c r="AM95" t="e">
        <f t="shared" si="57"/>
        <v>#REF!</v>
      </c>
      <c r="AO95" t="e">
        <f t="shared" si="41"/>
        <v>#REF!</v>
      </c>
      <c r="AP95" t="e">
        <f t="shared" si="42"/>
        <v>#REF!</v>
      </c>
      <c r="AQ95" s="12" t="e">
        <f t="shared" si="43"/>
        <v>#REF!</v>
      </c>
      <c r="AR95" t="e">
        <f t="shared" si="44"/>
        <v>#REF!</v>
      </c>
      <c r="AW95"/>
    </row>
    <row r="96" spans="1:49">
      <c r="A96">
        <v>87</v>
      </c>
      <c r="B96" t="e">
        <f t="shared" si="35"/>
        <v>#REF!</v>
      </c>
      <c r="C96" t="e">
        <f t="shared" si="36"/>
        <v>#REF!</v>
      </c>
      <c r="D96" t="e">
        <f t="shared" si="45"/>
        <v>#REF!</v>
      </c>
      <c r="E96" s="354" t="e">
        <f>IF(#REF!="","",#REF!)</f>
        <v>#REF!</v>
      </c>
      <c r="F96" s="354" t="e">
        <f>IF(#REF!="","",#REF!)</f>
        <v>#REF!</v>
      </c>
      <c r="G96" s="354" t="e">
        <f>IF(#REF!="","",#REF!)</f>
        <v>#REF!</v>
      </c>
      <c r="H96" s="354" t="e">
        <f>IF(#REF!="","",#REF!)</f>
        <v>#REF!</v>
      </c>
      <c r="I96" s="354" t="e">
        <f t="shared" si="46"/>
        <v>#REF!</v>
      </c>
      <c r="J96" s="355" t="e">
        <f>IF(#REF!="","",#REF!)</f>
        <v>#REF!</v>
      </c>
      <c r="K96" s="355" t="e">
        <f>IF(#REF!="","",#REF!)</f>
        <v>#REF!</v>
      </c>
      <c r="L96" s="12" t="e">
        <f t="shared" si="47"/>
        <v>#REF!</v>
      </c>
      <c r="M96" t="e">
        <f t="shared" si="48"/>
        <v>#REF!</v>
      </c>
      <c r="N96" t="e">
        <f t="shared" si="37"/>
        <v>#REF!</v>
      </c>
      <c r="O96" t="e">
        <f t="shared" si="38"/>
        <v>#REF!</v>
      </c>
      <c r="P96" t="e">
        <f t="shared" si="39"/>
        <v>#REF!</v>
      </c>
      <c r="Q96">
        <f>SUM($A$10:A96)</f>
        <v>3828</v>
      </c>
      <c r="S96" s="15" t="e">
        <f>IF(T96="","",RANK(T96,$T$10:$T$50,1)+COUNTIF(T$10:T96,T96)-1)</f>
        <v>#REF!</v>
      </c>
      <c r="T96" t="e">
        <f t="shared" si="49"/>
        <v>#REF!</v>
      </c>
      <c r="U96" t="e">
        <f t="shared" si="50"/>
        <v>#REF!</v>
      </c>
      <c r="V96" t="e">
        <f t="shared" si="51"/>
        <v>#REF!</v>
      </c>
      <c r="W96" t="e">
        <f t="shared" si="52"/>
        <v>#REF!</v>
      </c>
      <c r="X96" t="e">
        <f t="shared" si="53"/>
        <v>#REF!</v>
      </c>
      <c r="Y96" t="e">
        <f t="shared" si="54"/>
        <v>#REF!</v>
      </c>
      <c r="Z96" t="e">
        <f t="shared" si="55"/>
        <v>#REF!</v>
      </c>
      <c r="AA96" t="e">
        <f t="shared" si="56"/>
        <v>#REF!</v>
      </c>
      <c r="AK96">
        <v>87</v>
      </c>
      <c r="AL96" t="e">
        <f t="shared" si="40"/>
        <v>#REF!</v>
      </c>
      <c r="AM96" t="e">
        <f t="shared" si="57"/>
        <v>#REF!</v>
      </c>
      <c r="AO96" t="e">
        <f t="shared" si="41"/>
        <v>#REF!</v>
      </c>
      <c r="AP96" t="e">
        <f t="shared" si="42"/>
        <v>#REF!</v>
      </c>
      <c r="AQ96" s="12" t="e">
        <f t="shared" si="43"/>
        <v>#REF!</v>
      </c>
      <c r="AR96" t="e">
        <f t="shared" si="44"/>
        <v>#REF!</v>
      </c>
      <c r="AW96"/>
    </row>
    <row r="97" spans="1:49">
      <c r="A97">
        <v>88</v>
      </c>
      <c r="B97" t="e">
        <f t="shared" si="35"/>
        <v>#REF!</v>
      </c>
      <c r="C97" t="e">
        <f t="shared" si="36"/>
        <v>#REF!</v>
      </c>
      <c r="D97" t="e">
        <f t="shared" si="45"/>
        <v>#REF!</v>
      </c>
      <c r="E97" s="354" t="e">
        <f>IF(#REF!="","",#REF!)</f>
        <v>#REF!</v>
      </c>
      <c r="F97" s="354" t="e">
        <f>IF(#REF!="","",#REF!)</f>
        <v>#REF!</v>
      </c>
      <c r="G97" s="354" t="e">
        <f>IF(#REF!="","",#REF!)</f>
        <v>#REF!</v>
      </c>
      <c r="H97" s="354" t="e">
        <f>IF(#REF!="","",#REF!)</f>
        <v>#REF!</v>
      </c>
      <c r="I97" s="354" t="e">
        <f t="shared" si="46"/>
        <v>#REF!</v>
      </c>
      <c r="J97" s="355" t="e">
        <f>IF(#REF!="","",#REF!)</f>
        <v>#REF!</v>
      </c>
      <c r="K97" s="355" t="e">
        <f>IF(#REF!="","",#REF!)</f>
        <v>#REF!</v>
      </c>
      <c r="L97" s="12" t="e">
        <f t="shared" si="47"/>
        <v>#REF!</v>
      </c>
      <c r="M97" t="e">
        <f t="shared" si="48"/>
        <v>#REF!</v>
      </c>
      <c r="N97" t="e">
        <f t="shared" si="37"/>
        <v>#REF!</v>
      </c>
      <c r="O97" t="e">
        <f t="shared" si="38"/>
        <v>#REF!</v>
      </c>
      <c r="P97" t="e">
        <f t="shared" si="39"/>
        <v>#REF!</v>
      </c>
      <c r="Q97">
        <f>SUM($A$10:A97)</f>
        <v>3916</v>
      </c>
      <c r="S97" s="15" t="e">
        <f>IF(T97="","",RANK(T97,$T$10:$T$50,1)+COUNTIF(T$10:T97,T97)-1)</f>
        <v>#REF!</v>
      </c>
      <c r="T97" t="e">
        <f t="shared" si="49"/>
        <v>#REF!</v>
      </c>
      <c r="U97" t="e">
        <f t="shared" si="50"/>
        <v>#REF!</v>
      </c>
      <c r="V97" t="e">
        <f t="shared" si="51"/>
        <v>#REF!</v>
      </c>
      <c r="W97" t="e">
        <f t="shared" si="52"/>
        <v>#REF!</v>
      </c>
      <c r="X97" t="e">
        <f t="shared" si="53"/>
        <v>#REF!</v>
      </c>
      <c r="Y97" t="e">
        <f t="shared" si="54"/>
        <v>#REF!</v>
      </c>
      <c r="Z97" t="e">
        <f t="shared" si="55"/>
        <v>#REF!</v>
      </c>
      <c r="AA97" t="e">
        <f t="shared" si="56"/>
        <v>#REF!</v>
      </c>
      <c r="AK97">
        <v>88</v>
      </c>
      <c r="AL97" t="e">
        <f t="shared" si="40"/>
        <v>#REF!</v>
      </c>
      <c r="AM97" t="e">
        <f t="shared" si="57"/>
        <v>#REF!</v>
      </c>
      <c r="AO97" t="e">
        <f t="shared" si="41"/>
        <v>#REF!</v>
      </c>
      <c r="AP97" t="e">
        <f t="shared" si="42"/>
        <v>#REF!</v>
      </c>
      <c r="AQ97" s="12" t="e">
        <f t="shared" si="43"/>
        <v>#REF!</v>
      </c>
      <c r="AR97" t="e">
        <f t="shared" si="44"/>
        <v>#REF!</v>
      </c>
      <c r="AW97"/>
    </row>
    <row r="98" spans="1:49">
      <c r="A98">
        <v>89</v>
      </c>
      <c r="B98" t="e">
        <f t="shared" si="35"/>
        <v>#REF!</v>
      </c>
      <c r="C98" t="e">
        <f t="shared" si="36"/>
        <v>#REF!</v>
      </c>
      <c r="D98" t="e">
        <f t="shared" si="45"/>
        <v>#REF!</v>
      </c>
      <c r="E98" s="354" t="e">
        <f>IF(#REF!="","",#REF!)</f>
        <v>#REF!</v>
      </c>
      <c r="F98" s="354" t="e">
        <f>IF(#REF!="","",#REF!)</f>
        <v>#REF!</v>
      </c>
      <c r="G98" s="354" t="e">
        <f>IF(#REF!="","",#REF!)</f>
        <v>#REF!</v>
      </c>
      <c r="H98" s="354" t="e">
        <f>IF(#REF!="","",#REF!)</f>
        <v>#REF!</v>
      </c>
      <c r="I98" s="354" t="e">
        <f t="shared" si="46"/>
        <v>#REF!</v>
      </c>
      <c r="J98" s="355" t="e">
        <f>IF(#REF!="","",#REF!)</f>
        <v>#REF!</v>
      </c>
      <c r="K98" s="355" t="e">
        <f>IF(#REF!="","",#REF!)</f>
        <v>#REF!</v>
      </c>
      <c r="L98" s="12" t="e">
        <f t="shared" si="47"/>
        <v>#REF!</v>
      </c>
      <c r="M98" t="e">
        <f t="shared" si="48"/>
        <v>#REF!</v>
      </c>
      <c r="N98" t="e">
        <f t="shared" si="37"/>
        <v>#REF!</v>
      </c>
      <c r="O98" t="e">
        <f t="shared" si="38"/>
        <v>#REF!</v>
      </c>
      <c r="P98" t="e">
        <f t="shared" si="39"/>
        <v>#REF!</v>
      </c>
      <c r="Q98">
        <f>SUM($A$10:A98)</f>
        <v>4005</v>
      </c>
      <c r="S98" s="15" t="e">
        <f>IF(T98="","",RANK(T98,$T$10:$T$50,1)+COUNTIF(T$10:T98,T98)-1)</f>
        <v>#REF!</v>
      </c>
      <c r="T98" t="e">
        <f t="shared" si="49"/>
        <v>#REF!</v>
      </c>
      <c r="U98" t="e">
        <f t="shared" si="50"/>
        <v>#REF!</v>
      </c>
      <c r="V98" t="e">
        <f t="shared" si="51"/>
        <v>#REF!</v>
      </c>
      <c r="W98" t="e">
        <f t="shared" si="52"/>
        <v>#REF!</v>
      </c>
      <c r="X98" t="e">
        <f t="shared" si="53"/>
        <v>#REF!</v>
      </c>
      <c r="Y98" t="e">
        <f t="shared" si="54"/>
        <v>#REF!</v>
      </c>
      <c r="Z98" t="e">
        <f t="shared" si="55"/>
        <v>#REF!</v>
      </c>
      <c r="AA98" t="e">
        <f t="shared" si="56"/>
        <v>#REF!</v>
      </c>
      <c r="AK98">
        <v>89</v>
      </c>
      <c r="AL98" t="e">
        <f t="shared" si="40"/>
        <v>#REF!</v>
      </c>
      <c r="AM98" t="e">
        <f t="shared" si="57"/>
        <v>#REF!</v>
      </c>
      <c r="AO98" t="e">
        <f t="shared" si="41"/>
        <v>#REF!</v>
      </c>
      <c r="AP98" t="e">
        <f t="shared" si="42"/>
        <v>#REF!</v>
      </c>
      <c r="AQ98" s="12" t="e">
        <f t="shared" si="43"/>
        <v>#REF!</v>
      </c>
      <c r="AR98" t="e">
        <f t="shared" si="44"/>
        <v>#REF!</v>
      </c>
      <c r="AW98"/>
    </row>
    <row r="99" spans="1:49">
      <c r="A99">
        <v>90</v>
      </c>
      <c r="B99" t="e">
        <f t="shared" si="35"/>
        <v>#REF!</v>
      </c>
      <c r="C99" t="e">
        <f t="shared" si="36"/>
        <v>#REF!</v>
      </c>
      <c r="D99" t="e">
        <f t="shared" si="45"/>
        <v>#REF!</v>
      </c>
      <c r="E99" s="354" t="e">
        <f>IF(#REF!="","",#REF!)</f>
        <v>#REF!</v>
      </c>
      <c r="F99" s="354" t="e">
        <f>IF(#REF!="","",#REF!)</f>
        <v>#REF!</v>
      </c>
      <c r="G99" s="354" t="e">
        <f>IF(#REF!="","",#REF!)</f>
        <v>#REF!</v>
      </c>
      <c r="H99" s="354" t="e">
        <f>IF(#REF!="","",#REF!)</f>
        <v>#REF!</v>
      </c>
      <c r="I99" s="354" t="e">
        <f t="shared" si="46"/>
        <v>#REF!</v>
      </c>
      <c r="J99" s="355" t="e">
        <f>IF(#REF!="","",#REF!)</f>
        <v>#REF!</v>
      </c>
      <c r="K99" s="355" t="e">
        <f>IF(#REF!="","",#REF!)</f>
        <v>#REF!</v>
      </c>
      <c r="L99" s="12" t="e">
        <f t="shared" si="47"/>
        <v>#REF!</v>
      </c>
      <c r="M99" t="e">
        <f t="shared" si="48"/>
        <v>#REF!</v>
      </c>
      <c r="N99" t="e">
        <f t="shared" si="37"/>
        <v>#REF!</v>
      </c>
      <c r="O99" t="e">
        <f t="shared" si="38"/>
        <v>#REF!</v>
      </c>
      <c r="P99" t="e">
        <f t="shared" si="39"/>
        <v>#REF!</v>
      </c>
      <c r="Q99">
        <f>SUM($A$10:A99)</f>
        <v>4095</v>
      </c>
      <c r="S99" s="15" t="e">
        <f>IF(T99="","",RANK(T99,$T$10:$T$50,1)+COUNTIF(T$10:T99,T99)-1)</f>
        <v>#REF!</v>
      </c>
      <c r="T99" t="e">
        <f t="shared" si="49"/>
        <v>#REF!</v>
      </c>
      <c r="U99" t="e">
        <f t="shared" si="50"/>
        <v>#REF!</v>
      </c>
      <c r="V99" t="e">
        <f t="shared" si="51"/>
        <v>#REF!</v>
      </c>
      <c r="W99" t="e">
        <f t="shared" si="52"/>
        <v>#REF!</v>
      </c>
      <c r="X99" t="e">
        <f t="shared" si="53"/>
        <v>#REF!</v>
      </c>
      <c r="Y99" t="e">
        <f t="shared" si="54"/>
        <v>#REF!</v>
      </c>
      <c r="Z99" t="e">
        <f t="shared" si="55"/>
        <v>#REF!</v>
      </c>
      <c r="AA99" t="e">
        <f t="shared" si="56"/>
        <v>#REF!</v>
      </c>
      <c r="AK99">
        <v>90</v>
      </c>
      <c r="AL99" t="e">
        <f t="shared" si="40"/>
        <v>#REF!</v>
      </c>
      <c r="AM99" t="e">
        <f t="shared" si="57"/>
        <v>#REF!</v>
      </c>
      <c r="AO99" t="e">
        <f t="shared" si="41"/>
        <v>#REF!</v>
      </c>
      <c r="AP99" t="e">
        <f t="shared" si="42"/>
        <v>#REF!</v>
      </c>
      <c r="AQ99" s="12" t="e">
        <f t="shared" si="43"/>
        <v>#REF!</v>
      </c>
      <c r="AR99" t="e">
        <f t="shared" si="44"/>
        <v>#REF!</v>
      </c>
      <c r="AW99"/>
    </row>
    <row r="100" spans="1:49">
      <c r="A100">
        <v>91</v>
      </c>
      <c r="B100" t="e">
        <f t="shared" si="35"/>
        <v>#REF!</v>
      </c>
      <c r="C100" t="e">
        <f t="shared" si="36"/>
        <v>#REF!</v>
      </c>
      <c r="D100" t="e">
        <f t="shared" si="45"/>
        <v>#REF!</v>
      </c>
      <c r="E100" s="354" t="e">
        <f>IF(#REF!="","",#REF!)</f>
        <v>#REF!</v>
      </c>
      <c r="F100" s="354" t="e">
        <f>IF(#REF!="","",#REF!)</f>
        <v>#REF!</v>
      </c>
      <c r="G100" s="354" t="e">
        <f>IF(#REF!="","",#REF!)</f>
        <v>#REF!</v>
      </c>
      <c r="H100" s="354" t="e">
        <f>IF(#REF!="","",#REF!)</f>
        <v>#REF!</v>
      </c>
      <c r="I100" s="354" t="e">
        <f t="shared" si="46"/>
        <v>#REF!</v>
      </c>
      <c r="J100" s="355" t="e">
        <f>IF(#REF!="","",#REF!)</f>
        <v>#REF!</v>
      </c>
      <c r="K100" s="355" t="e">
        <f>IF(#REF!="","",#REF!)</f>
        <v>#REF!</v>
      </c>
      <c r="L100" s="12" t="e">
        <f t="shared" si="47"/>
        <v>#REF!</v>
      </c>
      <c r="M100" t="e">
        <f t="shared" si="48"/>
        <v>#REF!</v>
      </c>
      <c r="N100" t="e">
        <f t="shared" si="37"/>
        <v>#REF!</v>
      </c>
      <c r="O100" t="e">
        <f t="shared" si="38"/>
        <v>#REF!</v>
      </c>
      <c r="P100" t="e">
        <f t="shared" si="39"/>
        <v>#REF!</v>
      </c>
      <c r="Q100">
        <f>SUM($A$10:A100)</f>
        <v>4186</v>
      </c>
      <c r="S100" s="15" t="e">
        <f>IF(T100="","",RANK(T100,$T$10:$T$50,1)+COUNTIF(T$10:T100,T100)-1)</f>
        <v>#REF!</v>
      </c>
      <c r="T100" t="e">
        <f t="shared" si="49"/>
        <v>#REF!</v>
      </c>
      <c r="U100" t="e">
        <f t="shared" si="50"/>
        <v>#REF!</v>
      </c>
      <c r="V100" t="e">
        <f t="shared" si="51"/>
        <v>#REF!</v>
      </c>
      <c r="W100" t="e">
        <f t="shared" si="52"/>
        <v>#REF!</v>
      </c>
      <c r="X100" t="e">
        <f t="shared" si="53"/>
        <v>#REF!</v>
      </c>
      <c r="Y100" t="e">
        <f t="shared" si="54"/>
        <v>#REF!</v>
      </c>
      <c r="Z100" t="e">
        <f t="shared" si="55"/>
        <v>#REF!</v>
      </c>
      <c r="AA100" t="e">
        <f t="shared" si="56"/>
        <v>#REF!</v>
      </c>
      <c r="AK100">
        <v>91</v>
      </c>
      <c r="AL100" t="e">
        <f t="shared" si="40"/>
        <v>#REF!</v>
      </c>
      <c r="AM100" t="e">
        <f t="shared" si="57"/>
        <v>#REF!</v>
      </c>
      <c r="AO100" t="e">
        <f t="shared" si="41"/>
        <v>#REF!</v>
      </c>
      <c r="AP100" t="e">
        <f t="shared" si="42"/>
        <v>#REF!</v>
      </c>
      <c r="AQ100" s="12" t="e">
        <f t="shared" si="43"/>
        <v>#REF!</v>
      </c>
      <c r="AR100" t="e">
        <f t="shared" si="44"/>
        <v>#REF!</v>
      </c>
      <c r="AW100"/>
    </row>
    <row r="101" spans="1:49">
      <c r="A101">
        <v>92</v>
      </c>
      <c r="B101" t="e">
        <f t="shared" si="35"/>
        <v>#REF!</v>
      </c>
      <c r="C101" t="e">
        <f t="shared" si="36"/>
        <v>#REF!</v>
      </c>
      <c r="D101" t="e">
        <f t="shared" si="45"/>
        <v>#REF!</v>
      </c>
      <c r="E101" s="354" t="e">
        <f>IF(#REF!="","",#REF!)</f>
        <v>#REF!</v>
      </c>
      <c r="F101" s="354" t="e">
        <f>IF(#REF!="","",#REF!)</f>
        <v>#REF!</v>
      </c>
      <c r="G101" s="354" t="e">
        <f>IF(#REF!="","",#REF!)</f>
        <v>#REF!</v>
      </c>
      <c r="H101" s="354" t="e">
        <f>IF(#REF!="","",#REF!)</f>
        <v>#REF!</v>
      </c>
      <c r="I101" s="354" t="e">
        <f t="shared" si="46"/>
        <v>#REF!</v>
      </c>
      <c r="J101" s="355" t="e">
        <f>IF(#REF!="","",#REF!)</f>
        <v>#REF!</v>
      </c>
      <c r="K101" s="355" t="e">
        <f>IF(#REF!="","",#REF!)</f>
        <v>#REF!</v>
      </c>
      <c r="L101" s="12" t="e">
        <f t="shared" si="47"/>
        <v>#REF!</v>
      </c>
      <c r="M101" t="e">
        <f t="shared" si="48"/>
        <v>#REF!</v>
      </c>
      <c r="N101" t="e">
        <f t="shared" si="37"/>
        <v>#REF!</v>
      </c>
      <c r="O101" t="e">
        <f t="shared" si="38"/>
        <v>#REF!</v>
      </c>
      <c r="P101" t="e">
        <f t="shared" si="39"/>
        <v>#REF!</v>
      </c>
      <c r="Q101">
        <f>SUM($A$10:A101)</f>
        <v>4278</v>
      </c>
      <c r="S101" s="15" t="e">
        <f>IF(T101="","",RANK(T101,$T$10:$T$50,1)+COUNTIF(T$10:T101,T101)-1)</f>
        <v>#REF!</v>
      </c>
      <c r="T101" t="e">
        <f t="shared" si="49"/>
        <v>#REF!</v>
      </c>
      <c r="U101" t="e">
        <f t="shared" si="50"/>
        <v>#REF!</v>
      </c>
      <c r="V101" t="e">
        <f t="shared" si="51"/>
        <v>#REF!</v>
      </c>
      <c r="W101" t="e">
        <f t="shared" si="52"/>
        <v>#REF!</v>
      </c>
      <c r="X101" t="e">
        <f t="shared" si="53"/>
        <v>#REF!</v>
      </c>
      <c r="Y101" t="e">
        <f t="shared" si="54"/>
        <v>#REF!</v>
      </c>
      <c r="Z101" t="e">
        <f t="shared" si="55"/>
        <v>#REF!</v>
      </c>
      <c r="AA101" t="e">
        <f t="shared" si="56"/>
        <v>#REF!</v>
      </c>
      <c r="AK101">
        <v>92</v>
      </c>
      <c r="AL101" t="e">
        <f t="shared" si="40"/>
        <v>#REF!</v>
      </c>
      <c r="AM101" t="e">
        <f t="shared" si="57"/>
        <v>#REF!</v>
      </c>
      <c r="AO101" t="e">
        <f t="shared" si="41"/>
        <v>#REF!</v>
      </c>
      <c r="AP101" t="e">
        <f t="shared" si="42"/>
        <v>#REF!</v>
      </c>
      <c r="AQ101" s="12" t="e">
        <f t="shared" si="43"/>
        <v>#REF!</v>
      </c>
      <c r="AR101" t="e">
        <f t="shared" si="44"/>
        <v>#REF!</v>
      </c>
      <c r="AW101"/>
    </row>
    <row r="102" spans="1:49">
      <c r="A102">
        <v>93</v>
      </c>
      <c r="B102" t="e">
        <f t="shared" si="35"/>
        <v>#REF!</v>
      </c>
      <c r="C102" t="e">
        <f t="shared" si="36"/>
        <v>#REF!</v>
      </c>
      <c r="D102" t="e">
        <f t="shared" si="45"/>
        <v>#REF!</v>
      </c>
      <c r="E102" s="354" t="e">
        <f>IF(#REF!="","",#REF!)</f>
        <v>#REF!</v>
      </c>
      <c r="F102" s="354" t="e">
        <f>IF(#REF!="","",#REF!)</f>
        <v>#REF!</v>
      </c>
      <c r="G102" s="354" t="e">
        <f>IF(#REF!="","",#REF!)</f>
        <v>#REF!</v>
      </c>
      <c r="H102" s="354" t="e">
        <f>IF(#REF!="","",#REF!)</f>
        <v>#REF!</v>
      </c>
      <c r="I102" s="354" t="e">
        <f t="shared" si="46"/>
        <v>#REF!</v>
      </c>
      <c r="J102" s="355" t="e">
        <f>IF(#REF!="","",#REF!)</f>
        <v>#REF!</v>
      </c>
      <c r="K102" s="355" t="e">
        <f>IF(#REF!="","",#REF!)</f>
        <v>#REF!</v>
      </c>
      <c r="L102" s="12" t="e">
        <f t="shared" si="47"/>
        <v>#REF!</v>
      </c>
      <c r="M102" t="e">
        <f t="shared" si="48"/>
        <v>#REF!</v>
      </c>
      <c r="N102" t="e">
        <f t="shared" si="37"/>
        <v>#REF!</v>
      </c>
      <c r="O102" t="e">
        <f t="shared" si="38"/>
        <v>#REF!</v>
      </c>
      <c r="P102" t="e">
        <f t="shared" si="39"/>
        <v>#REF!</v>
      </c>
      <c r="Q102">
        <f>SUM($A$10:A102)</f>
        <v>4371</v>
      </c>
      <c r="S102" s="15" t="e">
        <f>IF(T102="","",RANK(T102,$T$10:$T$50,1)+COUNTIF(T$10:T102,T102)-1)</f>
        <v>#REF!</v>
      </c>
      <c r="T102" t="e">
        <f t="shared" si="49"/>
        <v>#REF!</v>
      </c>
      <c r="U102" t="e">
        <f t="shared" si="50"/>
        <v>#REF!</v>
      </c>
      <c r="V102" t="e">
        <f t="shared" si="51"/>
        <v>#REF!</v>
      </c>
      <c r="W102" t="e">
        <f t="shared" si="52"/>
        <v>#REF!</v>
      </c>
      <c r="X102" t="e">
        <f t="shared" si="53"/>
        <v>#REF!</v>
      </c>
      <c r="Y102" t="e">
        <f t="shared" si="54"/>
        <v>#REF!</v>
      </c>
      <c r="Z102" t="e">
        <f t="shared" si="55"/>
        <v>#REF!</v>
      </c>
      <c r="AA102" t="e">
        <f t="shared" si="56"/>
        <v>#REF!</v>
      </c>
      <c r="AK102">
        <v>93</v>
      </c>
      <c r="AL102" t="e">
        <f t="shared" si="40"/>
        <v>#REF!</v>
      </c>
      <c r="AM102" t="e">
        <f t="shared" si="57"/>
        <v>#REF!</v>
      </c>
      <c r="AO102" t="e">
        <f t="shared" si="41"/>
        <v>#REF!</v>
      </c>
      <c r="AP102" t="e">
        <f t="shared" si="42"/>
        <v>#REF!</v>
      </c>
      <c r="AQ102" s="12" t="e">
        <f t="shared" si="43"/>
        <v>#REF!</v>
      </c>
      <c r="AR102" t="e">
        <f t="shared" si="44"/>
        <v>#REF!</v>
      </c>
      <c r="AW102"/>
    </row>
    <row r="103" spans="1:49">
      <c r="A103">
        <v>94</v>
      </c>
      <c r="B103" t="e">
        <f t="shared" si="35"/>
        <v>#REF!</v>
      </c>
      <c r="C103" t="e">
        <f t="shared" si="36"/>
        <v>#REF!</v>
      </c>
      <c r="D103" t="e">
        <f t="shared" si="45"/>
        <v>#REF!</v>
      </c>
      <c r="E103" s="354" t="e">
        <f>IF(#REF!="","",#REF!)</f>
        <v>#REF!</v>
      </c>
      <c r="F103" s="354" t="e">
        <f>IF(#REF!="","",#REF!)</f>
        <v>#REF!</v>
      </c>
      <c r="G103" s="354" t="e">
        <f>IF(#REF!="","",#REF!)</f>
        <v>#REF!</v>
      </c>
      <c r="H103" s="354" t="e">
        <f>IF(#REF!="","",#REF!)</f>
        <v>#REF!</v>
      </c>
      <c r="I103" s="354" t="e">
        <f t="shared" si="46"/>
        <v>#REF!</v>
      </c>
      <c r="J103" s="355" t="e">
        <f>IF(#REF!="","",#REF!)</f>
        <v>#REF!</v>
      </c>
      <c r="K103" s="355" t="e">
        <f>IF(#REF!="","",#REF!)</f>
        <v>#REF!</v>
      </c>
      <c r="L103" s="12" t="e">
        <f t="shared" si="47"/>
        <v>#REF!</v>
      </c>
      <c r="M103" t="e">
        <f t="shared" si="48"/>
        <v>#REF!</v>
      </c>
      <c r="N103" t="e">
        <f t="shared" si="37"/>
        <v>#REF!</v>
      </c>
      <c r="O103" t="e">
        <f t="shared" si="38"/>
        <v>#REF!</v>
      </c>
      <c r="P103" t="e">
        <f t="shared" si="39"/>
        <v>#REF!</v>
      </c>
      <c r="Q103">
        <f>SUM($A$10:A103)</f>
        <v>4465</v>
      </c>
      <c r="S103" s="15" t="e">
        <f>IF(T103="","",RANK(T103,$T$10:$T$50,1)+COUNTIF(T$10:T103,T103)-1)</f>
        <v>#REF!</v>
      </c>
      <c r="T103" t="e">
        <f t="shared" si="49"/>
        <v>#REF!</v>
      </c>
      <c r="U103" t="e">
        <f t="shared" si="50"/>
        <v>#REF!</v>
      </c>
      <c r="V103" t="e">
        <f t="shared" si="51"/>
        <v>#REF!</v>
      </c>
      <c r="W103" t="e">
        <f t="shared" si="52"/>
        <v>#REF!</v>
      </c>
      <c r="X103" t="e">
        <f t="shared" si="53"/>
        <v>#REF!</v>
      </c>
      <c r="Y103" t="e">
        <f t="shared" si="54"/>
        <v>#REF!</v>
      </c>
      <c r="Z103" t="e">
        <f t="shared" si="55"/>
        <v>#REF!</v>
      </c>
      <c r="AA103" t="e">
        <f t="shared" si="56"/>
        <v>#REF!</v>
      </c>
      <c r="AK103">
        <v>94</v>
      </c>
      <c r="AL103" t="e">
        <f t="shared" si="40"/>
        <v>#REF!</v>
      </c>
      <c r="AM103" t="e">
        <f t="shared" si="57"/>
        <v>#REF!</v>
      </c>
      <c r="AO103" t="e">
        <f t="shared" si="41"/>
        <v>#REF!</v>
      </c>
      <c r="AP103" t="e">
        <f t="shared" si="42"/>
        <v>#REF!</v>
      </c>
      <c r="AQ103" s="12" t="e">
        <f t="shared" si="43"/>
        <v>#REF!</v>
      </c>
      <c r="AR103" t="e">
        <f t="shared" si="44"/>
        <v>#REF!</v>
      </c>
      <c r="AW103"/>
    </row>
    <row r="104" spans="1:49">
      <c r="A104">
        <v>95</v>
      </c>
      <c r="B104" t="e">
        <f t="shared" si="35"/>
        <v>#REF!</v>
      </c>
      <c r="C104" t="e">
        <f t="shared" si="36"/>
        <v>#REF!</v>
      </c>
      <c r="D104" t="e">
        <f t="shared" si="45"/>
        <v>#REF!</v>
      </c>
      <c r="E104" s="354" t="e">
        <f>IF(#REF!="","",#REF!)</f>
        <v>#REF!</v>
      </c>
      <c r="F104" s="354" t="e">
        <f>IF(#REF!="","",#REF!)</f>
        <v>#REF!</v>
      </c>
      <c r="G104" s="354" t="e">
        <f>IF(#REF!="","",#REF!)</f>
        <v>#REF!</v>
      </c>
      <c r="H104" s="354" t="e">
        <f>IF(#REF!="","",#REF!)</f>
        <v>#REF!</v>
      </c>
      <c r="I104" s="354" t="e">
        <f t="shared" si="46"/>
        <v>#REF!</v>
      </c>
      <c r="J104" s="355" t="e">
        <f>IF(#REF!="","",#REF!)</f>
        <v>#REF!</v>
      </c>
      <c r="K104" s="355" t="e">
        <f>IF(#REF!="","",#REF!)</f>
        <v>#REF!</v>
      </c>
      <c r="L104" s="12" t="e">
        <f t="shared" si="47"/>
        <v>#REF!</v>
      </c>
      <c r="M104" t="e">
        <f t="shared" si="48"/>
        <v>#REF!</v>
      </c>
      <c r="N104" t="e">
        <f t="shared" si="37"/>
        <v>#REF!</v>
      </c>
      <c r="O104" t="e">
        <f t="shared" si="38"/>
        <v>#REF!</v>
      </c>
      <c r="P104" t="e">
        <f t="shared" si="39"/>
        <v>#REF!</v>
      </c>
      <c r="Q104">
        <f>SUM($A$10:A104)</f>
        <v>4560</v>
      </c>
      <c r="S104" s="15" t="e">
        <f>IF(T104="","",RANK(T104,$T$10:$T$50,1)+COUNTIF(T$10:T104,T104)-1)</f>
        <v>#REF!</v>
      </c>
      <c r="T104" t="e">
        <f t="shared" si="49"/>
        <v>#REF!</v>
      </c>
      <c r="U104" t="e">
        <f t="shared" si="50"/>
        <v>#REF!</v>
      </c>
      <c r="V104" t="e">
        <f t="shared" si="51"/>
        <v>#REF!</v>
      </c>
      <c r="W104" t="e">
        <f t="shared" si="52"/>
        <v>#REF!</v>
      </c>
      <c r="X104" t="e">
        <f t="shared" si="53"/>
        <v>#REF!</v>
      </c>
      <c r="Y104" t="e">
        <f t="shared" si="54"/>
        <v>#REF!</v>
      </c>
      <c r="Z104" t="e">
        <f t="shared" si="55"/>
        <v>#REF!</v>
      </c>
      <c r="AA104" t="e">
        <f t="shared" si="56"/>
        <v>#REF!</v>
      </c>
      <c r="AK104">
        <v>95</v>
      </c>
      <c r="AL104" t="e">
        <f t="shared" si="40"/>
        <v>#REF!</v>
      </c>
      <c r="AM104" t="e">
        <f t="shared" si="57"/>
        <v>#REF!</v>
      </c>
      <c r="AO104" t="e">
        <f t="shared" si="41"/>
        <v>#REF!</v>
      </c>
      <c r="AP104" t="e">
        <f t="shared" si="42"/>
        <v>#REF!</v>
      </c>
      <c r="AQ104" s="12" t="e">
        <f t="shared" si="43"/>
        <v>#REF!</v>
      </c>
      <c r="AR104" t="e">
        <f t="shared" si="44"/>
        <v>#REF!</v>
      </c>
      <c r="AW104"/>
    </row>
    <row r="105" spans="1:49">
      <c r="A105">
        <v>96</v>
      </c>
      <c r="B105" t="e">
        <f t="shared" si="35"/>
        <v>#REF!</v>
      </c>
      <c r="C105" t="e">
        <f t="shared" si="36"/>
        <v>#REF!</v>
      </c>
      <c r="D105" t="e">
        <f t="shared" si="45"/>
        <v>#REF!</v>
      </c>
      <c r="E105" s="354" t="e">
        <f>IF(#REF!="","",#REF!)</f>
        <v>#REF!</v>
      </c>
      <c r="F105" s="354" t="e">
        <f>IF(#REF!="","",#REF!)</f>
        <v>#REF!</v>
      </c>
      <c r="G105" s="354" t="e">
        <f>IF(#REF!="","",#REF!)</f>
        <v>#REF!</v>
      </c>
      <c r="H105" s="354" t="e">
        <f>IF(#REF!="","",#REF!)</f>
        <v>#REF!</v>
      </c>
      <c r="I105" s="354" t="e">
        <f t="shared" si="46"/>
        <v>#REF!</v>
      </c>
      <c r="J105" s="355" t="e">
        <f>IF(#REF!="","",#REF!)</f>
        <v>#REF!</v>
      </c>
      <c r="K105" s="355" t="e">
        <f>IF(#REF!="","",#REF!)</f>
        <v>#REF!</v>
      </c>
      <c r="L105" s="12" t="e">
        <f t="shared" si="47"/>
        <v>#REF!</v>
      </c>
      <c r="M105" t="e">
        <f t="shared" si="48"/>
        <v>#REF!</v>
      </c>
      <c r="N105" t="e">
        <f t="shared" si="37"/>
        <v>#REF!</v>
      </c>
      <c r="O105" t="e">
        <f t="shared" si="38"/>
        <v>#REF!</v>
      </c>
      <c r="P105" t="e">
        <f t="shared" si="39"/>
        <v>#REF!</v>
      </c>
      <c r="Q105">
        <f>SUM($A$10:A105)</f>
        <v>4656</v>
      </c>
      <c r="S105" s="15" t="e">
        <f>IF(T105="","",RANK(T105,$T$10:$T$50,1)+COUNTIF(T$10:T105,T105)-1)</f>
        <v>#REF!</v>
      </c>
      <c r="T105" t="e">
        <f t="shared" si="49"/>
        <v>#REF!</v>
      </c>
      <c r="U105" t="e">
        <f t="shared" si="50"/>
        <v>#REF!</v>
      </c>
      <c r="V105" t="e">
        <f t="shared" si="51"/>
        <v>#REF!</v>
      </c>
      <c r="W105" t="e">
        <f t="shared" si="52"/>
        <v>#REF!</v>
      </c>
      <c r="X105" t="e">
        <f t="shared" si="53"/>
        <v>#REF!</v>
      </c>
      <c r="Y105" t="e">
        <f t="shared" si="54"/>
        <v>#REF!</v>
      </c>
      <c r="Z105" t="e">
        <f t="shared" si="55"/>
        <v>#REF!</v>
      </c>
      <c r="AA105" t="e">
        <f t="shared" si="56"/>
        <v>#REF!</v>
      </c>
      <c r="AK105">
        <v>96</v>
      </c>
      <c r="AL105" t="e">
        <f t="shared" si="40"/>
        <v>#REF!</v>
      </c>
      <c r="AM105" t="e">
        <f t="shared" si="57"/>
        <v>#REF!</v>
      </c>
      <c r="AO105" t="e">
        <f t="shared" si="41"/>
        <v>#REF!</v>
      </c>
      <c r="AP105" t="e">
        <f t="shared" si="42"/>
        <v>#REF!</v>
      </c>
      <c r="AQ105" s="12" t="e">
        <f t="shared" si="43"/>
        <v>#REF!</v>
      </c>
      <c r="AR105" t="e">
        <f t="shared" si="44"/>
        <v>#REF!</v>
      </c>
      <c r="AW105"/>
    </row>
    <row r="106" spans="1:49">
      <c r="A106">
        <v>97</v>
      </c>
      <c r="B106" t="e">
        <f>IF(OR(N106="Yes",O106="Yes",P106="Yes"),A106,"")</f>
        <v>#REF!</v>
      </c>
      <c r="C106" t="e">
        <f>IF(B106="","",RANK(B106,$B$10:$B$109,1))</f>
        <v>#REF!</v>
      </c>
      <c r="D106" t="e">
        <f t="shared" si="45"/>
        <v>#REF!</v>
      </c>
      <c r="E106" s="354" t="e">
        <f>IF(#REF!="","",#REF!)</f>
        <v>#REF!</v>
      </c>
      <c r="F106" s="354" t="e">
        <f>IF(#REF!="","",#REF!)</f>
        <v>#REF!</v>
      </c>
      <c r="G106" s="354" t="e">
        <f>IF(#REF!="","",#REF!)</f>
        <v>#REF!</v>
      </c>
      <c r="H106" s="354" t="e">
        <f>IF(#REF!="","",#REF!)</f>
        <v>#REF!</v>
      </c>
      <c r="I106" s="354" t="e">
        <f t="shared" si="46"/>
        <v>#REF!</v>
      </c>
      <c r="J106" s="355" t="e">
        <f>IF(#REF!="","",#REF!)</f>
        <v>#REF!</v>
      </c>
      <c r="K106" s="355" t="e">
        <f>IF(#REF!="","",#REF!)</f>
        <v>#REF!</v>
      </c>
      <c r="L106" s="12" t="e">
        <f t="shared" si="47"/>
        <v>#REF!</v>
      </c>
      <c r="M106" t="e">
        <f t="shared" si="48"/>
        <v>#REF!</v>
      </c>
      <c r="N106" t="e">
        <f t="shared" si="37"/>
        <v>#REF!</v>
      </c>
      <c r="O106" t="e">
        <f t="shared" si="38"/>
        <v>#REF!</v>
      </c>
      <c r="P106" t="e">
        <f>IF(OR(N106="Yes",O106="Yes"),"No",IF(AND(K106="",F106&lt;=$B$5),"Yes","No"))</f>
        <v>#REF!</v>
      </c>
      <c r="Q106">
        <f>SUM($A$10:A106)</f>
        <v>4753</v>
      </c>
      <c r="S106" s="15" t="e">
        <f>IF(T106="","",RANK(T106,$T$10:$T$50,1)+COUNTIF(T$10:T106,T106)-1)</f>
        <v>#REF!</v>
      </c>
      <c r="T106" t="e">
        <f t="shared" si="49"/>
        <v>#REF!</v>
      </c>
      <c r="U106" t="e">
        <f t="shared" si="50"/>
        <v>#REF!</v>
      </c>
      <c r="V106" t="e">
        <f t="shared" si="51"/>
        <v>#REF!</v>
      </c>
      <c r="W106" t="e">
        <f t="shared" si="52"/>
        <v>#REF!</v>
      </c>
      <c r="X106" t="e">
        <f t="shared" si="53"/>
        <v>#REF!</v>
      </c>
      <c r="Y106" t="e">
        <f t="shared" si="54"/>
        <v>#REF!</v>
      </c>
      <c r="Z106" t="e">
        <f t="shared" si="55"/>
        <v>#REF!</v>
      </c>
      <c r="AA106" t="e">
        <f t="shared" si="56"/>
        <v>#REF!</v>
      </c>
      <c r="AK106">
        <v>97</v>
      </c>
      <c r="AL106" t="e">
        <f t="shared" si="40"/>
        <v>#REF!</v>
      </c>
      <c r="AM106" t="e">
        <f t="shared" si="57"/>
        <v>#REF!</v>
      </c>
      <c r="AO106" t="e">
        <f t="shared" si="41"/>
        <v>#REF!</v>
      </c>
      <c r="AP106" t="e">
        <f t="shared" si="42"/>
        <v>#REF!</v>
      </c>
      <c r="AQ106" s="12" t="e">
        <f t="shared" si="43"/>
        <v>#REF!</v>
      </c>
      <c r="AR106" t="e">
        <f t="shared" si="44"/>
        <v>#REF!</v>
      </c>
      <c r="AW106"/>
    </row>
    <row r="107" spans="1:49">
      <c r="A107">
        <v>98</v>
      </c>
      <c r="B107" t="e">
        <f>IF(OR(N107="Yes",O107="Yes",P107="Yes"),A107,"")</f>
        <v>#REF!</v>
      </c>
      <c r="C107" t="e">
        <f>IF(B107="","",RANK(B107,$B$10:$B$109,1))</f>
        <v>#REF!</v>
      </c>
      <c r="D107" t="e">
        <f t="shared" si="45"/>
        <v>#REF!</v>
      </c>
      <c r="E107" s="354" t="e">
        <f>IF(#REF!="","",#REF!)</f>
        <v>#REF!</v>
      </c>
      <c r="F107" s="354" t="e">
        <f>IF(#REF!="","",#REF!)</f>
        <v>#REF!</v>
      </c>
      <c r="G107" s="354" t="e">
        <f>IF(#REF!="","",#REF!)</f>
        <v>#REF!</v>
      </c>
      <c r="H107" s="354" t="e">
        <f>IF(#REF!="","",#REF!)</f>
        <v>#REF!</v>
      </c>
      <c r="I107" s="354" t="e">
        <f t="shared" si="46"/>
        <v>#REF!</v>
      </c>
      <c r="J107" s="355" t="e">
        <f>IF(#REF!="","",#REF!)</f>
        <v>#REF!</v>
      </c>
      <c r="K107" s="355" t="e">
        <f>IF(#REF!="","",#REF!)</f>
        <v>#REF!</v>
      </c>
      <c r="L107" s="12" t="e">
        <f t="shared" si="47"/>
        <v>#REF!</v>
      </c>
      <c r="M107" t="e">
        <f t="shared" si="48"/>
        <v>#REF!</v>
      </c>
      <c r="N107" t="e">
        <f t="shared" si="37"/>
        <v>#REF!</v>
      </c>
      <c r="O107" t="e">
        <f t="shared" si="38"/>
        <v>#REF!</v>
      </c>
      <c r="P107" t="e">
        <f>IF(OR(N107="Yes",O107="Yes"),"No",IF(AND(K107="",F107&lt;=$B$5),"Yes","No"))</f>
        <v>#REF!</v>
      </c>
      <c r="Q107">
        <f>SUM($A$10:A107)</f>
        <v>4851</v>
      </c>
      <c r="S107" s="15" t="e">
        <f>IF(T107="","",RANK(T107,$T$10:$T$50,1)+COUNTIF(T$10:T107,T107)-1)</f>
        <v>#REF!</v>
      </c>
      <c r="T107" t="e">
        <f t="shared" si="49"/>
        <v>#REF!</v>
      </c>
      <c r="U107" t="e">
        <f t="shared" si="50"/>
        <v>#REF!</v>
      </c>
      <c r="V107" t="e">
        <f t="shared" si="51"/>
        <v>#REF!</v>
      </c>
      <c r="W107" t="e">
        <f t="shared" si="52"/>
        <v>#REF!</v>
      </c>
      <c r="X107" t="e">
        <f t="shared" si="53"/>
        <v>#REF!</v>
      </c>
      <c r="Y107" t="e">
        <f t="shared" si="54"/>
        <v>#REF!</v>
      </c>
      <c r="Z107" t="e">
        <f t="shared" si="55"/>
        <v>#REF!</v>
      </c>
      <c r="AA107" t="e">
        <f t="shared" si="56"/>
        <v>#REF!</v>
      </c>
      <c r="AK107">
        <v>98</v>
      </c>
      <c r="AL107" t="e">
        <f t="shared" si="40"/>
        <v>#REF!</v>
      </c>
      <c r="AM107" t="e">
        <f t="shared" si="57"/>
        <v>#REF!</v>
      </c>
      <c r="AO107" t="e">
        <f t="shared" si="41"/>
        <v>#REF!</v>
      </c>
      <c r="AP107" t="e">
        <f t="shared" si="42"/>
        <v>#REF!</v>
      </c>
      <c r="AQ107" s="12" t="e">
        <f t="shared" si="43"/>
        <v>#REF!</v>
      </c>
      <c r="AR107" t="e">
        <f t="shared" si="44"/>
        <v>#REF!</v>
      </c>
      <c r="AW107"/>
    </row>
    <row r="108" spans="1:49">
      <c r="A108">
        <v>99</v>
      </c>
      <c r="B108" t="e">
        <f>IF(OR(N108="Yes",O108="Yes",P108="Yes"),A108,"")</f>
        <v>#REF!</v>
      </c>
      <c r="C108" t="e">
        <f>IF(B108="","",RANK(B108,$B$10:$B$109,1))</f>
        <v>#REF!</v>
      </c>
      <c r="D108" t="e">
        <f t="shared" si="45"/>
        <v>#REF!</v>
      </c>
      <c r="E108" s="354" t="e">
        <f>IF(#REF!="","",#REF!)</f>
        <v>#REF!</v>
      </c>
      <c r="F108" s="354" t="e">
        <f>IF(#REF!="","",#REF!)</f>
        <v>#REF!</v>
      </c>
      <c r="G108" s="354" t="e">
        <f>IF(#REF!="","",#REF!)</f>
        <v>#REF!</v>
      </c>
      <c r="H108" s="354" t="e">
        <f>IF(#REF!="","",#REF!)</f>
        <v>#REF!</v>
      </c>
      <c r="I108" s="354" t="e">
        <f t="shared" si="46"/>
        <v>#REF!</v>
      </c>
      <c r="J108" s="355" t="e">
        <f>IF(#REF!="","",#REF!)</f>
        <v>#REF!</v>
      </c>
      <c r="K108" s="355" t="e">
        <f>IF(#REF!="","",#REF!)</f>
        <v>#REF!</v>
      </c>
      <c r="L108" s="12" t="e">
        <f t="shared" si="47"/>
        <v>#REF!</v>
      </c>
      <c r="M108" t="e">
        <f t="shared" si="48"/>
        <v>#REF!</v>
      </c>
      <c r="N108" t="e">
        <f t="shared" si="37"/>
        <v>#REF!</v>
      </c>
      <c r="O108" t="e">
        <f t="shared" si="38"/>
        <v>#REF!</v>
      </c>
      <c r="P108" t="e">
        <f>IF(OR(N108="Yes",O108="Yes"),"No",IF(AND(K108="",F108&lt;=$B$5),"Yes","No"))</f>
        <v>#REF!</v>
      </c>
      <c r="Q108">
        <f>SUM($A$10:A108)</f>
        <v>4950</v>
      </c>
      <c r="S108" s="15" t="e">
        <f>IF(T108="","",RANK(T108,$T$10:$T$50,1)+COUNTIF(T$10:T108,T108)-1)</f>
        <v>#REF!</v>
      </c>
      <c r="T108" t="e">
        <f t="shared" si="49"/>
        <v>#REF!</v>
      </c>
      <c r="U108" t="e">
        <f t="shared" si="50"/>
        <v>#REF!</v>
      </c>
      <c r="V108" t="e">
        <f t="shared" si="51"/>
        <v>#REF!</v>
      </c>
      <c r="W108" t="e">
        <f t="shared" si="52"/>
        <v>#REF!</v>
      </c>
      <c r="X108" t="e">
        <f t="shared" si="53"/>
        <v>#REF!</v>
      </c>
      <c r="Y108" t="e">
        <f t="shared" si="54"/>
        <v>#REF!</v>
      </c>
      <c r="Z108" t="e">
        <f t="shared" si="55"/>
        <v>#REF!</v>
      </c>
      <c r="AA108" t="e">
        <f t="shared" si="56"/>
        <v>#REF!</v>
      </c>
      <c r="AK108">
        <v>99</v>
      </c>
      <c r="AL108" t="e">
        <f t="shared" si="40"/>
        <v>#REF!</v>
      </c>
      <c r="AM108" t="e">
        <f t="shared" si="57"/>
        <v>#REF!</v>
      </c>
      <c r="AO108" t="e">
        <f t="shared" si="41"/>
        <v>#REF!</v>
      </c>
      <c r="AP108" t="e">
        <f t="shared" si="42"/>
        <v>#REF!</v>
      </c>
      <c r="AQ108" s="12" t="e">
        <f t="shared" si="43"/>
        <v>#REF!</v>
      </c>
      <c r="AR108" t="e">
        <f t="shared" si="44"/>
        <v>#REF!</v>
      </c>
      <c r="AW108"/>
    </row>
    <row r="109" spans="1:49">
      <c r="A109">
        <v>100</v>
      </c>
      <c r="B109" t="e">
        <f>IF(OR(N109="Yes",O109="Yes",P109="Yes"),A109,"")</f>
        <v>#REF!</v>
      </c>
      <c r="C109" t="e">
        <f>IF(B109="","",RANK(B109,$B$10:$B$109,1))</f>
        <v>#REF!</v>
      </c>
      <c r="D109" t="e">
        <f t="shared" si="45"/>
        <v>#REF!</v>
      </c>
      <c r="E109" s="354" t="e">
        <f>IF(#REF!="","",#REF!)</f>
        <v>#REF!</v>
      </c>
      <c r="F109" s="354" t="e">
        <f>IF(#REF!="","",#REF!)</f>
        <v>#REF!</v>
      </c>
      <c r="G109" s="354" t="e">
        <f>IF(#REF!="","",#REF!)</f>
        <v>#REF!</v>
      </c>
      <c r="H109" s="354" t="e">
        <f>IF(#REF!="","",#REF!)</f>
        <v>#REF!</v>
      </c>
      <c r="I109" s="354" t="e">
        <f t="shared" si="46"/>
        <v>#REF!</v>
      </c>
      <c r="J109" s="355" t="e">
        <f>IF(#REF!="","",#REF!)</f>
        <v>#REF!</v>
      </c>
      <c r="K109" s="357" t="e">
        <f>IF(#REF!="","",#REF!)</f>
        <v>#REF!</v>
      </c>
      <c r="L109" s="240" t="e">
        <f>IF(E109="","",IF(AND(J109="",K109=""),$L$2,IF(NOT(K109=""),$L$3,$L$4)))</f>
        <v>#REF!</v>
      </c>
      <c r="M109" t="e">
        <f t="shared" si="48"/>
        <v>#REF!</v>
      </c>
      <c r="N109" t="e">
        <f t="shared" si="37"/>
        <v>#REF!</v>
      </c>
      <c r="O109" t="e">
        <f t="shared" si="38"/>
        <v>#REF!</v>
      </c>
      <c r="P109" s="238" t="e">
        <f>IF(OR(N109="Yes",O109="Yes"),"No",IF(AND(K109="",F109&lt;=$B$5),"Yes","No"))</f>
        <v>#REF!</v>
      </c>
      <c r="Q109" s="238">
        <f>SUM($A$10:A109)</f>
        <v>5050</v>
      </c>
      <c r="R109" s="238"/>
      <c r="S109" s="239" t="e">
        <f>IF(T109="","",RANK(T109,$T$10:$T$50,1)+COUNTIF(T$10:T109,T109)-1)</f>
        <v>#REF!</v>
      </c>
      <c r="T109" s="238" t="e">
        <f t="shared" si="49"/>
        <v>#REF!</v>
      </c>
      <c r="U109" s="238" t="e">
        <f t="shared" si="50"/>
        <v>#REF!</v>
      </c>
      <c r="V109" s="238" t="e">
        <f t="shared" si="51"/>
        <v>#REF!</v>
      </c>
      <c r="W109" s="238" t="e">
        <f t="shared" si="52"/>
        <v>#REF!</v>
      </c>
      <c r="X109" s="238" t="e">
        <f t="shared" si="53"/>
        <v>#REF!</v>
      </c>
      <c r="Y109" s="238" t="e">
        <f t="shared" si="54"/>
        <v>#REF!</v>
      </c>
      <c r="Z109" s="238" t="e">
        <f t="shared" si="55"/>
        <v>#REF!</v>
      </c>
      <c r="AA109" s="238" t="e">
        <f t="shared" si="56"/>
        <v>#REF!</v>
      </c>
      <c r="AB109" s="238"/>
      <c r="AK109">
        <v>100</v>
      </c>
      <c r="AL109" t="e">
        <f t="shared" si="40"/>
        <v>#REF!</v>
      </c>
      <c r="AM109" t="e">
        <f t="shared" si="57"/>
        <v>#REF!</v>
      </c>
      <c r="AO109" t="e">
        <f t="shared" si="41"/>
        <v>#REF!</v>
      </c>
      <c r="AP109" t="e">
        <f t="shared" si="42"/>
        <v>#REF!</v>
      </c>
      <c r="AQ109" s="12" t="e">
        <f t="shared" si="43"/>
        <v>#REF!</v>
      </c>
      <c r="AR109" t="e">
        <f t="shared" si="44"/>
        <v>#REF!</v>
      </c>
      <c r="AW109"/>
    </row>
  </sheetData>
  <mergeCells count="1">
    <mergeCell ref="AK8:AR8"/>
  </mergeCells>
  <phoneticPr fontId="9" type="noConversion"/>
  <pageMargins left="0.75" right="0.75" top="1" bottom="1" header="0.5" footer="0.5"/>
  <pageSetup orientation="portrait" verticalDpi="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C12F6-EA56-4C60-8E81-2A16B0702CF8}">
  <dimension ref="A1:I13"/>
  <sheetViews>
    <sheetView workbookViewId="0">
      <selection activeCell="I4" sqref="I4"/>
    </sheetView>
  </sheetViews>
  <sheetFormatPr defaultRowHeight="13.2"/>
  <cols>
    <col min="2" max="2" width="11.6640625" customWidth="1"/>
    <col min="3" max="3" width="15.109375" customWidth="1"/>
    <col min="4" max="4" width="17.33203125" customWidth="1"/>
    <col min="5" max="5" width="16.33203125" customWidth="1"/>
    <col min="6" max="6" width="19.44140625" customWidth="1"/>
    <col min="7" max="7" width="18.44140625" customWidth="1"/>
    <col min="8" max="8" width="9.5546875" customWidth="1"/>
    <col min="9" max="9" width="10.88671875" customWidth="1"/>
  </cols>
  <sheetData>
    <row r="1" spans="1:9" ht="22.8">
      <c r="A1" s="459" t="s">
        <v>399</v>
      </c>
      <c r="B1" s="459"/>
      <c r="C1" s="459"/>
      <c r="D1" s="459"/>
      <c r="E1" s="459"/>
      <c r="F1" s="459"/>
      <c r="G1" s="22"/>
      <c r="H1" s="22" t="s">
        <v>273</v>
      </c>
      <c r="I1" s="22"/>
    </row>
    <row r="2" spans="1:9" ht="14.4">
      <c r="A2" s="448"/>
      <c r="B2" s="448"/>
      <c r="C2" s="448"/>
      <c r="D2" s="448"/>
      <c r="E2" s="27"/>
      <c r="F2" s="23"/>
      <c r="G2" s="23"/>
      <c r="H2" s="23"/>
      <c r="I2" s="23"/>
    </row>
    <row r="3" spans="1:9" ht="13.8">
      <c r="A3" s="358" t="s">
        <v>400</v>
      </c>
      <c r="B3" s="325" t="s">
        <v>401</v>
      </c>
      <c r="C3" s="359" t="s">
        <v>38</v>
      </c>
      <c r="D3" s="328" t="s">
        <v>402</v>
      </c>
      <c r="E3" s="328" t="s">
        <v>403</v>
      </c>
      <c r="F3" s="328" t="s">
        <v>404</v>
      </c>
      <c r="G3" s="358" t="s">
        <v>405</v>
      </c>
      <c r="H3" s="325" t="s">
        <v>337</v>
      </c>
      <c r="I3" s="358" t="s">
        <v>406</v>
      </c>
    </row>
    <row r="4" spans="1:9" ht="17.399999999999999">
      <c r="A4" s="315"/>
      <c r="B4" s="316"/>
      <c r="C4" s="300"/>
      <c r="D4" s="304"/>
      <c r="E4" s="304"/>
      <c r="F4" s="304"/>
      <c r="G4" s="316"/>
      <c r="H4" s="320"/>
      <c r="I4" s="320"/>
    </row>
    <row r="5" spans="1:9" ht="17.399999999999999">
      <c r="A5" s="315"/>
      <c r="B5" s="316"/>
      <c r="C5" s="300"/>
      <c r="D5" s="304"/>
      <c r="E5" s="304"/>
      <c r="F5" s="304"/>
      <c r="G5" s="316"/>
      <c r="H5" s="320"/>
      <c r="I5" s="320"/>
    </row>
    <row r="6" spans="1:9" ht="17.399999999999999">
      <c r="A6" s="315"/>
      <c r="B6" s="316"/>
      <c r="C6" s="300"/>
      <c r="D6" s="304"/>
      <c r="E6" s="304"/>
      <c r="F6" s="304"/>
      <c r="G6" s="316"/>
      <c r="H6" s="320"/>
      <c r="I6" s="320"/>
    </row>
    <row r="7" spans="1:9" ht="17.399999999999999">
      <c r="A7" s="315"/>
      <c r="B7" s="316"/>
      <c r="C7" s="300"/>
      <c r="D7" s="304"/>
      <c r="E7" s="304"/>
      <c r="F7" s="304"/>
      <c r="G7" s="316"/>
      <c r="H7" s="321"/>
      <c r="I7" s="321"/>
    </row>
    <row r="8" spans="1:9" ht="18">
      <c r="A8" s="315"/>
      <c r="B8" s="316"/>
      <c r="C8" s="303"/>
      <c r="D8" s="304"/>
      <c r="E8" s="304"/>
      <c r="F8" s="304"/>
      <c r="G8" s="316"/>
      <c r="H8" s="322"/>
      <c r="I8" s="322"/>
    </row>
    <row r="9" spans="1:9" ht="14.4">
      <c r="A9" s="315"/>
      <c r="B9" s="316"/>
      <c r="C9" s="317"/>
      <c r="D9" s="318"/>
      <c r="E9" s="318"/>
      <c r="F9" s="318"/>
      <c r="G9" s="316"/>
      <c r="H9" s="322"/>
      <c r="I9" s="322"/>
    </row>
    <row r="10" spans="1:9" ht="13.8">
      <c r="A10" s="315"/>
      <c r="B10" s="316"/>
      <c r="C10" s="323"/>
      <c r="D10" s="318"/>
      <c r="E10" s="318"/>
      <c r="F10" s="318"/>
      <c r="G10" s="316"/>
      <c r="H10" s="320"/>
      <c r="I10" s="320"/>
    </row>
    <row r="11" spans="1:9" ht="13.8">
      <c r="A11" s="315"/>
      <c r="B11" s="316"/>
      <c r="C11" s="323"/>
      <c r="D11" s="318"/>
      <c r="E11" s="318"/>
      <c r="F11" s="318"/>
      <c r="G11" s="316"/>
      <c r="H11" s="320"/>
      <c r="I11" s="320"/>
    </row>
    <row r="12" spans="1:9" ht="13.8">
      <c r="A12" s="315"/>
      <c r="B12" s="316"/>
      <c r="C12" s="323"/>
      <c r="D12" s="318"/>
      <c r="E12" s="318"/>
      <c r="F12" s="318"/>
      <c r="G12" s="316"/>
      <c r="H12" s="320"/>
      <c r="I12" s="320"/>
    </row>
    <row r="13" spans="1:9" ht="13.8">
      <c r="A13" s="315"/>
      <c r="B13" s="316"/>
      <c r="C13" s="323"/>
      <c r="D13" s="318"/>
      <c r="E13" s="318"/>
      <c r="F13" s="318"/>
      <c r="G13" s="316"/>
      <c r="H13" s="320"/>
      <c r="I13" s="320"/>
    </row>
  </sheetData>
  <mergeCells count="3">
    <mergeCell ref="A2:B2"/>
    <mergeCell ref="C2:D2"/>
    <mergeCell ref="A1:F1"/>
  </mergeCells>
  <conditionalFormatting sqref="E3:E13">
    <cfRule type="cellIs" dxfId="2" priority="1" operator="equal">
      <formula>"High"</formula>
    </cfRule>
    <cfRule type="cellIs" dxfId="1" priority="2" operator="equal">
      <formula>"Medium"</formula>
    </cfRule>
    <cfRule type="cellIs" dxfId="0" priority="3" operator="equal">
      <formula>"Low"</formula>
    </cfRule>
  </conditionalFormatting>
  <dataValidations count="2">
    <dataValidation type="list" allowBlank="1" showInputMessage="1" showErrorMessage="1" errorTitle="Status" error="Please enter either Open or Closed." sqref="F4:F13" xr:uid="{3C60A6B3-FC61-4962-A389-23C833D2D8EB}">
      <formula1>Status</formula1>
    </dataValidation>
    <dataValidation type="list" allowBlank="1" showInputMessage="1" showErrorMessage="1" errorTitle="Importance" error="Please enter either High, Medium or Low." sqref="E4:E11" xr:uid="{2F70F280-1744-424D-A118-8E32DC22F9BA}">
      <formula1>Importance</formula1>
    </dataValidation>
  </dataValidations>
  <hyperlinks>
    <hyperlink ref="H1" location="Index!A1" display="Return to the Index" xr:uid="{53C13AC6-3D04-4D9C-A013-470390272BD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C05360179E8C47A5EAB0B10EFD8F33" ma:contentTypeVersion="7" ma:contentTypeDescription="Create a new document." ma:contentTypeScope="" ma:versionID="a0d8c7e0c5c9852be8bce7aaad801b93">
  <xsd:schema xmlns:xsd="http://www.w3.org/2001/XMLSchema" xmlns:xs="http://www.w3.org/2001/XMLSchema" xmlns:p="http://schemas.microsoft.com/office/2006/metadata/properties" xmlns:ns2="09dca4bd-b14e-4d72-97d2-87e4e41f7186" targetNamespace="http://schemas.microsoft.com/office/2006/metadata/properties" ma:root="true" ma:fieldsID="2dbe5317e633578ac390d69c09f803fd" ns2:_="">
    <xsd:import namespace="09dca4bd-b14e-4d72-97d2-87e4e41f71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ca4bd-b14e-4d72-97d2-87e4e41f7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AFB776-4C43-4695-B587-77E5AF690507}"/>
</file>

<file path=customXml/itemProps2.xml><?xml version="1.0" encoding="utf-8"?>
<ds:datastoreItem xmlns:ds="http://schemas.openxmlformats.org/officeDocument/2006/customXml" ds:itemID="{2ADAB79A-BC8A-440D-9CE7-82B872D430F6}">
  <ds:schemaRefs>
    <ds:schemaRef ds:uri="http://schemas.microsoft.com/office/2006/metadata/properties"/>
    <ds:schemaRef ds:uri="http://schemas.microsoft.com/office/infopath/2007/PartnerControls"/>
    <ds:schemaRef ds:uri="8cee5670-889e-4341-900c-db03788834a7"/>
    <ds:schemaRef ds:uri="79dee309-6d50-45f9-9616-781328d79662"/>
  </ds:schemaRefs>
</ds:datastoreItem>
</file>

<file path=customXml/itemProps3.xml><?xml version="1.0" encoding="utf-8"?>
<ds:datastoreItem xmlns:ds="http://schemas.openxmlformats.org/officeDocument/2006/customXml" ds:itemID="{F9CC9872-7ECD-460F-A547-4651A24ABB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Index</vt:lpstr>
      <vt:lpstr>Pre-Requisite</vt:lpstr>
      <vt:lpstr> Best Practices-Proj Mngt</vt:lpstr>
      <vt:lpstr>Scope</vt:lpstr>
      <vt:lpstr>1. Project Details</vt:lpstr>
      <vt:lpstr>Team Access &amp; Training</vt:lpstr>
      <vt:lpstr>2. Planning</vt:lpstr>
      <vt:lpstr>3. Task Monitoring</vt:lpstr>
      <vt:lpstr>4. Risk</vt:lpstr>
      <vt:lpstr>5. Assumptions</vt:lpstr>
      <vt:lpstr>6. Issue Log</vt:lpstr>
      <vt:lpstr>7. Dependencies</vt:lpstr>
      <vt:lpstr>8. Meeting Notes</vt:lpstr>
      <vt:lpstr>9. Estimation</vt:lpstr>
      <vt:lpstr>10. Q&amp;A</vt:lpstr>
      <vt:lpstr>HiddenWkly</vt:lpstr>
      <vt:lpstr>11. Change Request Register</vt:lpstr>
      <vt:lpstr>Owner</vt:lpstr>
      <vt:lpstr>Index!Print_Area</vt:lpstr>
      <vt:lpstr>Stage</vt:lpstr>
      <vt:lpstr>'2. Planning'!Team</vt:lpstr>
    </vt:vector>
  </TitlesOfParts>
  <Manager/>
  <Company>Exponetia Data Labs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M2 - Project Planning and Monitoring Tool</dc:title>
  <dc:subject/>
  <dc:creator>Tarun Madhei</dc:creator>
  <cp:keywords/>
  <dc:description/>
  <cp:lastModifiedBy>Ved Verma</cp:lastModifiedBy>
  <cp:revision/>
  <dcterms:created xsi:type="dcterms:W3CDTF">2007-03-14T14:30:46Z</dcterms:created>
  <dcterms:modified xsi:type="dcterms:W3CDTF">2026-02-04T15:30:32Z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flow Status">
    <vt:lpwstr>In Re-Write</vt:lpwstr>
  </property>
  <property fmtid="{D5CDD505-2E9C-101B-9397-08002B2CF9AE}" pid="3" name="Content Pitch Month">
    <vt:lpwstr>March</vt:lpwstr>
  </property>
  <property fmtid="{D5CDD505-2E9C-101B-9397-08002B2CF9AE}" pid="4" name="ContentType">
    <vt:lpwstr>ITAP Tool</vt:lpwstr>
  </property>
  <property fmtid="{D5CDD505-2E9C-101B-9397-08002B2CF9AE}" pid="5" name="ContentTypeId">
    <vt:lpwstr>0x0101007EC05360179E8C47A5EAB0B10EFD8F33</vt:lpwstr>
  </property>
  <property fmtid="{D5CDD505-2E9C-101B-9397-08002B2CF9AE}" pid="6" name="Categorizations">
    <vt:lpwstr>&lt;div&gt;OIT&amp;gt;Project Management&amp;gt;PM Lite&lt;/div&gt;</vt:lpwstr>
  </property>
  <property fmtid="{D5CDD505-2E9C-101B-9397-08002B2CF9AE}" pid="7" name="Production Comments">
    <vt:lpwstr>&lt;div&gt;&lt;/div&gt;</vt:lpwstr>
  </property>
  <property fmtid="{D5CDD505-2E9C-101B-9397-08002B2CF9AE}" pid="8" name="Pitch Month">
    <vt:lpwstr/>
  </property>
  <property fmtid="{D5CDD505-2E9C-101B-9397-08002B2CF9AE}" pid="9" name="MediaServiceImageTags">
    <vt:lpwstr/>
  </property>
  <property fmtid="{D5CDD505-2E9C-101B-9397-08002B2CF9AE}" pid="10" name="Remarks">
    <vt:lpwstr>Always open this document in MS word app</vt:lpwstr>
  </property>
</Properties>
</file>